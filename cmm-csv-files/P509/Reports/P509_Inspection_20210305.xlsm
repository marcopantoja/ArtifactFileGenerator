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hp-my.sharepoint.com/personal/larry_gutkowski_hp_com/Documents/Laptop/D/CMM/Axiom/Gen 5 Inspection/Gen5 Inspection/P509/Reports/"/>
    </mc:Choice>
  </mc:AlternateContent>
  <xr:revisionPtr revIDLastSave="7" documentId="13_ncr:1_{DED3FE43-AB88-4E3A-B7BD-AB9C31C098B9}" xr6:coauthVersionLast="45" xr6:coauthVersionMax="45" xr10:uidLastSave="{F6CB64C8-D869-497C-B619-2A6BCB5BA6F0}"/>
  <bookViews>
    <workbookView xWindow="-120" yWindow="-120" windowWidth="29040" windowHeight="15840" xr2:uid="{FE919EC7-2BC7-42C9-B4CB-CA0457928EF9}"/>
  </bookViews>
  <sheets>
    <sheet name="Summary" sheetId="44" r:id="rId1"/>
    <sheet name="Image 1" sheetId="82" r:id="rId2"/>
    <sheet name="Image 2" sheetId="83" r:id="rId3"/>
    <sheet name="Image 3" sheetId="84" r:id="rId4"/>
    <sheet name="Image 4" sheetId="85" r:id="rId5"/>
    <sheet name="Image 5" sheetId="86" r:id="rId6"/>
    <sheet name="Image 6" sheetId="87" r:id="rId7"/>
    <sheet name="Image 7" sheetId="88" r:id="rId8"/>
    <sheet name="Image 8" sheetId="89" r:id="rId9"/>
    <sheet name="Image 9" sheetId="90" r:id="rId10"/>
    <sheet name="Image 10" sheetId="91" r:id="rId11"/>
    <sheet name="Image 11" sheetId="92" r:id="rId12"/>
    <sheet name="Image 12" sheetId="93" r:id="rId13"/>
    <sheet name="Image 13" sheetId="94" r:id="rId14"/>
    <sheet name="Image 14" sheetId="95" r:id="rId15"/>
    <sheet name="Image 15" sheetId="96" r:id="rId16"/>
    <sheet name="Image 16" sheetId="97" r:id="rId17"/>
    <sheet name="Image 17" sheetId="98" r:id="rId18"/>
    <sheet name="Image 18" sheetId="99" r:id="rId19"/>
    <sheet name="Image 19" sheetId="100" r:id="rId20"/>
    <sheet name="Image 20" sheetId="101" r:id="rId21"/>
    <sheet name="Image 21" sheetId="102" r:id="rId22"/>
    <sheet name="Image 22" sheetId="103" r:id="rId23"/>
    <sheet name="Image 23" sheetId="104" r:id="rId24"/>
    <sheet name="Image 24" sheetId="105" r:id="rId25"/>
    <sheet name="Image 25" sheetId="106" r:id="rId26"/>
    <sheet name="Image 26" sheetId="107" r:id="rId27"/>
    <sheet name="Image 27" sheetId="108" r:id="rId28"/>
    <sheet name="Image 28" sheetId="109" r:id="rId29"/>
    <sheet name="Image 29" sheetId="110" r:id="rId30"/>
    <sheet name="Image 30" sheetId="111" r:id="rId31"/>
    <sheet name="Image 31" sheetId="112" r:id="rId32"/>
    <sheet name="Image 32" sheetId="113" r:id="rId33"/>
    <sheet name="Image 33" sheetId="114" r:id="rId34"/>
    <sheet name="Image 34" sheetId="115" r:id="rId35"/>
    <sheet name="Image 35" sheetId="116" r:id="rId36"/>
    <sheet name="Image 36" sheetId="117" r:id="rId37"/>
    <sheet name="Sheet1" sheetId="45" r:id="rId38"/>
  </sheets>
  <definedNames>
    <definedName name="BallPlateGen5_Fixture_P509_east_DC_1_1_20210305T010130.csv" localSheetId="1">'Image 1'!$A$1:$R$29</definedName>
    <definedName name="BallPlateGen5_Fixture_P509_east_DC_1_1_20210305T015628.csv" localSheetId="2">'Image 2'!$A$1:$R$29</definedName>
    <definedName name="BallPlateGen5_Fixture_P509_east_DC_1_1_20210305T023956.csv" localSheetId="3">'Image 3'!$A$1:$R$29</definedName>
    <definedName name="BallPlateGen5_Fixture_P509_east_DC_1_2_20210305T010456.csv" localSheetId="4">'Image 4'!$A$1:$R$29</definedName>
    <definedName name="BallPlateGen5_Fixture_P509_east_DC_1_2_20210305T015954.csv" localSheetId="5">'Image 5'!$A$1:$R$29</definedName>
    <definedName name="BallPlateGen5_Fixture_P509_east_DC_1_2_20210305T024321.csv" localSheetId="6">'Image 6'!$A$1:$R$29</definedName>
    <definedName name="BallPlateGen5_Fixture_P509_east_DC_1_3_20210305T010822.csv" localSheetId="7">'Image 7'!$A$1:$R$29</definedName>
    <definedName name="BallPlateGen5_Fixture_P509_east_DC_1_3_20210305T020319.csv" localSheetId="8">'Image 8'!$A$1:$R$29</definedName>
    <definedName name="BallPlateGen5_Fixture_P509_east_DC_1_3_20210305T024647.csv" localSheetId="9">'Image 9'!$A$1:$R$29</definedName>
    <definedName name="BallPlateGen5_Fixture_P509_east_DC_1_4_20210305T011148.csv" localSheetId="10">'Image 10'!$A$1:$R$29</definedName>
    <definedName name="BallPlateGen5_Fixture_P509_east_DC_1_4_20210305T020645.csv" localSheetId="11">'Image 11'!$A$1:$R$29</definedName>
    <definedName name="BallPlateGen5_Fixture_P509_east_DC_1_4_20210305T025013.csv" localSheetId="12">'Image 12'!$A$1:$R$29</definedName>
    <definedName name="BallPlateGen5_Fixture_P509_east_DC_1_5_20210305T011514.csv" localSheetId="13">'Image 13'!$A$1:$R$29</definedName>
    <definedName name="BallPlateGen5_Fixture_P509_east_DC_1_5_20210305T021010.csv" localSheetId="14">'Image 14'!$A$1:$R$29</definedName>
    <definedName name="BallPlateGen5_Fixture_P509_east_DC_1_5_20210305T025338.csv" localSheetId="15">'Image 15'!$A$1:$R$29</definedName>
    <definedName name="BallPlateGen5_Fixture_P509_east_DC_1_6_20210305T011840.csv" localSheetId="16">'Image 16'!$A$1:$R$29</definedName>
    <definedName name="BallPlateGen5_Fixture_P509_east_DC_1_6_20210305T021336.csv" localSheetId="17">'Image 17'!$A$1:$R$29</definedName>
    <definedName name="BallPlateGen5_Fixture_P509_east_DC_1_6_20210305T025704.csv" localSheetId="18">'Image 18'!$A$1:$R$29</definedName>
    <definedName name="BallPlateGen5_Fixture_P509_south_DC_1_1_20210305T013505.csv" localSheetId="19">'Image 19'!$A$1:$R$29</definedName>
    <definedName name="BallPlateGen5_Fixture_P509_south_DC_1_1_20210305T021821.csv" localSheetId="20">'Image 20'!$A$1:$R$29</definedName>
    <definedName name="BallPlateGen5_Fixture_P509_south_DC_1_1_20210305T121302.csv" localSheetId="21">'Image 21'!$A$1:$R$29</definedName>
    <definedName name="BallPlateGen5_Fixture_P509_south_DC_1_2_20210305T013831.csv" localSheetId="22">'Image 22'!$A$1:$R$29</definedName>
    <definedName name="BallPlateGen5_Fixture_P509_south_DC_1_2_20210305T022147.csv" localSheetId="23">'Image 23'!$A$1:$R$29</definedName>
    <definedName name="BallPlateGen5_Fixture_P509_south_DC_1_2_20210305T121628.csv" localSheetId="24">'Image 24'!$A$1:$R$29</definedName>
    <definedName name="BallPlateGen5_Fixture_P509_south_DC_1_3_20210305T014156.csv" localSheetId="25">'Image 25'!$A$1:$R$29</definedName>
    <definedName name="BallPlateGen5_Fixture_P509_south_DC_1_3_20210305T022512.csv" localSheetId="26">'Image 26'!$A$1:$R$29</definedName>
    <definedName name="BallPlateGen5_Fixture_P509_south_DC_1_3_20210305T121955.csv" localSheetId="27">'Image 27'!$A$1:$R$29</definedName>
    <definedName name="BallPlateGen5_Fixture_P509_south_DC_1_4_20210305T014522.csv" localSheetId="28">'Image 28'!$A$1:$R$29</definedName>
    <definedName name="BallPlateGen5_Fixture_P509_south_DC_1_4_20210305T022838.csv" localSheetId="29">'Image 29'!$A$1:$R$29</definedName>
    <definedName name="BallPlateGen5_Fixture_P509_south_DC_1_4_20210305T122321.csv" localSheetId="30">'Image 30'!$A$1:$R$29</definedName>
    <definedName name="BallPlateGen5_Fixture_P509_south_DC_1_5_20210305T014847.csv" localSheetId="31">'Image 31'!$A$1:$R$29</definedName>
    <definedName name="BallPlateGen5_Fixture_P509_south_DC_1_5_20210305T023204.csv" localSheetId="32">'Image 32'!$A$1:$R$29</definedName>
    <definedName name="BallPlateGen5_Fixture_P509_south_DC_1_5_20210305T122647.csv" localSheetId="33">'Image 33'!$A$1:$R$29</definedName>
    <definedName name="BallPlateGen5_Fixture_P509_south_DC_1_6_20210305T015212.csv" localSheetId="34">'Image 34'!$A$1:$R$29</definedName>
    <definedName name="BallPlateGen5_Fixture_P509_south_DC_1_6_20210305T023529.csv" localSheetId="35">'Image 35'!$A$1:$R$29</definedName>
    <definedName name="BallPlateGen5_Fixture_P509_south_DC_1_6_20210305T123013.csv" localSheetId="36">'Image 36'!$A$1:$R$29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H15" i="44" l="1" a="1"/>
  <c r="E8" i="44" a="1"/>
  <c r="K29" i="44" a="1"/>
  <c r="AH16" i="44" a="1"/>
  <c r="AO33" i="44" a="1"/>
  <c r="AH36" i="44" a="1"/>
  <c r="AC24" i="44" a="1"/>
  <c r="I13" i="44" a="1"/>
  <c r="AE20" i="44" a="1"/>
  <c r="C32" i="44" a="1"/>
  <c r="B7" i="44" a="1"/>
  <c r="AF40" i="44" a="1"/>
  <c r="AQ37" i="44" a="1"/>
  <c r="AM18" i="44" a="1"/>
  <c r="AS11" i="44" a="1"/>
  <c r="BK15" i="44" a="1"/>
  <c r="BI31" i="44" a="1"/>
  <c r="AT39" i="44" a="1"/>
  <c r="AG35" i="44" a="1"/>
  <c r="BK19" i="44" a="1"/>
  <c r="AK12" i="44" a="1"/>
  <c r="BI38" i="44" a="1"/>
  <c r="AF23" i="44" a="1"/>
  <c r="W26" i="44" a="1"/>
  <c r="J39" i="44" a="1"/>
  <c r="BJ20" i="44" a="1"/>
  <c r="C35" i="44" a="1"/>
  <c r="I37" i="44" a="1"/>
  <c r="AQ10" i="44" a="1"/>
  <c r="AF28" i="44" a="1"/>
  <c r="AH19" i="44" a="1"/>
  <c r="AQ20" i="44" a="1"/>
  <c r="AO41" i="44" a="1"/>
  <c r="AP21" i="44" a="1"/>
  <c r="W30" i="44" a="1"/>
  <c r="AC7" i="44" a="1"/>
  <c r="AD22" i="44" a="1"/>
  <c r="AO8" i="44" a="1"/>
  <c r="AN22" i="44" a="1"/>
  <c r="AB21" i="44" a="1"/>
  <c r="AI27" i="44" a="1"/>
  <c r="BI11" i="44" a="1"/>
  <c r="X20" i="44" a="1"/>
  <c r="AF19" i="44" a="1"/>
  <c r="Y15" i="44" a="1"/>
  <c r="AA19" i="44" a="1"/>
  <c r="AB18" i="44" a="1"/>
  <c r="AD26" i="44" a="1"/>
  <c r="AQ18" i="44" a="1"/>
  <c r="I41" i="44" a="1"/>
  <c r="BJ34" i="44" a="1"/>
  <c r="BG27" i="44" a="1"/>
  <c r="G39" i="44" a="1"/>
  <c r="AI40" i="44" a="1"/>
  <c r="C23" i="44" a="1"/>
  <c r="AJ25" i="44" a="1"/>
  <c r="AS22" i="44" a="1"/>
  <c r="J28" i="44" a="1"/>
  <c r="AB8" i="44" a="1"/>
  <c r="BG12" i="44" a="1"/>
  <c r="BI18" i="44" a="1"/>
  <c r="X12" i="44" a="1"/>
  <c r="G17" i="44" a="1"/>
  <c r="BJ13" i="44" a="1"/>
  <c r="AA20" i="44" a="1"/>
  <c r="AI42" i="44" a="1"/>
  <c r="C41" i="44" a="1"/>
  <c r="AN11" i="44" a="1"/>
  <c r="AM30" i="44" a="1"/>
  <c r="BK7" i="44" a="1"/>
  <c r="C37" i="44" a="1"/>
  <c r="F13" i="44" a="1"/>
  <c r="AC38" i="44" a="1"/>
  <c r="Z28" i="44" a="1"/>
  <c r="AR37" i="44" a="1"/>
  <c r="AD33" i="44" a="1"/>
  <c r="K18" i="44" a="1"/>
  <c r="AF33" i="44" a="1"/>
  <c r="AL35" i="44" a="1"/>
  <c r="BG28" i="44" a="1"/>
  <c r="AA34" i="44" a="1"/>
  <c r="Z39" i="44" a="1"/>
  <c r="AD42" i="44" a="1"/>
  <c r="AT33" i="44" a="1"/>
  <c r="AQ13" i="44" a="1"/>
  <c r="AT28" i="44" a="1"/>
  <c r="BG22" i="44" a="1"/>
  <c r="AK38" i="44" a="1"/>
  <c r="BI30" i="44" a="1"/>
  <c r="W34" i="44" a="1"/>
  <c r="AF16" i="44" a="1"/>
  <c r="AJ34" i="44" a="1"/>
  <c r="AG39" i="44" a="1"/>
  <c r="AE14" i="44" a="1"/>
  <c r="J42" i="44" a="1"/>
  <c r="G32" i="44" a="1"/>
  <c r="AM41" i="44" a="1"/>
  <c r="AO25" i="44" a="1"/>
  <c r="AA23" i="44" a="1"/>
  <c r="AF13" i="44" a="1"/>
  <c r="AC26" i="44" a="1"/>
  <c r="AS37" i="44" a="1"/>
  <c r="AK25" i="44" a="1"/>
  <c r="AL25" i="44" a="1"/>
  <c r="AA37" i="44" a="1"/>
  <c r="W41" i="44" a="1"/>
  <c r="AD38" i="44" a="1"/>
  <c r="W19" i="44" a="1"/>
  <c r="K26" i="44" a="1"/>
  <c r="AP15" i="44" a="1"/>
  <c r="G30" i="44" a="1"/>
  <c r="J18" i="44" a="1"/>
  <c r="AC27" i="44" a="1"/>
  <c r="X30" i="44" a="1"/>
  <c r="AD23" i="44" a="1"/>
  <c r="AK11" i="44" a="1"/>
  <c r="D41" i="44" a="1"/>
  <c r="V22" i="44" a="1"/>
  <c r="AL36" i="44" a="1"/>
  <c r="AN27" i="44" a="1"/>
  <c r="AR32" i="44" a="1"/>
  <c r="AL39" i="44" a="1"/>
  <c r="B36" i="44" a="1"/>
  <c r="BI10" i="44" a="1"/>
  <c r="AK40" i="44" a="1"/>
  <c r="C13" i="44" a="1"/>
  <c r="AC19" i="44" a="1"/>
  <c r="B39" i="44" a="1"/>
  <c r="AO36" i="44" a="1"/>
  <c r="Z26" i="44" a="1"/>
  <c r="BG30" i="44" a="1"/>
  <c r="AN19" i="44" a="1"/>
  <c r="AN7" i="44" a="1"/>
  <c r="AT13" i="44" a="1"/>
  <c r="BI33" i="44" a="1"/>
  <c r="D20" i="44" a="1"/>
  <c r="AO16" i="44" a="1"/>
  <c r="BJ29" i="44" a="1"/>
  <c r="J31" i="44" a="1"/>
  <c r="D32" i="44" a="1"/>
  <c r="BJ14" i="44" a="1"/>
  <c r="D22" i="44" a="1"/>
  <c r="H41" i="44" a="1"/>
  <c r="E28" i="44" a="1"/>
  <c r="AL15" i="44" a="1"/>
  <c r="AJ23" i="44" a="1"/>
  <c r="AR36" i="44" a="1"/>
  <c r="F37" i="44" a="1"/>
  <c r="BG37" i="44" a="1"/>
  <c r="AA25" i="44" a="1"/>
  <c r="AE29" i="44" a="1"/>
  <c r="E19" i="44" a="1"/>
  <c r="AM10" i="44" a="1"/>
  <c r="J21" i="44" a="1"/>
  <c r="AE22" i="44" a="1"/>
  <c r="I23" i="44" a="1"/>
  <c r="BI39" i="44" a="1"/>
  <c r="AJ15" i="44" a="1"/>
  <c r="AF7" i="44" a="1"/>
  <c r="AC41" i="44" a="1"/>
  <c r="AJ24" i="44" a="1"/>
  <c r="AJ18" i="44" a="1"/>
  <c r="B28" i="44" a="1"/>
  <c r="AL30" i="44" a="1"/>
  <c r="AP11" i="44" a="1"/>
  <c r="AR16" i="44" a="1"/>
  <c r="AD21" i="44" a="1"/>
  <c r="AB38" i="44" a="1"/>
  <c r="D26" i="44" a="1"/>
  <c r="BI7" i="44" a="1"/>
  <c r="AA39" i="44" a="1"/>
  <c r="Y21" i="44" a="1"/>
  <c r="C10" i="44" a="1"/>
  <c r="J29" i="44" a="1"/>
  <c r="AC10" i="44" a="1"/>
  <c r="AL31" i="44" a="1"/>
  <c r="AA27" i="44" a="1"/>
  <c r="AF34" i="44" a="1"/>
  <c r="AA30" i="44" a="1"/>
  <c r="AP41" i="44" a="1"/>
  <c r="I10" i="44" a="1"/>
  <c r="C26" i="44" a="1"/>
  <c r="D29" i="44" a="1"/>
  <c r="AG16" i="44" a="1"/>
  <c r="BG32" i="44" a="1"/>
  <c r="E37" i="44" a="1"/>
  <c r="AN30" i="44" a="1"/>
  <c r="H32" i="44" a="1"/>
  <c r="BH38" i="44" a="1"/>
  <c r="BI21" i="44" a="1"/>
  <c r="W25" i="44" a="1"/>
  <c r="G16" i="44" a="1"/>
  <c r="F22" i="44" a="1"/>
  <c r="AP28" i="44" a="1"/>
  <c r="BH39" i="44" a="1"/>
  <c r="AP10" i="44" a="1"/>
  <c r="AE23" i="44" a="1"/>
  <c r="AS19" i="44" a="1"/>
  <c r="AI38" i="44" a="1"/>
  <c r="X28" i="44" a="1"/>
  <c r="C16" i="44" a="1"/>
  <c r="H22" i="44" a="1"/>
  <c r="AM39" i="44" a="1"/>
  <c r="AG11" i="44" a="1"/>
  <c r="C9" i="44" a="1"/>
  <c r="BH16" i="44" a="1"/>
  <c r="G31" i="44" a="1"/>
  <c r="AG29" i="44" a="1"/>
  <c r="AK35" i="44" a="1"/>
  <c r="J8" i="44" a="1"/>
  <c r="G11" i="44" a="1"/>
  <c r="K33" i="44" a="1"/>
  <c r="X14" i="44" a="1"/>
  <c r="I16" i="44" a="1"/>
  <c r="AA8" i="44" a="1"/>
  <c r="AA13" i="44" a="1"/>
  <c r="E25" i="44" a="1"/>
  <c r="AH40" i="44" a="1"/>
  <c r="AG41" i="44" a="1"/>
  <c r="AC34" i="44" a="1"/>
  <c r="BI27" i="44" a="1"/>
  <c r="BH19" i="44" a="1"/>
  <c r="BJ9" i="44" a="1"/>
  <c r="AR42" i="44" a="1"/>
  <c r="AL34" i="44" a="1"/>
  <c r="AB17" i="44" a="1"/>
  <c r="AF21" i="44" a="1"/>
  <c r="X39" i="44" a="1"/>
  <c r="AN16" i="44" a="1"/>
  <c r="BH10" i="44" a="1"/>
  <c r="AL14" i="44" a="1"/>
  <c r="AR22" i="44" a="1"/>
  <c r="AC14" i="44" a="1"/>
  <c r="AH38" i="44" a="1"/>
  <c r="BK42" i="44" a="1"/>
  <c r="D23" i="44" a="1"/>
  <c r="C27" i="44" a="1"/>
  <c r="AN40" i="44" a="1"/>
  <c r="AG27" i="44" a="1"/>
  <c r="AA32" i="44" a="1"/>
  <c r="AE33" i="44" a="1"/>
  <c r="AA15" i="44" a="1"/>
  <c r="BK18" i="44" a="1"/>
  <c r="AP20" i="44" a="1"/>
  <c r="AT30" i="44" a="1"/>
  <c r="AS32" i="44" a="1"/>
  <c r="G24" i="44" a="1"/>
  <c r="I11" i="44" a="1"/>
  <c r="BG24" i="44" a="1"/>
  <c r="BH9" i="44" a="1"/>
  <c r="AD13" i="44" a="1"/>
  <c r="K41" i="44" a="1"/>
  <c r="Z37" i="44" a="1"/>
  <c r="BG15" i="44" a="1"/>
  <c r="AD31" i="44" a="1"/>
  <c r="Z24" i="44" a="1"/>
  <c r="AQ33" i="44" a="1"/>
  <c r="K30" i="44" a="1"/>
  <c r="AI35" i="44" a="1"/>
  <c r="V7" i="44" a="1"/>
  <c r="AG7" i="44" a="1"/>
  <c r="AN32" i="44" a="1"/>
  <c r="K25" i="44" a="1"/>
  <c r="AS16" i="44" a="1"/>
  <c r="BK28" i="44" a="1"/>
  <c r="X23" i="44" a="1"/>
  <c r="BJ23" i="44" a="1"/>
  <c r="AR18" i="44" a="1"/>
  <c r="BH31" i="44" a="1"/>
  <c r="Y14" i="44" a="1"/>
  <c r="AB19" i="44" a="1"/>
  <c r="AA9" i="44" a="1"/>
  <c r="Z34" i="44" a="1"/>
  <c r="B38" i="44" a="1"/>
  <c r="AR27" i="44" a="1"/>
  <c r="G28" i="44" a="1"/>
  <c r="H24" i="44" a="1"/>
  <c r="AB29" i="44" a="1"/>
  <c r="AP38" i="44" a="1"/>
  <c r="Z15" i="44" a="1"/>
  <c r="AK13" i="44" a="1"/>
  <c r="E9" i="44" a="1"/>
  <c r="H40" i="44" a="1"/>
  <c r="BJ40" i="44" a="1"/>
  <c r="E10" i="44" a="1"/>
  <c r="E17" i="44" a="1"/>
  <c r="D24" i="44" a="1"/>
  <c r="H9" i="44" a="1"/>
  <c r="H42" i="44" a="1"/>
  <c r="C36" i="44" a="1"/>
  <c r="BI20" i="44" a="1"/>
  <c r="I28" i="44" a="1"/>
  <c r="AN31" i="44" a="1"/>
  <c r="C20" i="44" a="1"/>
  <c r="AR8" i="44" a="1"/>
  <c r="AH39" i="44" a="1"/>
  <c r="AS42" i="44" a="1"/>
  <c r="AL42" i="44" a="1"/>
  <c r="BI28" i="44" a="1"/>
  <c r="AL21" i="44" a="1"/>
  <c r="V18" i="44" a="1"/>
  <c r="K15" i="44" a="1"/>
  <c r="AP32" i="44" a="1"/>
  <c r="AE18" i="44" a="1"/>
  <c r="AJ33" i="44" a="1"/>
  <c r="Y11" i="44" a="1"/>
  <c r="V19" i="44" a="1"/>
  <c r="AJ20" i="44" a="1"/>
  <c r="AD36" i="44" a="1"/>
  <c r="X24" i="44" a="1"/>
  <c r="BH41" i="44" a="1"/>
  <c r="AL37" i="44" a="1"/>
  <c r="V39" i="44" a="1"/>
  <c r="AS18" i="44" a="1"/>
  <c r="AT34" i="44" a="1"/>
  <c r="V27" i="44" a="1"/>
  <c r="BJ16" i="44" a="1"/>
  <c r="AJ8" i="44" a="1"/>
  <c r="AP7" i="44" a="1"/>
  <c r="Z36" i="44" a="1"/>
  <c r="BG11" i="44" a="1"/>
  <c r="AK7" i="44" a="1"/>
  <c r="AI41" i="44" a="1"/>
  <c r="AN38" i="44" a="1"/>
  <c r="AB35" i="44" a="1"/>
  <c r="V16" i="44" a="1"/>
  <c r="AN9" i="44" a="1"/>
  <c r="AO40" i="44" a="1"/>
  <c r="AF24" i="44" a="1"/>
  <c r="AJ29" i="44" a="1"/>
  <c r="D31" i="44" a="1"/>
  <c r="E36" i="44" a="1"/>
  <c r="H30" i="44" a="1"/>
  <c r="AA38" i="44" a="1"/>
  <c r="G8" i="44" a="1"/>
  <c r="Z13" i="44" a="1"/>
  <c r="AG25" i="44" a="1"/>
  <c r="G23" i="44" a="1"/>
  <c r="D38" i="44" a="1"/>
  <c r="AB31" i="44" a="1"/>
  <c r="AR26" i="44" a="1"/>
  <c r="AM20" i="44" a="1"/>
  <c r="AO10" i="44" a="1"/>
  <c r="BK22" i="44" a="1"/>
  <c r="AN35" i="44" a="1"/>
  <c r="Z17" i="44" a="1"/>
  <c r="W15" i="44" a="1"/>
  <c r="E24" i="44" a="1"/>
  <c r="X34" i="44" a="1"/>
  <c r="B16" i="44" a="1"/>
  <c r="AC9" i="44" a="1"/>
  <c r="AN24" i="44" a="1"/>
  <c r="X35" i="44" a="1"/>
  <c r="V25" i="44" a="1"/>
  <c r="C25" i="44" a="1"/>
  <c r="AH8" i="44" a="1"/>
  <c r="BJ24" i="44" a="1"/>
  <c r="AJ36" i="44" a="1"/>
  <c r="AI16" i="44" a="1"/>
  <c r="AK37" i="44" a="1"/>
  <c r="AF38" i="44" a="1"/>
  <c r="AT14" i="44" a="1"/>
  <c r="B8" i="44" a="1"/>
  <c r="AE21" i="44" a="1"/>
  <c r="AL9" i="44" a="1"/>
  <c r="BI41" i="44" a="1"/>
  <c r="AK21" i="44" a="1"/>
  <c r="BK11" i="44" a="1"/>
  <c r="Y28" i="44" a="1"/>
  <c r="AA28" i="44" a="1"/>
  <c r="AL16" i="44" a="1"/>
  <c r="W32" i="44" a="1"/>
  <c r="AN29" i="44" a="1"/>
  <c r="V35" i="44" a="1"/>
  <c r="AF29" i="44" a="1"/>
  <c r="Z35" i="44" a="1"/>
  <c r="AQ11" i="44" a="1"/>
  <c r="AG12" i="44" a="1"/>
  <c r="K7" i="44" a="1"/>
  <c r="AR20" i="44" a="1"/>
  <c r="I25" i="44" a="1"/>
  <c r="BH27" i="44" a="1"/>
  <c r="AK22" i="44" a="1"/>
  <c r="B22" i="44" a="1"/>
  <c r="Y34" i="44" a="1"/>
  <c r="AD18" i="44" a="1"/>
  <c r="F41" i="44" a="1"/>
  <c r="AN41" i="44" a="1"/>
  <c r="B30" i="44" a="1"/>
  <c r="AT12" i="44" a="1"/>
  <c r="AD20" i="44" a="1"/>
  <c r="AD34" i="44" a="1"/>
  <c r="F31" i="44" a="1"/>
  <c r="AE13" i="44" a="1"/>
  <c r="F40" i="44" a="1"/>
  <c r="Y20" i="44" a="1"/>
  <c r="AS7" i="44" a="1"/>
  <c r="AP34" i="44" a="1"/>
  <c r="AO29" i="44" a="1"/>
  <c r="AT40" i="44" a="1"/>
  <c r="BK36" i="44" a="1"/>
  <c r="AO34" i="44" a="1"/>
  <c r="I39" i="44" a="1"/>
  <c r="D8" i="44" a="1"/>
  <c r="BH23" i="44" a="1"/>
  <c r="G40" i="44" a="1"/>
  <c r="E35" i="44" a="1"/>
  <c r="AB12" i="44" a="1"/>
  <c r="AJ42" i="44" a="1"/>
  <c r="BK33" i="44" a="1"/>
  <c r="AL26" i="44" a="1"/>
  <c r="BK13" i="44" a="1"/>
  <c r="X11" i="44" a="1"/>
  <c r="D25" i="44" a="1"/>
  <c r="AD29" i="44" a="1"/>
  <c r="BI34" i="44" a="1"/>
  <c r="H38" i="44" a="1"/>
  <c r="AI7" i="44" a="1"/>
  <c r="AA11" i="44" a="1"/>
  <c r="AP14" i="44" a="1"/>
  <c r="E21" i="44" a="1"/>
  <c r="G38" i="44" a="1"/>
  <c r="W29" i="44" a="1"/>
  <c r="BG8" i="44" a="1"/>
  <c r="AJ37" i="44" a="1"/>
  <c r="BG31" i="44" a="1"/>
  <c r="AB42" i="44" a="1"/>
  <c r="F10" i="44" a="1"/>
  <c r="AS23" i="44" a="1"/>
  <c r="AO19" i="44" a="1"/>
  <c r="AC21" i="44" a="1"/>
  <c r="Y19" i="44" a="1"/>
  <c r="Y39" i="44" a="1"/>
  <c r="H35" i="44" a="1"/>
  <c r="AQ30" i="44" a="1"/>
  <c r="W14" i="44" a="1"/>
  <c r="AM33" i="44" a="1"/>
  <c r="AR24" i="44" a="1"/>
  <c r="J10" i="44" a="1"/>
  <c r="AB27" i="44" a="1"/>
  <c r="AJ14" i="44" a="1"/>
  <c r="V29" i="44" a="1"/>
  <c r="AE42" i="44" a="1"/>
  <c r="D17" i="44" a="1"/>
  <c r="AI36" i="44" a="1"/>
  <c r="BK32" i="44" a="1"/>
  <c r="AN17" i="44" a="1"/>
  <c r="AC20" i="44" a="1"/>
  <c r="J23" i="44" a="1"/>
  <c r="BG21" i="44" a="1"/>
  <c r="AI31" i="44" a="1"/>
  <c r="W7" i="44" a="1"/>
  <c r="BH32" i="44" a="1"/>
  <c r="AA36" i="44" a="1"/>
  <c r="AT38" i="44" a="1"/>
  <c r="V15" i="44" a="1"/>
  <c r="AB11" i="44" a="1"/>
  <c r="AD19" i="44" a="1"/>
  <c r="J25" i="44" a="1"/>
  <c r="Y13" i="44" a="1"/>
  <c r="B20" i="44" a="1"/>
  <c r="AQ12" i="44" a="1"/>
  <c r="AC42" i="44" a="1"/>
  <c r="F30" i="44" a="1"/>
  <c r="BH26" i="44" a="1"/>
  <c r="J40" i="44" a="1"/>
  <c r="AD8" i="44" a="1"/>
  <c r="BK29" i="44" a="1"/>
  <c r="BJ11" i="44" a="1"/>
  <c r="K36" i="44" a="1"/>
  <c r="AM37" i="44" a="1"/>
  <c r="W21" i="44" a="1"/>
  <c r="AQ24" i="44" a="1"/>
  <c r="AR25" i="44" a="1"/>
  <c r="Z8" i="44" a="1"/>
  <c r="H20" i="44" a="1"/>
  <c r="G12" i="44" a="1"/>
  <c r="V38" i="44" a="1"/>
  <c r="AA16" i="44" a="1"/>
  <c r="Y12" i="44" a="1"/>
  <c r="AI24" i="44" a="1"/>
  <c r="W36" i="44" a="1"/>
  <c r="AB16" i="44" a="1"/>
  <c r="AR38" i="44" a="1"/>
  <c r="AN14" i="44" a="1"/>
  <c r="Z25" i="44" a="1"/>
  <c r="AO32" i="44" a="1"/>
  <c r="AQ32" i="44" a="1"/>
  <c r="AM24" i="44" a="1"/>
  <c r="BK10" i="44" a="1"/>
  <c r="BK34" i="44" a="1"/>
  <c r="BH7" i="44" a="1"/>
  <c r="G33" i="44" a="1"/>
  <c r="BH25" i="44" a="1"/>
  <c r="AD16" i="44" a="1"/>
  <c r="BH22" i="44" a="1"/>
  <c r="AP22" i="44" a="1"/>
  <c r="AK30" i="44" a="1"/>
  <c r="BH30" i="44" a="1"/>
  <c r="AB34" i="44" a="1"/>
  <c r="AG10" i="44" a="1"/>
  <c r="Y32" i="44" a="1"/>
  <c r="AH15" i="44" a="1"/>
  <c r="AT42" i="44" a="1"/>
  <c r="E41" i="44" a="1"/>
  <c r="G41" i="44" a="1"/>
  <c r="I8" i="44" a="1"/>
  <c r="AI37" i="44" a="1"/>
  <c r="D33" i="44" a="1"/>
  <c r="H10" i="44" a="1"/>
  <c r="AB40" i="44" a="1"/>
  <c r="X29" i="44" a="1"/>
  <c r="BJ31" i="44" a="1"/>
  <c r="AI21" i="44" a="1"/>
  <c r="AN42" i="44" a="1"/>
  <c r="I21" i="44" a="1"/>
  <c r="AT22" i="44" a="1"/>
  <c r="AS30" i="44" a="1"/>
  <c r="AJ13" i="44" a="1"/>
  <c r="BG25" i="44" a="1"/>
  <c r="AN10" i="44" a="1"/>
  <c r="BI9" i="44" a="1"/>
  <c r="AG9" i="44" a="1"/>
  <c r="AJ41" i="44" a="1"/>
  <c r="AI22" i="44" a="1"/>
  <c r="AL10" i="44" a="1"/>
  <c r="D27" i="44" a="1"/>
  <c r="Z32" i="44" a="1"/>
  <c r="BJ26" i="44" a="1"/>
  <c r="AA35" i="44" a="1"/>
  <c r="AT25" i="44" a="1"/>
  <c r="AN33" i="44" a="1"/>
  <c r="B11" i="44" a="1"/>
  <c r="H34" i="44" a="1"/>
  <c r="AE31" i="44" a="1"/>
  <c r="G34" i="44" a="1"/>
  <c r="BJ22" i="44" a="1"/>
  <c r="AO26" i="44" a="1"/>
  <c r="Z20" i="44" a="1"/>
  <c r="J11" i="44" a="1"/>
  <c r="AQ31" i="44" a="1"/>
  <c r="AH25" i="44" a="1"/>
  <c r="Y31" i="44" a="1"/>
  <c r="AD17" i="44" a="1"/>
  <c r="AC15" i="44" a="1"/>
  <c r="BK25" i="44" a="1"/>
  <c r="Y29" i="44" a="1"/>
  <c r="BH40" i="44" a="1"/>
  <c r="AE12" i="44" a="1"/>
  <c r="W37" i="44" a="1"/>
  <c r="AN28" i="44" a="1"/>
  <c r="BH13" i="44" a="1"/>
  <c r="V26" i="44" a="1"/>
  <c r="W12" i="44" a="1"/>
  <c r="Z14" i="44" a="1"/>
  <c r="AH13" i="44" a="1"/>
  <c r="BG35" i="44" a="1"/>
  <c r="AI14" i="44" a="1"/>
  <c r="AD15" i="44" a="1"/>
  <c r="AQ15" i="44" a="1"/>
  <c r="AG18" i="44" a="1"/>
  <c r="Y42" i="44" a="1"/>
  <c r="AM26" i="44" a="1"/>
  <c r="AL13" i="44" a="1"/>
  <c r="AJ40" i="44" a="1"/>
  <c r="K20" i="44" a="1"/>
  <c r="AI8" i="44" a="1"/>
  <c r="W42" i="44" a="1"/>
  <c r="J19" i="44" a="1"/>
  <c r="BK24" i="44" a="1"/>
  <c r="AS38" i="44" a="1"/>
  <c r="AN18" i="44" a="1"/>
  <c r="BK9" i="44" a="1"/>
  <c r="AT16" i="44" a="1"/>
  <c r="AQ41" i="44" a="1"/>
  <c r="AO31" i="44" a="1"/>
  <c r="AP27" i="44" a="1"/>
  <c r="AP17" i="44" a="1"/>
  <c r="Z31" i="44" a="1"/>
  <c r="AJ19" i="44" a="1"/>
  <c r="AP30" i="44" a="1"/>
  <c r="K37" i="44" a="1"/>
  <c r="C7" i="44" a="1"/>
  <c r="AH32" i="44" a="1"/>
  <c r="W23" i="44" a="1"/>
  <c r="Z38" i="44" a="1"/>
  <c r="H29" i="44" a="1"/>
  <c r="F24" i="44" a="1"/>
  <c r="AF8" i="44" a="1"/>
  <c r="X21" i="44" a="1"/>
  <c r="AE16" i="44" a="1"/>
  <c r="W17" i="44" a="1"/>
  <c r="AE32" i="44" a="1"/>
  <c r="AT29" i="44" a="1"/>
  <c r="AL12" i="44" a="1"/>
  <c r="B15" i="44" a="1"/>
  <c r="G19" i="44" a="1"/>
  <c r="AR17" i="44" a="1"/>
  <c r="AL20" i="44" a="1"/>
  <c r="K12" i="44" a="1"/>
  <c r="AG19" i="44" a="1"/>
  <c r="V34" i="44" a="1"/>
  <c r="AQ8" i="44" a="1"/>
  <c r="B21" i="44" a="1"/>
  <c r="BG42" i="44" a="1"/>
  <c r="H25" i="44" a="1"/>
  <c r="AE41" i="44" a="1"/>
  <c r="I30" i="44" a="1"/>
  <c r="AL8" i="44" a="1"/>
  <c r="AD37" i="44" a="1"/>
  <c r="AH33" i="44" a="1"/>
  <c r="E33" i="44" a="1"/>
  <c r="C24" i="44" a="1"/>
  <c r="AD12" i="44" a="1"/>
  <c r="AK8" i="44" a="1"/>
  <c r="AK15" i="44" a="1"/>
  <c r="G29" i="44" a="1"/>
  <c r="AR7" i="44" a="1"/>
  <c r="AQ16" i="44" a="1"/>
  <c r="AE26" i="44" a="1"/>
  <c r="AH29" i="44" a="1"/>
  <c r="F16" i="44" a="1"/>
  <c r="F26" i="44" a="1"/>
  <c r="AK10" i="44" a="1"/>
  <c r="AF32" i="44" a="1"/>
  <c r="I26" i="44" a="1"/>
  <c r="X18" i="44" a="1"/>
  <c r="AJ39" i="44" a="1"/>
  <c r="C34" i="44" a="1"/>
  <c r="AL22" i="44" a="1"/>
  <c r="J9" i="44" a="1"/>
  <c r="AF9" i="44" a="1"/>
  <c r="AT19" i="44" a="1"/>
  <c r="AC35" i="44" a="1"/>
  <c r="F21" i="44" a="1"/>
  <c r="AR30" i="44" a="1"/>
  <c r="V14" i="44" a="1"/>
  <c r="W38" i="44" a="1"/>
  <c r="Z21" i="44" a="1"/>
  <c r="AH14" i="44" a="1"/>
  <c r="AC39" i="44" a="1"/>
  <c r="AN13" i="44" a="1"/>
  <c r="G37" i="44" a="1"/>
  <c r="BJ38" i="44" a="1"/>
  <c r="X26" i="44" a="1"/>
  <c r="D21" i="44" a="1"/>
  <c r="AB23" i="44" a="1"/>
  <c r="B29" i="44" a="1"/>
  <c r="D30" i="44" a="1"/>
  <c r="G13" i="44" a="1"/>
  <c r="BI17" i="44" a="1"/>
  <c r="AP26" i="44" a="1"/>
  <c r="V13" i="44" a="1"/>
  <c r="AT15" i="44" a="1"/>
  <c r="BH11" i="44" a="1"/>
  <c r="AG30" i="44" a="1"/>
  <c r="AP24" i="44" a="1"/>
  <c r="V36" i="44" a="1"/>
  <c r="AS24" i="44" a="1"/>
  <c r="AA12" i="44" a="1"/>
  <c r="AP25" i="44" a="1"/>
  <c r="BK38" i="44" a="1"/>
  <c r="AF11" i="44" a="1"/>
  <c r="AM12" i="44" a="1"/>
  <c r="AC13" i="44" a="1"/>
  <c r="E26" i="44" a="1"/>
  <c r="C8" i="44" a="1"/>
  <c r="K38" i="44" a="1"/>
  <c r="AH35" i="44" a="1"/>
  <c r="AO35" i="44" a="1"/>
  <c r="G20" i="44" a="1"/>
  <c r="AH37" i="44" a="1"/>
  <c r="BK21" i="44" a="1"/>
  <c r="W20" i="44" a="1"/>
  <c r="AN21" i="44" a="1"/>
  <c r="AO18" i="44" a="1"/>
  <c r="AG34" i="44" a="1"/>
  <c r="AH18" i="44" a="1"/>
  <c r="AM11" i="44" a="1"/>
  <c r="AL41" i="44" a="1"/>
  <c r="B24" i="44" a="1"/>
  <c r="AC37" i="44" a="1"/>
  <c r="BJ35" i="44" a="1"/>
  <c r="X41" i="44" a="1"/>
  <c r="K42" i="44" a="1"/>
  <c r="J26" i="44" a="1"/>
  <c r="AF39" i="44" a="1"/>
  <c r="AH31" i="44" a="1"/>
  <c r="W9" i="44" a="1"/>
  <c r="AD30" i="44" a="1"/>
  <c r="H37" i="44" a="1"/>
  <c r="Y9" i="44" a="1"/>
  <c r="AS12" i="44" a="1"/>
  <c r="G26" i="44" a="1"/>
  <c r="Z27" i="44" a="1"/>
  <c r="C40" i="44" a="1"/>
  <c r="I24" i="44" a="1"/>
  <c r="AK34" i="44" a="1"/>
  <c r="AM8" i="44" a="1"/>
  <c r="F17" i="44" a="1"/>
  <c r="BI26" i="44" a="1"/>
  <c r="V10" i="44" a="1"/>
  <c r="E23" i="44" a="1"/>
  <c r="AL32" i="44" a="1"/>
  <c r="AL19" i="44" a="1"/>
  <c r="AR9" i="44" a="1"/>
  <c r="Z40" i="44" a="1"/>
  <c r="AO14" i="44" a="1"/>
  <c r="X40" i="44" a="1"/>
  <c r="AR15" i="44" a="1"/>
  <c r="AM27" i="44" a="1"/>
  <c r="V42" i="44" a="1"/>
  <c r="F42" i="44" a="1"/>
  <c r="AG15" i="44" a="1"/>
  <c r="AM13" i="44" a="1"/>
  <c r="BI8" i="44" a="1"/>
  <c r="Y7" i="44" a="1"/>
  <c r="J15" i="44" a="1"/>
  <c r="AC32" i="44" a="1"/>
  <c r="W28" i="44" a="1"/>
  <c r="H16" i="44" a="1"/>
  <c r="BI24" i="44" a="1"/>
  <c r="BI23" i="44" a="1"/>
  <c r="BH8" i="44" a="1"/>
  <c r="AR28" i="44" a="1"/>
  <c r="C29" i="44" a="1"/>
  <c r="AF42" i="44" a="1"/>
  <c r="K22" i="44" a="1"/>
  <c r="K32" i="44" a="1"/>
  <c r="H14" i="44" a="1"/>
  <c r="Y26" i="44" a="1"/>
  <c r="AA17" i="44" a="1"/>
  <c r="AO24" i="44" a="1"/>
  <c r="AJ31" i="44" a="1"/>
  <c r="V12" i="44" a="1"/>
  <c r="K10" i="44" a="1"/>
  <c r="AB37" i="44" a="1"/>
  <c r="BJ10" i="44" a="1"/>
  <c r="BG16" i="44" a="1"/>
  <c r="BI25" i="44" a="1"/>
  <c r="I19" i="44" a="1"/>
  <c r="AP37" i="44" a="1"/>
  <c r="AE8" i="44" a="1"/>
  <c r="AT37" i="44" a="1"/>
  <c r="E30" i="44" a="1"/>
  <c r="K19" i="44" a="1"/>
  <c r="BH24" i="44" a="1"/>
  <c r="AT35" i="44" a="1"/>
  <c r="AT10" i="44" a="1"/>
  <c r="AB28" i="44" a="1"/>
  <c r="AJ12" i="44" a="1"/>
  <c r="G9" i="44" a="1"/>
  <c r="F14" i="44" a="1"/>
  <c r="AT23" i="44" a="1"/>
  <c r="AM35" i="44" a="1"/>
  <c r="BH35" i="44" a="1"/>
  <c r="B18" i="44" a="1"/>
  <c r="G21" i="44" a="1"/>
  <c r="B14" i="44" a="1"/>
  <c r="AC16" i="44" a="1"/>
  <c r="AS10" i="44" a="1"/>
  <c r="D40" i="44" a="1"/>
  <c r="Y8" i="44" a="1"/>
  <c r="B41" i="44" a="1"/>
  <c r="AE36" i="44" a="1"/>
  <c r="AP9" i="44" a="1"/>
  <c r="BI19" i="44" a="1"/>
  <c r="AG42" i="44" a="1"/>
  <c r="K8" i="44" a="1"/>
  <c r="AS8" i="44" a="1"/>
  <c r="F9" i="44" a="1"/>
  <c r="D28" i="44" a="1"/>
  <c r="AH9" i="44" a="1"/>
  <c r="E32" i="44" a="1"/>
  <c r="I15" i="44" a="1"/>
  <c r="J27" i="44" a="1"/>
  <c r="AQ36" i="44" a="1"/>
  <c r="AQ40" i="44" a="1"/>
  <c r="AF25" i="44" a="1"/>
  <c r="AQ7" i="44" a="1"/>
  <c r="AM31" i="44" a="1"/>
  <c r="BI37" i="44" a="1"/>
  <c r="AT7" i="44" a="1"/>
  <c r="AO39" i="44" a="1"/>
  <c r="AG32" i="44" a="1"/>
  <c r="Y22" i="44" a="1"/>
  <c r="Y41" i="44" a="1"/>
  <c r="AD10" i="44" a="1"/>
  <c r="BJ8" i="44" a="1"/>
  <c r="AQ28" i="44" a="1"/>
  <c r="AJ35" i="44" a="1"/>
  <c r="K23" i="44" a="1"/>
  <c r="AJ17" i="44" a="1"/>
  <c r="Y25" i="44" a="1"/>
  <c r="AK36" i="44" a="1"/>
  <c r="BH42" i="44" a="1"/>
  <c r="E16" i="44" a="1"/>
  <c r="AM9" i="44" a="1"/>
  <c r="AI33" i="44" a="1"/>
  <c r="E40" i="44" a="1"/>
  <c r="AJ26" i="44" a="1"/>
  <c r="AR40" i="44" a="1"/>
  <c r="BH17" i="44" a="1"/>
  <c r="BI12" i="44" a="1"/>
  <c r="J20" i="44" a="1"/>
  <c r="AS31" i="44" a="1"/>
  <c r="Z19" i="44" a="1"/>
  <c r="BG17" i="44" a="1"/>
  <c r="W22" i="44" a="1"/>
  <c r="AO17" i="44" a="1"/>
  <c r="AB24" i="44" a="1"/>
  <c r="AJ22" i="44" a="1"/>
  <c r="F15" i="44" a="1"/>
  <c r="BG23" i="44" a="1"/>
  <c r="F39" i="44" a="1"/>
  <c r="Y40" i="44" a="1"/>
  <c r="C15" i="44" a="1"/>
  <c r="AL29" i="44" a="1"/>
  <c r="AG14" i="44" a="1"/>
  <c r="BI36" i="44" a="1"/>
  <c r="I22" i="44" a="1"/>
  <c r="H23" i="44" a="1"/>
  <c r="AJ11" i="44" a="1"/>
  <c r="AK39" i="44" a="1"/>
  <c r="Z7" i="44" a="1"/>
  <c r="AP19" i="44" a="1"/>
  <c r="C33" i="44" a="1"/>
  <c r="AK14" i="44" a="1"/>
  <c r="AN39" i="44" a="1"/>
  <c r="AM16" i="44" a="1"/>
  <c r="AS17" i="44" a="1"/>
  <c r="AA42" i="44" a="1"/>
  <c r="AS15" i="44" a="1"/>
  <c r="D7" i="44" a="1"/>
  <c r="AD7" i="44" a="1"/>
  <c r="AI25" i="44" a="1"/>
  <c r="K40" i="44" a="1"/>
  <c r="I34" i="44" a="1"/>
  <c r="AB14" i="44" a="1"/>
  <c r="AE24" i="44" a="1"/>
  <c r="AR12" i="44" a="1"/>
  <c r="AT20" i="44" a="1"/>
  <c r="AI20" i="44" a="1"/>
  <c r="AS25" i="44" a="1"/>
  <c r="BI35" i="44" a="1"/>
  <c r="AL23" i="44" a="1"/>
  <c r="F18" i="44" a="1"/>
  <c r="F8" i="44" a="1"/>
  <c r="V8" i="44" a="1"/>
  <c r="F19" i="44" a="1"/>
  <c r="J7" i="44" a="1"/>
  <c r="F20" i="44" a="1"/>
  <c r="V28" i="44" a="1"/>
  <c r="J30" i="44" a="1"/>
  <c r="AF18" i="44" a="1"/>
  <c r="B9" i="44" a="1"/>
  <c r="AM25" i="44" a="1"/>
  <c r="AI12" i="44" a="1"/>
  <c r="AN15" i="44" a="1"/>
  <c r="G7" i="44" a="1"/>
  <c r="W11" i="44" a="1"/>
  <c r="AQ29" i="44" a="1"/>
  <c r="W13" i="44" a="1"/>
  <c r="AT36" i="44" a="1"/>
  <c r="AC30" i="44" a="1"/>
  <c r="AM32" i="44" a="1"/>
  <c r="B13" i="44" a="1"/>
  <c r="BG41" i="44" a="1"/>
  <c r="BH14" i="44" a="1"/>
  <c r="AL38" i="44" a="1"/>
  <c r="AS26" i="44" a="1"/>
  <c r="V41" i="44" a="1"/>
  <c r="AA40" i="44" a="1"/>
  <c r="W40" i="44" a="1"/>
  <c r="F34" i="44" a="1"/>
  <c r="F27" i="44" a="1"/>
  <c r="AB36" i="44" a="1"/>
  <c r="AA22" i="44" a="1"/>
  <c r="AQ21" i="44" a="1"/>
  <c r="BH36" i="44" a="1"/>
  <c r="AD41" i="44" a="1"/>
  <c r="BH21" i="44" a="1"/>
  <c r="F7" i="44" a="1"/>
  <c r="AO27" i="44" a="1"/>
  <c r="AH7" i="44" a="1"/>
  <c r="F28" i="44" a="1"/>
  <c r="BJ33" i="44" a="1"/>
  <c r="D14" i="44" a="1"/>
  <c r="BJ39" i="44" a="1"/>
  <c r="BK35" i="44" a="1"/>
  <c r="AJ30" i="44" a="1"/>
  <c r="AP8" i="44" a="1"/>
  <c r="AI32" i="44" a="1"/>
  <c r="BI29" i="44" a="1"/>
  <c r="AA21" i="44" a="1"/>
  <c r="V37" i="44" a="1"/>
  <c r="J34" i="44" a="1"/>
  <c r="K31" i="44" a="1"/>
  <c r="BG20" i="44" a="1"/>
  <c r="AQ42" i="44" a="1"/>
  <c r="BJ21" i="44" a="1"/>
  <c r="AI26" i="44" a="1"/>
  <c r="AC40" i="44" a="1"/>
  <c r="Z42" i="44" a="1"/>
  <c r="H21" i="44" a="1"/>
  <c r="AI30" i="44" a="1"/>
  <c r="E14" i="44" a="1"/>
  <c r="C31" i="44" a="1"/>
  <c r="BG33" i="44" a="1"/>
  <c r="J13" i="44" a="1"/>
  <c r="AK24" i="44" a="1"/>
  <c r="AC33" i="44" a="1"/>
  <c r="D9" i="44" a="1"/>
  <c r="I31" i="44" a="1"/>
  <c r="BG36" i="44" a="1"/>
  <c r="AT24" i="44" a="1"/>
  <c r="AQ14" i="44" a="1"/>
  <c r="AJ38" i="44" a="1"/>
  <c r="V40" i="44" a="1"/>
  <c r="W16" i="44" a="1"/>
  <c r="AC17" i="44" a="1"/>
  <c r="AR23" i="44" a="1"/>
  <c r="B27" i="44" a="1"/>
  <c r="AG37" i="44" a="1"/>
  <c r="AB15" i="44" a="1"/>
  <c r="H33" i="44" a="1"/>
  <c r="Y37" i="44" a="1"/>
  <c r="AE11" i="44" a="1"/>
  <c r="AH11" i="44" a="1"/>
  <c r="X27" i="44" a="1"/>
  <c r="AJ7" i="44" a="1"/>
  <c r="AG38" i="44" a="1"/>
  <c r="G18" i="44" a="1"/>
  <c r="AE7" i="44" a="1"/>
  <c r="AG23" i="44" a="1"/>
  <c r="X38" i="44" a="1"/>
  <c r="F23" i="44" a="1"/>
  <c r="AB13" i="44" a="1"/>
  <c r="BH28" i="44" a="1"/>
  <c r="BJ15" i="44" a="1"/>
  <c r="AF36" i="44" a="1"/>
  <c r="AM19" i="44" a="1"/>
  <c r="B23" i="44" a="1"/>
  <c r="D12" i="44" a="1"/>
  <c r="X42" i="44" a="1"/>
  <c r="AT27" i="44" a="1"/>
  <c r="AP29" i="44" a="1"/>
  <c r="C39" i="44" a="1"/>
  <c r="AD39" i="44" a="1"/>
  <c r="AO9" i="44" a="1"/>
  <c r="X31" i="44" a="1"/>
  <c r="Z10" i="44" a="1"/>
  <c r="K17" i="44" a="1"/>
  <c r="AR35" i="44" a="1"/>
  <c r="AF30" i="44" a="1"/>
  <c r="BJ41" i="44" a="1"/>
  <c r="AF22" i="44" a="1"/>
  <c r="AL7" i="44" a="1"/>
  <c r="AF14" i="44" a="1"/>
  <c r="I40" i="44" a="1"/>
  <c r="B32" i="44" a="1"/>
  <c r="Y23" i="44" a="1"/>
  <c r="X8" i="44" a="1"/>
  <c r="AF15" i="44" a="1"/>
  <c r="AH17" i="44" a="1"/>
  <c r="B26" i="44" a="1"/>
  <c r="AP12" i="44" a="1"/>
  <c r="Z12" i="44" a="1"/>
  <c r="BK20" i="44" a="1"/>
  <c r="J38" i="44" a="1"/>
  <c r="V33" i="44" a="1"/>
  <c r="AS36" i="44" a="1"/>
  <c r="AO30" i="44" a="1"/>
  <c r="AB39" i="44" a="1"/>
  <c r="E27" i="44" a="1"/>
  <c r="D19" i="44" a="1"/>
  <c r="Z29" i="44" a="1"/>
  <c r="AF20" i="44" a="1"/>
  <c r="Z23" i="44" a="1"/>
  <c r="AH27" i="44" a="1"/>
  <c r="AJ9" i="44" a="1"/>
  <c r="AB32" i="44" a="1"/>
  <c r="AP39" i="44" a="1"/>
  <c r="AO23" i="44" a="1"/>
  <c r="AQ25" i="44" a="1"/>
  <c r="AE40" i="44" a="1"/>
  <c r="K34" i="44" a="1"/>
  <c r="AH28" i="44" a="1"/>
  <c r="X22" i="44" a="1"/>
  <c r="K39" i="44" a="1"/>
  <c r="X13" i="44" a="1"/>
  <c r="AI39" i="44" a="1"/>
  <c r="AB10" i="44" a="1"/>
  <c r="AB26" i="44" a="1"/>
  <c r="V32" i="44" a="1"/>
  <c r="AO7" i="44" a="1"/>
  <c r="AC23" i="44" a="1"/>
  <c r="BJ36" i="44" a="1"/>
  <c r="AQ38" i="44" a="1"/>
  <c r="X7" i="44" a="1"/>
  <c r="AG33" i="44" a="1"/>
  <c r="AR33" i="44" a="1"/>
  <c r="V21" i="44" a="1"/>
  <c r="AQ9" i="44" a="1"/>
  <c r="V9" i="44" a="1"/>
  <c r="BK8" i="44" a="1"/>
  <c r="C18" i="44" a="1"/>
  <c r="AR11" i="44" a="1"/>
  <c r="C14" i="44" a="1"/>
  <c r="AG20" i="44" a="1"/>
  <c r="BK17" i="44" a="1"/>
  <c r="AR41" i="44" a="1"/>
  <c r="AE9" i="44" a="1"/>
  <c r="Z9" i="44" a="1"/>
  <c r="AO38" i="44" a="1"/>
  <c r="BK26" i="44" a="1"/>
  <c r="BH12" i="44" a="1"/>
  <c r="AE25" i="44" a="1"/>
  <c r="AK9" i="44" a="1"/>
  <c r="I42" i="44" a="1"/>
  <c r="AO20" i="44" a="1"/>
  <c r="G10" i="44" a="1"/>
  <c r="AE28" i="44" a="1"/>
  <c r="G15" i="44" a="1"/>
  <c r="AP16" i="44" a="1"/>
  <c r="AO42" i="44" a="1"/>
  <c r="BJ28" i="44" a="1"/>
  <c r="AQ35" i="44" a="1"/>
  <c r="D16" i="44" a="1"/>
  <c r="AJ10" i="44" a="1"/>
  <c r="C12" i="44" a="1"/>
  <c r="F11" i="44" a="1"/>
  <c r="B10" i="44" a="1"/>
  <c r="AG21" i="44" a="1"/>
  <c r="BH37" i="44" a="1"/>
  <c r="E13" i="44" a="1"/>
  <c r="BJ19" i="44" a="1"/>
  <c r="AK17" i="44" a="1"/>
  <c r="C30" i="44" a="1"/>
  <c r="AH30" i="44" a="1"/>
  <c r="F32" i="44" a="1"/>
  <c r="D13" i="44" a="1"/>
  <c r="B35" i="44" a="1"/>
  <c r="F35" i="44" a="1"/>
  <c r="AM42" i="44" a="1"/>
  <c r="AS33" i="44" a="1"/>
  <c r="AG26" i="44" a="1"/>
  <c r="C38" i="44" a="1"/>
  <c r="AK18" i="44" a="1"/>
  <c r="X33" i="44" a="1"/>
  <c r="AO13" i="44" a="1"/>
  <c r="AL24" i="44" a="1"/>
  <c r="AL17" i="44" a="1"/>
  <c r="AE17" i="44" a="1"/>
  <c r="AE35" i="44" a="1"/>
  <c r="AI9" i="44" a="1"/>
  <c r="BK14" i="44" a="1"/>
  <c r="Z30" i="44" a="1"/>
  <c r="AH26" i="44" a="1"/>
  <c r="B19" i="44" a="1"/>
  <c r="BI22" i="44" a="1"/>
  <c r="AM23" i="44" a="1"/>
  <c r="BJ42" i="44" a="1"/>
  <c r="AH21" i="44" a="1"/>
  <c r="J14" i="44" a="1"/>
  <c r="E34" i="44" a="1"/>
  <c r="C42" i="44" a="1"/>
  <c r="W8" i="44" a="1"/>
  <c r="AL33" i="44" a="1"/>
  <c r="AK29" i="44" a="1"/>
  <c r="AT41" i="44" a="1"/>
  <c r="AA29" i="44" a="1"/>
  <c r="AM22" i="44" a="1"/>
  <c r="BK16" i="44" a="1"/>
  <c r="E15" i="44" a="1"/>
  <c r="AR21" i="44" a="1"/>
  <c r="H39" i="44" a="1"/>
  <c r="AS14" i="44" a="1"/>
  <c r="W18" i="44" a="1"/>
  <c r="X19" i="44" a="1"/>
  <c r="H28" i="44" a="1"/>
  <c r="AS9" i="44" a="1"/>
  <c r="K13" i="44" a="1"/>
  <c r="AA10" i="44" a="1"/>
  <c r="AP42" i="44" a="1"/>
  <c r="AE37" i="44" a="1"/>
  <c r="AK27" i="44" a="1"/>
  <c r="E18" i="44" a="1"/>
  <c r="AN23" i="44" a="1"/>
  <c r="AM15" i="44" a="1"/>
  <c r="AC25" i="44" a="1"/>
  <c r="E31" i="44" a="1"/>
  <c r="V20" i="44" a="1"/>
  <c r="W39" i="44" a="1"/>
  <c r="AM29" i="44" a="1"/>
  <c r="AH12" i="44" a="1"/>
  <c r="AI34" i="44" a="1"/>
  <c r="X25" i="44" a="1"/>
  <c r="AD9" i="44" a="1"/>
  <c r="E12" i="44" a="1"/>
  <c r="BG38" i="44" a="1"/>
  <c r="AT21" i="44" a="1"/>
  <c r="AM38" i="44" a="1"/>
  <c r="AB41" i="44" a="1"/>
  <c r="V24" i="44" a="1"/>
  <c r="BK30" i="44" a="1"/>
  <c r="I9" i="44" a="1"/>
  <c r="J22" i="44" a="1"/>
  <c r="AC29" i="44" a="1"/>
  <c r="V11" i="44" a="1"/>
  <c r="BK41" i="44" a="1"/>
  <c r="AP33" i="44" a="1"/>
  <c r="D11" i="44" a="1"/>
  <c r="AK20" i="44" a="1"/>
  <c r="AQ27" i="44" a="1"/>
  <c r="F33" i="44" a="1"/>
  <c r="AM7" i="44" a="1"/>
  <c r="I33" i="44" a="1"/>
  <c r="Y17" i="44" a="1"/>
  <c r="AB25" i="44" a="1"/>
  <c r="W33" i="44" a="1"/>
  <c r="G42" i="44" a="1"/>
  <c r="D36" i="44" a="1"/>
  <c r="BI15" i="44" a="1"/>
  <c r="J37" i="44" a="1"/>
  <c r="AC8" i="44" a="1"/>
  <c r="Y24" i="44" a="1"/>
  <c r="Y38" i="44" a="1"/>
  <c r="AM21" i="44" a="1"/>
  <c r="AC11" i="44" a="1"/>
  <c r="AE10" i="44" a="1"/>
  <c r="AF27" i="44" a="1"/>
  <c r="AH20" i="44" a="1"/>
  <c r="AA14" i="44" a="1"/>
  <c r="I14" i="44" a="1"/>
  <c r="BJ27" i="44" a="1"/>
  <c r="I12" i="44" a="1"/>
  <c r="BH33" i="44" a="1"/>
  <c r="H17" i="44" a="1"/>
  <c r="AM34" i="44" a="1"/>
  <c r="AF10" i="44" a="1"/>
  <c r="I20" i="44" a="1"/>
  <c r="AE27" i="44" a="1"/>
  <c r="AS20" i="44" a="1"/>
  <c r="C11" i="44" a="1"/>
  <c r="BG13" i="44" a="1"/>
  <c r="B25" i="44" a="1"/>
  <c r="J24" i="44" a="1"/>
  <c r="AS39" i="44" a="1"/>
  <c r="W10" i="44" a="1"/>
  <c r="AN26" i="44" a="1"/>
  <c r="H7" i="44" a="1"/>
  <c r="AH23" i="44" a="1"/>
  <c r="AP23" i="44" a="1"/>
  <c r="AK31" i="44" a="1"/>
  <c r="AE15" i="44" a="1"/>
  <c r="Y30" i="44" a="1"/>
  <c r="AR10" i="44" a="1"/>
  <c r="AM17" i="44" a="1"/>
  <c r="BI14" i="44" a="1"/>
  <c r="AA24" i="44" a="1"/>
  <c r="Z41" i="44" a="1"/>
  <c r="AK26" i="44" a="1"/>
  <c r="H8" i="44" a="1"/>
  <c r="AP40" i="44" a="1"/>
  <c r="BJ17" i="44" a="1"/>
  <c r="V17" i="44" a="1"/>
  <c r="F36" i="44" a="1"/>
  <c r="BJ18" i="44" a="1"/>
  <c r="E38" i="44" a="1"/>
  <c r="AT17" i="44" a="1"/>
  <c r="J12" i="44" a="1"/>
  <c r="BI42" i="44" a="1"/>
  <c r="BJ12" i="44" a="1"/>
  <c r="AS35" i="44" a="1"/>
  <c r="J33" i="44" a="1"/>
  <c r="AS21" i="44" a="1"/>
  <c r="AT9" i="44" a="1"/>
  <c r="K9" i="44" a="1"/>
  <c r="D18" i="44" a="1"/>
  <c r="AN12" i="44" a="1"/>
  <c r="AD27" i="44" a="1"/>
  <c r="I35" i="44" a="1"/>
  <c r="G14" i="44" a="1"/>
  <c r="AH24" i="44" a="1"/>
  <c r="AK23" i="44" a="1"/>
  <c r="AE30" i="44" a="1"/>
  <c r="AD25" i="44" a="1"/>
  <c r="AR13" i="44" a="1"/>
  <c r="BG26" i="44" a="1"/>
  <c r="AJ32" i="44" a="1"/>
  <c r="D37" i="44" a="1"/>
  <c r="AQ17" i="44" a="1"/>
  <c r="H27" i="44" a="1"/>
  <c r="AB7" i="44" a="1"/>
  <c r="BG29" i="44" a="1"/>
  <c r="J17" i="44" a="1"/>
  <c r="AR39" i="44" a="1"/>
  <c r="BK23" i="44" a="1"/>
  <c r="B34" i="44" a="1"/>
  <c r="K16" i="44" a="1"/>
  <c r="K28" i="44" a="1"/>
  <c r="AQ23" i="44" a="1"/>
  <c r="AS40" i="44" a="1"/>
  <c r="AG8" i="44" a="1"/>
  <c r="AH22" i="44" a="1"/>
  <c r="BJ30" i="44" a="1"/>
  <c r="AC36" i="44" a="1"/>
  <c r="F29" i="44" a="1"/>
  <c r="AQ22" i="44" a="1"/>
  <c r="AR29" i="44" a="1"/>
  <c r="AD28" i="44" a="1"/>
  <c r="AK42" i="44" a="1"/>
  <c r="AH34" i="44" a="1"/>
  <c r="B40" i="44" a="1"/>
  <c r="F38" i="44" a="1"/>
  <c r="AI19" i="44" a="1"/>
  <c r="AN37" i="44" a="1"/>
  <c r="H11" i="44" a="1"/>
  <c r="J35" i="44" a="1"/>
  <c r="BG7" i="44" a="1"/>
  <c r="AC12" i="44" a="1"/>
  <c r="AI29" i="44" a="1"/>
  <c r="Y36" i="44" a="1"/>
  <c r="BK40" i="44" a="1"/>
  <c r="AG40" i="44" a="1"/>
  <c r="BG40" i="44" a="1"/>
  <c r="B37" i="44" a="1"/>
  <c r="AS27" i="44" a="1"/>
  <c r="AS28" i="44" a="1"/>
  <c r="BG10" i="44" a="1"/>
  <c r="AP13" i="44" a="1"/>
  <c r="BG19" i="44" a="1"/>
  <c r="AP31" i="44" a="1"/>
  <c r="AE34" i="44" a="1"/>
  <c r="AI23" i="44" a="1"/>
  <c r="AG31" i="44" a="1"/>
  <c r="V30" i="44" a="1"/>
  <c r="AN36" i="44" a="1"/>
  <c r="W27" i="44" a="1"/>
  <c r="K27" i="44" a="1"/>
  <c r="AE19" i="44" a="1"/>
  <c r="I27" i="44" a="1"/>
  <c r="C22" i="44" a="1"/>
  <c r="K14" i="44" a="1"/>
  <c r="AT32" i="44" a="1"/>
  <c r="B33" i="44" a="1"/>
  <c r="BJ32" i="44" a="1"/>
  <c r="AJ21" i="44" a="1"/>
  <c r="AF12" i="44" a="1"/>
  <c r="X17" i="44" a="1"/>
  <c r="E7" i="44" a="1"/>
  <c r="AK19" i="44" a="1"/>
  <c r="I32" i="44" a="1"/>
  <c r="C21" i="44" a="1"/>
  <c r="AB9" i="44" a="1"/>
  <c r="H19" i="44" a="1"/>
  <c r="AK16" i="44" a="1"/>
  <c r="AP35" i="44" a="1"/>
  <c r="AO22" i="44" a="1"/>
  <c r="AB20" i="44" a="1"/>
  <c r="X10" i="44" a="1"/>
  <c r="AD40" i="44" a="1"/>
  <c r="AS13" i="44" a="1"/>
  <c r="AS29" i="44" a="1"/>
  <c r="H26" i="44" a="1"/>
  <c r="AJ27" i="44" a="1"/>
  <c r="X32" i="44" a="1"/>
  <c r="AD24" i="44" a="1"/>
  <c r="AG28" i="44" a="1"/>
  <c r="BG18" i="44" a="1"/>
  <c r="AC22" i="44" a="1"/>
  <c r="AC18" i="44" a="1"/>
  <c r="AJ16" i="44" a="1"/>
  <c r="AI13" i="44" a="1"/>
  <c r="BI13" i="44" a="1"/>
  <c r="I17" i="44" a="1"/>
  <c r="I38" i="44" a="1"/>
  <c r="AA33" i="44" a="1"/>
  <c r="Z33" i="44" a="1"/>
  <c r="Y27" i="44" a="1"/>
  <c r="BH20" i="44" a="1"/>
  <c r="AK33" i="44" a="1"/>
  <c r="AQ19" i="44" a="1"/>
  <c r="AM28" i="44" a="1"/>
  <c r="X16" i="44" a="1"/>
  <c r="AO37" i="44" a="1"/>
  <c r="AE39" i="44" a="1"/>
  <c r="Z22" i="44" a="1"/>
  <c r="BK31" i="44" a="1"/>
  <c r="D15" i="44" a="1"/>
  <c r="G27" i="44" a="1"/>
  <c r="BG39" i="44" a="1"/>
  <c r="AI11" i="44" a="1"/>
  <c r="AF31" i="44" a="1"/>
  <c r="W24" i="44" a="1"/>
  <c r="AL27" i="44" a="1"/>
  <c r="K35" i="44" a="1"/>
  <c r="E11" i="44" a="1"/>
  <c r="AO12" i="44" a="1"/>
  <c r="AN34" i="44" a="1"/>
  <c r="J16" i="44" a="1"/>
  <c r="G25" i="44" a="1"/>
  <c r="D34" i="44" a="1"/>
  <c r="I18" i="44" a="1"/>
  <c r="J32" i="44" a="1"/>
  <c r="C28" i="44" a="1"/>
  <c r="AN20" i="44" a="1"/>
  <c r="AD32" i="44" a="1"/>
  <c r="Z11" i="44" a="1"/>
  <c r="BI16" i="44" a="1"/>
  <c r="V31" i="44" a="1"/>
  <c r="AM36" i="44" a="1"/>
  <c r="Z18" i="44" a="1"/>
  <c r="AK41" i="44" a="1"/>
  <c r="AF37" i="44" a="1"/>
  <c r="BK27" i="44" a="1"/>
  <c r="AI15" i="44" a="1"/>
  <c r="AT18" i="44" a="1"/>
  <c r="B42" i="44" a="1"/>
  <c r="E39" i="44" a="1"/>
  <c r="B12" i="44" a="1"/>
  <c r="AA41" i="44" a="1"/>
  <c r="BK37" i="44" a="1"/>
  <c r="Y16" i="44" a="1"/>
  <c r="AC28" i="44" a="1"/>
  <c r="BJ25" i="44" a="1"/>
  <c r="AE38" i="44" a="1"/>
  <c r="AP18" i="44" a="1"/>
  <c r="B17" i="44" a="1"/>
  <c r="AF17" i="44" a="1"/>
  <c r="BK39" i="44" a="1"/>
  <c r="AD14" i="44" a="1"/>
  <c r="AL11" i="44" a="1"/>
  <c r="AA7" i="44" a="1"/>
  <c r="BI40" i="44" a="1"/>
  <c r="Y35" i="44" a="1"/>
  <c r="H31" i="44" a="1"/>
  <c r="BH29" i="44" a="1"/>
  <c r="BH18" i="44" a="1"/>
  <c r="AD35" i="44" a="1"/>
  <c r="G35" i="44" a="1"/>
  <c r="AO15" i="44" a="1"/>
  <c r="W35" i="44" a="1"/>
  <c r="AB22" i="44" a="1"/>
  <c r="AH42" i="44" a="1"/>
  <c r="BJ37" i="44" a="1"/>
  <c r="AS34" i="44" a="1"/>
  <c r="D10" i="44" a="1"/>
  <c r="X36" i="44" a="1"/>
  <c r="C17" i="44" a="1"/>
  <c r="J36" i="44" a="1"/>
  <c r="AI28" i="44" a="1"/>
  <c r="H13" i="44" a="1"/>
  <c r="AM40" i="44" a="1"/>
  <c r="AT26" i="44" a="1"/>
  <c r="AS41" i="44" a="1"/>
  <c r="BH34" i="44" a="1"/>
  <c r="AN8" i="44" a="1"/>
  <c r="BG14" i="44" a="1"/>
  <c r="G36" i="44" a="1"/>
  <c r="AO28" i="44" a="1"/>
  <c r="AB30" i="44" a="1"/>
  <c r="G22" i="44" a="1"/>
  <c r="F25" i="44" a="1"/>
  <c r="AR14" i="44" a="1"/>
  <c r="AC31" i="44" a="1"/>
  <c r="AR34" i="44" a="1"/>
  <c r="X15" i="44" a="1"/>
  <c r="AF41" i="44" a="1"/>
  <c r="Y10" i="44" a="1"/>
  <c r="BG34" i="44" a="1"/>
  <c r="AK32" i="44" a="1"/>
  <c r="AR19" i="44" a="1"/>
  <c r="BG9" i="44" a="1"/>
  <c r="AL18" i="44" a="1"/>
  <c r="AR31" i="44" a="1"/>
  <c r="I29" i="44" a="1"/>
  <c r="AI10" i="44" a="1"/>
  <c r="J41" i="44" a="1"/>
  <c r="D39" i="44" a="1"/>
  <c r="D35" i="44" a="1"/>
  <c r="AO11" i="44" a="1"/>
  <c r="H36" i="44" a="1"/>
  <c r="AA18" i="44" a="1"/>
  <c r="AN25" i="44" a="1"/>
  <c r="AT31" i="44" a="1"/>
  <c r="AT11" i="44" a="1"/>
  <c r="AO21" i="44" a="1"/>
  <c r="AJ28" i="44" a="1"/>
  <c r="X37" i="44" a="1"/>
  <c r="K11" i="44" a="1"/>
  <c r="V23" i="44" a="1"/>
  <c r="C19" i="44" a="1"/>
  <c r="Z16" i="44" a="1"/>
  <c r="I7" i="44" a="1"/>
  <c r="K21" i="44" a="1"/>
  <c r="AK28" i="44" a="1"/>
  <c r="AM14" i="44" a="1"/>
  <c r="AH41" i="44" a="1"/>
  <c r="AI17" i="44" a="1"/>
  <c r="AL28" i="44" a="1"/>
  <c r="D42" i="44" a="1"/>
  <c r="E29" i="44" a="1"/>
  <c r="AG13" i="44" a="1"/>
  <c r="AG24" i="44" a="1"/>
  <c r="BJ7" i="44" a="1"/>
  <c r="AH10" i="44" a="1"/>
  <c r="H18" i="44" a="1"/>
  <c r="AQ34" i="44" a="1"/>
  <c r="AQ39" i="44" a="1"/>
  <c r="F12" i="44" a="1"/>
  <c r="AP36" i="44" a="1"/>
  <c r="AT8" i="44" a="1"/>
  <c r="E20" i="44" a="1"/>
  <c r="BK12" i="44" a="1"/>
  <c r="K24" i="44" a="1"/>
  <c r="E22" i="44" a="1"/>
  <c r="AA26" i="44" a="1"/>
  <c r="E42" i="44" a="1"/>
  <c r="Y33" i="44" a="1"/>
  <c r="AG17" i="44" a="1"/>
  <c r="BI32" i="44" a="1"/>
  <c r="AA31" i="44" a="1"/>
  <c r="AG36" i="44" a="1"/>
  <c r="W31" i="44" a="1"/>
  <c r="AQ26" i="44" a="1"/>
  <c r="AG22" i="44" a="1"/>
  <c r="AI18" i="44" a="1"/>
  <c r="AF26" i="44" a="1"/>
  <c r="X9" i="44" a="1"/>
  <c r="AD11" i="44" a="1"/>
  <c r="AL40" i="44" a="1"/>
  <c r="H12" i="44" a="1"/>
  <c r="AF35" i="44" a="1"/>
  <c r="I36" i="44" a="1"/>
  <c r="AB33" i="44" a="1"/>
  <c r="B31" i="44" a="1"/>
  <c r="Y18" i="44" a="1"/>
  <c r="H15" i="44" a="1"/>
  <c r="H15" i="44" l="1"/>
  <c r="Y18" i="44"/>
  <c r="B31" i="44"/>
  <c r="AB33" i="44"/>
  <c r="I36" i="44"/>
  <c r="AF35" i="44"/>
  <c r="H12" i="44"/>
  <c r="AL40" i="44"/>
  <c r="AD11" i="44"/>
  <c r="X9" i="44"/>
  <c r="AF26" i="44"/>
  <c r="AI18" i="44"/>
  <c r="AG22" i="44"/>
  <c r="AQ26" i="44"/>
  <c r="W31" i="44"/>
  <c r="AG36" i="44"/>
  <c r="AA31" i="44"/>
  <c r="BI32" i="44"/>
  <c r="AG17" i="44"/>
  <c r="Y33" i="44"/>
  <c r="E42" i="44"/>
  <c r="AA26" i="44"/>
  <c r="E22" i="44"/>
  <c r="K24" i="44"/>
  <c r="BK12" i="44"/>
  <c r="E20" i="44"/>
  <c r="AT8" i="44"/>
  <c r="AP36" i="44"/>
  <c r="F12" i="44"/>
  <c r="AQ39" i="44"/>
  <c r="AQ34" i="44"/>
  <c r="H18" i="44"/>
  <c r="AH10" i="44"/>
  <c r="BJ7" i="44"/>
  <c r="AG24" i="44"/>
  <c r="AG13" i="44"/>
  <c r="E29" i="44"/>
  <c r="D42" i="44"/>
  <c r="AL28" i="44"/>
  <c r="AI17" i="44"/>
  <c r="AH41" i="44"/>
  <c r="AM14" i="44"/>
  <c r="AK28" i="44"/>
  <c r="K21" i="44"/>
  <c r="I7" i="44"/>
  <c r="Z16" i="44"/>
  <c r="C19" i="44"/>
  <c r="V23" i="44"/>
  <c r="K11" i="44"/>
  <c r="X37" i="44"/>
  <c r="AJ28" i="44"/>
  <c r="AO21" i="44"/>
  <c r="AT11" i="44"/>
  <c r="AT31" i="44"/>
  <c r="AN25" i="44"/>
  <c r="AA18" i="44"/>
  <c r="H36" i="44"/>
  <c r="AO11" i="44"/>
  <c r="D35" i="44"/>
  <c r="D39" i="44"/>
  <c r="J41" i="44"/>
  <c r="AI10" i="44"/>
  <c r="I29" i="44"/>
  <c r="AR31" i="44"/>
  <c r="AL18" i="44"/>
  <c r="BG9" i="44"/>
  <c r="AR19" i="44"/>
  <c r="AK32" i="44"/>
  <c r="BG34" i="44"/>
  <c r="Y10" i="44"/>
  <c r="AF41" i="44"/>
  <c r="X15" i="44"/>
  <c r="AR34" i="44"/>
  <c r="AC31" i="44"/>
  <c r="AR14" i="44"/>
  <c r="F25" i="44"/>
  <c r="G22" i="44"/>
  <c r="AB30" i="44"/>
  <c r="AO28" i="44"/>
  <c r="G36" i="44"/>
  <c r="BG14" i="44"/>
  <c r="AN8" i="44"/>
  <c r="BH34" i="44"/>
  <c r="AS41" i="44"/>
  <c r="AT26" i="44"/>
  <c r="AM40" i="44"/>
  <c r="H13" i="44"/>
  <c r="AI28" i="44"/>
  <c r="J36" i="44"/>
  <c r="C17" i="44"/>
  <c r="X36" i="44"/>
  <c r="D10" i="44"/>
  <c r="AS34" i="44"/>
  <c r="BJ37" i="44"/>
  <c r="AH42" i="44"/>
  <c r="AB22" i="44"/>
  <c r="W35" i="44"/>
  <c r="AO15" i="44"/>
  <c r="G35" i="44"/>
  <c r="AD35" i="44"/>
  <c r="BH18" i="44"/>
  <c r="BH29" i="44"/>
  <c r="H31" i="44"/>
  <c r="Y35" i="44"/>
  <c r="BI40" i="44"/>
  <c r="AA7" i="44"/>
  <c r="AL11" i="44"/>
  <c r="AD14" i="44"/>
  <c r="BK39" i="44"/>
  <c r="AF17" i="44"/>
  <c r="B17" i="44"/>
  <c r="AP18" i="44"/>
  <c r="AE38" i="44"/>
  <c r="BJ25" i="44"/>
  <c r="AC28" i="44"/>
  <c r="Y16" i="44"/>
  <c r="BK37" i="44"/>
  <c r="AA41" i="44"/>
  <c r="B12" i="44"/>
  <c r="E39" i="44"/>
  <c r="B42" i="44"/>
  <c r="AT18" i="44"/>
  <c r="AI15" i="44"/>
  <c r="BK27" i="44"/>
  <c r="AF37" i="44"/>
  <c r="AK41" i="44"/>
  <c r="Z18" i="44"/>
  <c r="AM36" i="44"/>
  <c r="V31" i="44"/>
  <c r="BI16" i="44"/>
  <c r="Z11" i="44"/>
  <c r="AD32" i="44"/>
  <c r="AN20" i="44"/>
  <c r="C28" i="44"/>
  <c r="J32" i="44"/>
  <c r="I18" i="44"/>
  <c r="D34" i="44"/>
  <c r="G25" i="44"/>
  <c r="J16" i="44"/>
  <c r="AN34" i="44"/>
  <c r="AO12" i="44"/>
  <c r="E11" i="44"/>
  <c r="K35" i="44"/>
  <c r="AL27" i="44"/>
  <c r="W24" i="44"/>
  <c r="AF31" i="44"/>
  <c r="AI11" i="44"/>
  <c r="BG39" i="44"/>
  <c r="G27" i="44"/>
  <c r="D15" i="44"/>
  <c r="BK31" i="44"/>
  <c r="Z22" i="44"/>
  <c r="AE39" i="44"/>
  <c r="AO37" i="44"/>
  <c r="X16" i="44"/>
  <c r="AM28" i="44"/>
  <c r="AQ19" i="44"/>
  <c r="AK33" i="44"/>
  <c r="BH20" i="44"/>
  <c r="Y27" i="44"/>
  <c r="Z33" i="44"/>
  <c r="AA33" i="44"/>
  <c r="I38" i="44"/>
  <c r="I17" i="44"/>
  <c r="BI13" i="44"/>
  <c r="AI13" i="44"/>
  <c r="AJ16" i="44"/>
  <c r="AC18" i="44"/>
  <c r="AC22" i="44"/>
  <c r="BG18" i="44"/>
  <c r="AG28" i="44"/>
  <c r="AD24" i="44"/>
  <c r="X32" i="44"/>
  <c r="AJ27" i="44"/>
  <c r="H26" i="44"/>
  <c r="AS29" i="44"/>
  <c r="AS13" i="44"/>
  <c r="AD40" i="44"/>
  <c r="X10" i="44"/>
  <c r="AB20" i="44"/>
  <c r="AO22" i="44"/>
  <c r="AP35" i="44"/>
  <c r="AK16" i="44"/>
  <c r="H19" i="44"/>
  <c r="AB9" i="44"/>
  <c r="C21" i="44"/>
  <c r="I32" i="44"/>
  <c r="AK19" i="44"/>
  <c r="E7" i="44"/>
  <c r="X17" i="44"/>
  <c r="AF12" i="44"/>
  <c r="AJ21" i="44"/>
  <c r="BJ32" i="44"/>
  <c r="B33" i="44"/>
  <c r="AT32" i="44"/>
  <c r="K14" i="44"/>
  <c r="C22" i="44"/>
  <c r="I27" i="44"/>
  <c r="AE19" i="44"/>
  <c r="K27" i="44"/>
  <c r="W27" i="44"/>
  <c r="AN36" i="44"/>
  <c r="V30" i="44"/>
  <c r="AG31" i="44"/>
  <c r="AI23" i="44"/>
  <c r="AE34" i="44"/>
  <c r="AP31" i="44"/>
  <c r="BG19" i="44"/>
  <c r="AP13" i="44"/>
  <c r="BG10" i="44"/>
  <c r="AS28" i="44"/>
  <c r="AS27" i="44"/>
  <c r="B37" i="44"/>
  <c r="BG40" i="44"/>
  <c r="AG40" i="44"/>
  <c r="BK40" i="44"/>
  <c r="Y36" i="44"/>
  <c r="AI29" i="44"/>
  <c r="AC12" i="44"/>
  <c r="BG7" i="44"/>
  <c r="J35" i="44"/>
  <c r="H11" i="44"/>
  <c r="AN37" i="44"/>
  <c r="AI19" i="44"/>
  <c r="F38" i="44"/>
  <c r="B40" i="44"/>
  <c r="AH34" i="44"/>
  <c r="AK42" i="44"/>
  <c r="AD28" i="44"/>
  <c r="AR29" i="44"/>
  <c r="AQ22" i="44"/>
  <c r="F29" i="44"/>
  <c r="AC36" i="44"/>
  <c r="BJ30" i="44"/>
  <c r="AH22" i="44"/>
  <c r="AG8" i="44"/>
  <c r="AS40" i="44"/>
  <c r="AQ23" i="44"/>
  <c r="K28" i="44"/>
  <c r="K16" i="44"/>
  <c r="B34" i="44"/>
  <c r="BK23" i="44"/>
  <c r="AR39" i="44"/>
  <c r="J17" i="44"/>
  <c r="BG29" i="44"/>
  <c r="AB7" i="44"/>
  <c r="H27" i="44"/>
  <c r="AQ17" i="44"/>
  <c r="D37" i="44"/>
  <c r="AJ32" i="44"/>
  <c r="BG26" i="44"/>
  <c r="AR13" i="44"/>
  <c r="AD25" i="44"/>
  <c r="AE30" i="44"/>
  <c r="AK23" i="44"/>
  <c r="AH24" i="44"/>
  <c r="G14" i="44"/>
  <c r="I35" i="44"/>
  <c r="AD27" i="44"/>
  <c r="AN12" i="44"/>
  <c r="D18" i="44"/>
  <c r="K9" i="44"/>
  <c r="AT9" i="44"/>
  <c r="AS21" i="44"/>
  <c r="J33" i="44"/>
  <c r="AS35" i="44"/>
  <c r="BJ12" i="44"/>
  <c r="BI42" i="44"/>
  <c r="J12" i="44"/>
  <c r="AT17" i="44"/>
  <c r="E38" i="44"/>
  <c r="BJ18" i="44"/>
  <c r="F36" i="44"/>
  <c r="V17" i="44"/>
  <c r="BJ17" i="44"/>
  <c r="AP40" i="44"/>
  <c r="H8" i="44"/>
  <c r="AK26" i="44"/>
  <c r="Z41" i="44"/>
  <c r="AA24" i="44"/>
  <c r="BI14" i="44"/>
  <c r="AM17" i="44"/>
  <c r="AR10" i="44"/>
  <c r="Y30" i="44"/>
  <c r="AE15" i="44"/>
  <c r="AK31" i="44"/>
  <c r="AP23" i="44"/>
  <c r="AH23" i="44"/>
  <c r="H7" i="44"/>
  <c r="AN26" i="44"/>
  <c r="W10" i="44"/>
  <c r="AS39" i="44"/>
  <c r="J24" i="44"/>
  <c r="B25" i="44"/>
  <c r="BG13" i="44"/>
  <c r="C11" i="44"/>
  <c r="AS20" i="44"/>
  <c r="AE27" i="44"/>
  <c r="I20" i="44"/>
  <c r="AF10" i="44"/>
  <c r="AM34" i="44"/>
  <c r="H17" i="44"/>
  <c r="BH33" i="44"/>
  <c r="I12" i="44"/>
  <c r="BJ27" i="44"/>
  <c r="I14" i="44"/>
  <c r="AA14" i="44"/>
  <c r="AH20" i="44"/>
  <c r="AF27" i="44"/>
  <c r="AE10" i="44"/>
  <c r="AC11" i="44"/>
  <c r="AM21" i="44"/>
  <c r="Y38" i="44"/>
  <c r="Y24" i="44"/>
  <c r="AC8" i="44"/>
  <c r="J37" i="44"/>
  <c r="BI15" i="44"/>
  <c r="D36" i="44"/>
  <c r="G42" i="44"/>
  <c r="W33" i="44"/>
  <c r="AB25" i="44"/>
  <c r="Y17" i="44"/>
  <c r="I33" i="44"/>
  <c r="AM7" i="44"/>
  <c r="F33" i="44"/>
  <c r="AQ27" i="44"/>
  <c r="AK20" i="44"/>
  <c r="D11" i="44"/>
  <c r="AP33" i="44"/>
  <c r="BK41" i="44"/>
  <c r="V11" i="44"/>
  <c r="AC29" i="44"/>
  <c r="J22" i="44"/>
  <c r="I9" i="44"/>
  <c r="BK30" i="44"/>
  <c r="V24" i="44"/>
  <c r="AB41" i="44"/>
  <c r="AM38" i="44"/>
  <c r="AT21" i="44"/>
  <c r="BG38" i="44"/>
  <c r="E12" i="44"/>
  <c r="AD9" i="44"/>
  <c r="X25" i="44"/>
  <c r="AI34" i="44"/>
  <c r="AH12" i="44"/>
  <c r="AM29" i="44"/>
  <c r="W39" i="44"/>
  <c r="V20" i="44"/>
  <c r="E31" i="44"/>
  <c r="AC25" i="44"/>
  <c r="AM15" i="44"/>
  <c r="AN23" i="44"/>
  <c r="E18" i="44"/>
  <c r="AK27" i="44"/>
  <c r="AE37" i="44"/>
  <c r="AP42" i="44"/>
  <c r="AA10" i="44"/>
  <c r="K13" i="44"/>
  <c r="AS9" i="44"/>
  <c r="H28" i="44"/>
  <c r="X19" i="44"/>
  <c r="W18" i="44"/>
  <c r="AS14" i="44"/>
  <c r="H39" i="44"/>
  <c r="AR21" i="44"/>
  <c r="E15" i="44"/>
  <c r="BK16" i="44"/>
  <c r="AM22" i="44"/>
  <c r="AA29" i="44"/>
  <c r="AT41" i="44"/>
  <c r="AK29" i="44"/>
  <c r="AL33" i="44"/>
  <c r="W8" i="44"/>
  <c r="C42" i="44"/>
  <c r="E34" i="44"/>
  <c r="J14" i="44"/>
  <c r="AH21" i="44"/>
  <c r="BJ42" i="44"/>
  <c r="AM23" i="44"/>
  <c r="BI22" i="44"/>
  <c r="B19" i="44"/>
  <c r="AH26" i="44"/>
  <c r="Z30" i="44"/>
  <c r="BK14" i="44"/>
  <c r="AI9" i="44"/>
  <c r="AE35" i="44"/>
  <c r="AE17" i="44"/>
  <c r="AL17" i="44"/>
  <c r="AL24" i="44"/>
  <c r="AO13" i="44"/>
  <c r="X33" i="44"/>
  <c r="AK18" i="44"/>
  <c r="C38" i="44"/>
  <c r="AG26" i="44"/>
  <c r="AS33" i="44"/>
  <c r="AM42" i="44"/>
  <c r="F35" i="44"/>
  <c r="B35" i="44"/>
  <c r="D13" i="44"/>
  <c r="F32" i="44"/>
  <c r="AH30" i="44"/>
  <c r="C30" i="44"/>
  <c r="AK17" i="44"/>
  <c r="BJ19" i="44"/>
  <c r="E13" i="44"/>
  <c r="BH37" i="44"/>
  <c r="AG21" i="44"/>
  <c r="B10" i="44"/>
  <c r="F11" i="44"/>
  <c r="C12" i="44"/>
  <c r="AJ10" i="44"/>
  <c r="D16" i="44"/>
  <c r="AQ35" i="44"/>
  <c r="BJ28" i="44"/>
  <c r="AO42" i="44"/>
  <c r="AP16" i="44"/>
  <c r="G15" i="44"/>
  <c r="AE28" i="44"/>
  <c r="G10" i="44"/>
  <c r="AO20" i="44"/>
  <c r="I42" i="44"/>
  <c r="AK9" i="44"/>
  <c r="AE25" i="44"/>
  <c r="BH12" i="44"/>
  <c r="BK26" i="44"/>
  <c r="AO38" i="44"/>
  <c r="Z9" i="44"/>
  <c r="AE9" i="44"/>
  <c r="AR41" i="44"/>
  <c r="BK17" i="44"/>
  <c r="AG20" i="44"/>
  <c r="C14" i="44"/>
  <c r="AR11" i="44"/>
  <c r="C18" i="44"/>
  <c r="BK8" i="44"/>
  <c r="V9" i="44"/>
  <c r="AQ9" i="44"/>
  <c r="V21" i="44"/>
  <c r="AR33" i="44"/>
  <c r="AG33" i="44"/>
  <c r="X7" i="44"/>
  <c r="AQ38" i="44"/>
  <c r="BJ36" i="44"/>
  <c r="AC23" i="44"/>
  <c r="AO7" i="44"/>
  <c r="V32" i="44"/>
  <c r="AB26" i="44"/>
  <c r="AB10" i="44"/>
  <c r="AI39" i="44"/>
  <c r="X13" i="44"/>
  <c r="K39" i="44"/>
  <c r="X22" i="44"/>
  <c r="AH28" i="44"/>
  <c r="K34" i="44"/>
  <c r="AE40" i="44"/>
  <c r="AQ25" i="44"/>
  <c r="AO23" i="44"/>
  <c r="AP39" i="44"/>
  <c r="AB32" i="44"/>
  <c r="AJ9" i="44"/>
  <c r="AH27" i="44"/>
  <c r="Z23" i="44"/>
  <c r="AF20" i="44"/>
  <c r="Z29" i="44"/>
  <c r="D19" i="44"/>
  <c r="E27" i="44"/>
  <c r="AB39" i="44"/>
  <c r="AO30" i="44"/>
  <c r="AS36" i="44"/>
  <c r="V33" i="44"/>
  <c r="J38" i="44"/>
  <c r="BK20" i="44"/>
  <c r="Z12" i="44"/>
  <c r="AP12" i="44"/>
  <c r="B26" i="44"/>
  <c r="AH17" i="44"/>
  <c r="AF15" i="44"/>
  <c r="X8" i="44"/>
  <c r="Y23" i="44"/>
  <c r="B32" i="44"/>
  <c r="I40" i="44"/>
  <c r="AF14" i="44"/>
  <c r="AL7" i="44"/>
  <c r="AF22" i="44"/>
  <c r="BJ41" i="44"/>
  <c r="AF30" i="44"/>
  <c r="AR35" i="44"/>
  <c r="K17" i="44"/>
  <c r="Z10" i="44"/>
  <c r="X31" i="44"/>
  <c r="AO9" i="44"/>
  <c r="AD39" i="44"/>
  <c r="C39" i="44"/>
  <c r="AP29" i="44"/>
  <c r="AT27" i="44"/>
  <c r="X42" i="44"/>
  <c r="D12" i="44"/>
  <c r="B23" i="44"/>
  <c r="AM19" i="44"/>
  <c r="AF36" i="44"/>
  <c r="BJ15" i="44"/>
  <c r="BH28" i="44"/>
  <c r="AB13" i="44"/>
  <c r="F23" i="44"/>
  <c r="X38" i="44"/>
  <c r="AG23" i="44"/>
  <c r="AE7" i="44"/>
  <c r="G18" i="44"/>
  <c r="AG38" i="44"/>
  <c r="AJ7" i="44"/>
  <c r="X27" i="44"/>
  <c r="AH11" i="44"/>
  <c r="AE11" i="44"/>
  <c r="Y37" i="44"/>
  <c r="H33" i="44"/>
  <c r="AB15" i="44"/>
  <c r="AG37" i="44"/>
  <c r="B27" i="44"/>
  <c r="AR23" i="44"/>
  <c r="AC17" i="44"/>
  <c r="W16" i="44"/>
  <c r="V40" i="44"/>
  <c r="AJ38" i="44"/>
  <c r="AQ14" i="44"/>
  <c r="AT24" i="44"/>
  <c r="BG36" i="44"/>
  <c r="I31" i="44"/>
  <c r="D9" i="44"/>
  <c r="AC33" i="44"/>
  <c r="AK24" i="44"/>
  <c r="J13" i="44"/>
  <c r="BG33" i="44"/>
  <c r="C31" i="44"/>
  <c r="E14" i="44"/>
  <c r="AI30" i="44"/>
  <c r="H21" i="44"/>
  <c r="Z42" i="44"/>
  <c r="AC40" i="44"/>
  <c r="AI26" i="44"/>
  <c r="BJ21" i="44"/>
  <c r="AQ42" i="44"/>
  <c r="BG20" i="44"/>
  <c r="K31" i="44"/>
  <c r="J34" i="44"/>
  <c r="V37" i="44"/>
  <c r="AA21" i="44"/>
  <c r="BI29" i="44"/>
  <c r="AI32" i="44"/>
  <c r="AP8" i="44"/>
  <c r="AJ30" i="44"/>
  <c r="BK35" i="44"/>
  <c r="BJ39" i="44"/>
  <c r="D14" i="44"/>
  <c r="BJ33" i="44"/>
  <c r="F28" i="44"/>
  <c r="AH7" i="44"/>
  <c r="AO27" i="44"/>
  <c r="F7" i="44"/>
  <c r="BH21" i="44"/>
  <c r="AD41" i="44"/>
  <c r="BH36" i="44"/>
  <c r="AQ21" i="44"/>
  <c r="AA22" i="44"/>
  <c r="AB36" i="44"/>
  <c r="F27" i="44"/>
  <c r="F34" i="44"/>
  <c r="W40" i="44"/>
  <c r="AA40" i="44"/>
  <c r="V41" i="44"/>
  <c r="AS26" i="44"/>
  <c r="AL38" i="44"/>
  <c r="BH14" i="44"/>
  <c r="BG41" i="44"/>
  <c r="B13" i="44"/>
  <c r="AM32" i="44"/>
  <c r="AC30" i="44"/>
  <c r="AT36" i="44"/>
  <c r="W13" i="44"/>
  <c r="AQ29" i="44"/>
  <c r="W11" i="44"/>
  <c r="G7" i="44"/>
  <c r="AN15" i="44"/>
  <c r="AI12" i="44"/>
  <c r="AM25" i="44"/>
  <c r="B9" i="44"/>
  <c r="AF18" i="44"/>
  <c r="J30" i="44"/>
  <c r="V28" i="44"/>
  <c r="F20" i="44"/>
  <c r="J7" i="44"/>
  <c r="F19" i="44"/>
  <c r="V8" i="44"/>
  <c r="F8" i="44"/>
  <c r="F18" i="44"/>
  <c r="AL23" i="44"/>
  <c r="BI35" i="44"/>
  <c r="AS25" i="44"/>
  <c r="AI20" i="44"/>
  <c r="AT20" i="44"/>
  <c r="AR12" i="44"/>
  <c r="AE24" i="44"/>
  <c r="AB14" i="44"/>
  <c r="I34" i="44"/>
  <c r="K40" i="44"/>
  <c r="AI25" i="44"/>
  <c r="AD7" i="44"/>
  <c r="D7" i="44"/>
  <c r="AS15" i="44"/>
  <c r="AA42" i="44"/>
  <c r="AS17" i="44"/>
  <c r="AM16" i="44"/>
  <c r="AN39" i="44"/>
  <c r="AK14" i="44"/>
  <c r="C33" i="44"/>
  <c r="AP19" i="44"/>
  <c r="Z7" i="44"/>
  <c r="AK39" i="44"/>
  <c r="AJ11" i="44"/>
  <c r="H23" i="44"/>
  <c r="I22" i="44"/>
  <c r="BI36" i="44"/>
  <c r="AG14" i="44"/>
  <c r="AL29" i="44"/>
  <c r="C15" i="44"/>
  <c r="Y40" i="44"/>
  <c r="F39" i="44"/>
  <c r="BG23" i="44"/>
  <c r="F15" i="44"/>
  <c r="AJ22" i="44"/>
  <c r="AB24" i="44"/>
  <c r="AO17" i="44"/>
  <c r="W22" i="44"/>
  <c r="BG17" i="44"/>
  <c r="Z19" i="44"/>
  <c r="AS31" i="44"/>
  <c r="J20" i="44"/>
  <c r="BI12" i="44"/>
  <c r="BH17" i="44"/>
  <c r="AR40" i="44"/>
  <c r="AJ26" i="44"/>
  <c r="E40" i="44"/>
  <c r="AI33" i="44"/>
  <c r="AM9" i="44"/>
  <c r="E16" i="44"/>
  <c r="BH42" i="44"/>
  <c r="AK36" i="44"/>
  <c r="Y25" i="44"/>
  <c r="AJ17" i="44"/>
  <c r="K23" i="44"/>
  <c r="AJ35" i="44"/>
  <c r="AQ28" i="44"/>
  <c r="BJ8" i="44"/>
  <c r="AD10" i="44"/>
  <c r="Y41" i="44"/>
  <c r="Y22" i="44"/>
  <c r="AG32" i="44"/>
  <c r="AO39" i="44"/>
  <c r="AT7" i="44"/>
  <c r="BI37" i="44"/>
  <c r="AM31" i="44"/>
  <c r="AQ7" i="44"/>
  <c r="AF25" i="44"/>
  <c r="AQ40" i="44"/>
  <c r="AQ36" i="44"/>
  <c r="J27" i="44"/>
  <c r="I15" i="44"/>
  <c r="E32" i="44"/>
  <c r="AH9" i="44"/>
  <c r="D28" i="44"/>
  <c r="F9" i="44"/>
  <c r="AS8" i="44"/>
  <c r="K8" i="44"/>
  <c r="AG42" i="44"/>
  <c r="BI19" i="44"/>
  <c r="AP9" i="44"/>
  <c r="AE36" i="44"/>
  <c r="B41" i="44"/>
  <c r="Y8" i="44"/>
  <c r="D40" i="44"/>
  <c r="AS10" i="44"/>
  <c r="AC16" i="44"/>
  <c r="B14" i="44"/>
  <c r="G21" i="44"/>
  <c r="B18" i="44"/>
  <c r="BH35" i="44"/>
  <c r="AM35" i="44"/>
  <c r="AT23" i="44"/>
  <c r="F14" i="44"/>
  <c r="G9" i="44"/>
  <c r="AJ12" i="44"/>
  <c r="AB28" i="44"/>
  <c r="AT10" i="44"/>
  <c r="AT35" i="44"/>
  <c r="BH24" i="44"/>
  <c r="K19" i="44"/>
  <c r="E30" i="44"/>
  <c r="AT37" i="44"/>
  <c r="AE8" i="44"/>
  <c r="AP37" i="44"/>
  <c r="I19" i="44"/>
  <c r="BI25" i="44"/>
  <c r="BG16" i="44"/>
  <c r="BJ10" i="44"/>
  <c r="AB37" i="44"/>
  <c r="K10" i="44"/>
  <c r="V12" i="44"/>
  <c r="AJ31" i="44"/>
  <c r="AO24" i="44"/>
  <c r="AA17" i="44"/>
  <c r="Y26" i="44"/>
  <c r="H14" i="44"/>
  <c r="K32" i="44"/>
  <c r="K22" i="44"/>
  <c r="AF42" i="44"/>
  <c r="C29" i="44"/>
  <c r="AR28" i="44"/>
  <c r="BH8" i="44"/>
  <c r="BI23" i="44"/>
  <c r="BI24" i="44"/>
  <c r="H16" i="44"/>
  <c r="W28" i="44"/>
  <c r="AC32" i="44"/>
  <c r="J15" i="44"/>
  <c r="Y7" i="44"/>
  <c r="BI8" i="44"/>
  <c r="AM13" i="44"/>
  <c r="AG15" i="44"/>
  <c r="F42" i="44"/>
  <c r="V42" i="44"/>
  <c r="AM27" i="44"/>
  <c r="AR15" i="44"/>
  <c r="X40" i="44"/>
  <c r="AO14" i="44"/>
  <c r="Z40" i="44"/>
  <c r="AR9" i="44"/>
  <c r="AL19" i="44"/>
  <c r="AL32" i="44"/>
  <c r="E23" i="44"/>
  <c r="V10" i="44"/>
  <c r="BI26" i="44"/>
  <c r="F17" i="44"/>
  <c r="AM8" i="44"/>
  <c r="AK34" i="44"/>
  <c r="I24" i="44"/>
  <c r="C40" i="44"/>
  <c r="Z27" i="44"/>
  <c r="G26" i="44"/>
  <c r="AS12" i="44"/>
  <c r="Y9" i="44"/>
  <c r="H37" i="44"/>
  <c r="AD30" i="44"/>
  <c r="W9" i="44"/>
  <c r="AH31" i="44"/>
  <c r="AF39" i="44"/>
  <c r="J26" i="44"/>
  <c r="K42" i="44"/>
  <c r="X41" i="44"/>
  <c r="BJ35" i="44"/>
  <c r="AC37" i="44"/>
  <c r="B24" i="44"/>
  <c r="AL41" i="44"/>
  <c r="AM11" i="44"/>
  <c r="AH18" i="44"/>
  <c r="AG34" i="44"/>
  <c r="AO18" i="44"/>
  <c r="AN21" i="44"/>
  <c r="W20" i="44"/>
  <c r="BK21" i="44"/>
  <c r="AH37" i="44"/>
  <c r="G20" i="44"/>
  <c r="AO35" i="44"/>
  <c r="AH35" i="44"/>
  <c r="K38" i="44"/>
  <c r="C8" i="44"/>
  <c r="E26" i="44"/>
  <c r="AC13" i="44"/>
  <c r="AM12" i="44"/>
  <c r="AF11" i="44"/>
  <c r="BK38" i="44"/>
  <c r="AP25" i="44"/>
  <c r="AA12" i="44"/>
  <c r="AS24" i="44"/>
  <c r="V36" i="44"/>
  <c r="AP24" i="44"/>
  <c r="AG30" i="44"/>
  <c r="BH11" i="44"/>
  <c r="AT15" i="44"/>
  <c r="V13" i="44"/>
  <c r="AP26" i="44"/>
  <c r="BI17" i="44"/>
  <c r="G13" i="44"/>
  <c r="D30" i="44"/>
  <c r="B29" i="44"/>
  <c r="AB23" i="44"/>
  <c r="D21" i="44"/>
  <c r="X26" i="44"/>
  <c r="BJ38" i="44"/>
  <c r="G37" i="44"/>
  <c r="AN13" i="44"/>
  <c r="AC39" i="44"/>
  <c r="AH14" i="44"/>
  <c r="Z21" i="44"/>
  <c r="W38" i="44"/>
  <c r="V14" i="44"/>
  <c r="AR30" i="44"/>
  <c r="F21" i="44"/>
  <c r="AC35" i="44"/>
  <c r="AT19" i="44"/>
  <c r="AF9" i="44"/>
  <c r="J9" i="44"/>
  <c r="AL22" i="44"/>
  <c r="C34" i="44"/>
  <c r="AJ39" i="44"/>
  <c r="X18" i="44"/>
  <c r="I26" i="44"/>
  <c r="AF32" i="44"/>
  <c r="AK10" i="44"/>
  <c r="F26" i="44"/>
  <c r="F16" i="44"/>
  <c r="AH29" i="44"/>
  <c r="AE26" i="44"/>
  <c r="AQ16" i="44"/>
  <c r="AR7" i="44"/>
  <c r="G29" i="44"/>
  <c r="AK15" i="44"/>
  <c r="AK8" i="44"/>
  <c r="AD12" i="44"/>
  <c r="C24" i="44"/>
  <c r="E33" i="44"/>
  <c r="AH33" i="44"/>
  <c r="AD37" i="44"/>
  <c r="AL8" i="44"/>
  <c r="I30" i="44"/>
  <c r="AE41" i="44"/>
  <c r="H25" i="44"/>
  <c r="BG42" i="44"/>
  <c r="B21" i="44"/>
  <c r="AQ8" i="44"/>
  <c r="V34" i="44"/>
  <c r="AG19" i="44"/>
  <c r="K12" i="44"/>
  <c r="AL20" i="44"/>
  <c r="AR17" i="44"/>
  <c r="G19" i="44"/>
  <c r="B15" i="44"/>
  <c r="AL12" i="44"/>
  <c r="AT29" i="44"/>
  <c r="AE32" i="44"/>
  <c r="W17" i="44"/>
  <c r="AE16" i="44"/>
  <c r="X21" i="44"/>
  <c r="AF8" i="44"/>
  <c r="F24" i="44"/>
  <c r="H29" i="44"/>
  <c r="Z38" i="44"/>
  <c r="W23" i="44"/>
  <c r="AH32" i="44"/>
  <c r="C7" i="44"/>
  <c r="K37" i="44"/>
  <c r="AP30" i="44"/>
  <c r="AJ19" i="44"/>
  <c r="Z31" i="44"/>
  <c r="AP17" i="44"/>
  <c r="AP27" i="44"/>
  <c r="AO31" i="44"/>
  <c r="AQ41" i="44"/>
  <c r="AT16" i="44"/>
  <c r="BK9" i="44"/>
  <c r="AN18" i="44"/>
  <c r="AS38" i="44"/>
  <c r="BK24" i="44"/>
  <c r="J19" i="44"/>
  <c r="W42" i="44"/>
  <c r="AI8" i="44"/>
  <c r="K20" i="44"/>
  <c r="AJ40" i="44"/>
  <c r="AL13" i="44"/>
  <c r="AM26" i="44"/>
  <c r="Y42" i="44"/>
  <c r="AG18" i="44"/>
  <c r="AQ15" i="44"/>
  <c r="AD15" i="44"/>
  <c r="AI14" i="44"/>
  <c r="BG35" i="44"/>
  <c r="AH13" i="44"/>
  <c r="Z14" i="44"/>
  <c r="W12" i="44"/>
  <c r="V26" i="44"/>
  <c r="BH13" i="44"/>
  <c r="AN28" i="44"/>
  <c r="W37" i="44"/>
  <c r="AE12" i="44"/>
  <c r="BH40" i="44"/>
  <c r="Y29" i="44"/>
  <c r="BK25" i="44"/>
  <c r="AC15" i="44"/>
  <c r="AD17" i="44"/>
  <c r="Y31" i="44"/>
  <c r="AH25" i="44"/>
  <c r="AQ31" i="44"/>
  <c r="J11" i="44"/>
  <c r="Z20" i="44"/>
  <c r="AO26" i="44"/>
  <c r="BJ22" i="44"/>
  <c r="G34" i="44"/>
  <c r="AE31" i="44"/>
  <c r="H34" i="44"/>
  <c r="B11" i="44"/>
  <c r="AN33" i="44"/>
  <c r="AT25" i="44"/>
  <c r="AA35" i="44"/>
  <c r="BJ26" i="44"/>
  <c r="Z32" i="44"/>
  <c r="D27" i="44"/>
  <c r="AL10" i="44"/>
  <c r="AI22" i="44"/>
  <c r="AJ41" i="44"/>
  <c r="AG9" i="44"/>
  <c r="BI9" i="44"/>
  <c r="AN10" i="44"/>
  <c r="BG25" i="44"/>
  <c r="AJ13" i="44"/>
  <c r="AS30" i="44"/>
  <c r="AT22" i="44"/>
  <c r="I21" i="44"/>
  <c r="AN42" i="44"/>
  <c r="AI21" i="44"/>
  <c r="BJ31" i="44"/>
  <c r="X29" i="44"/>
  <c r="AB40" i="44"/>
  <c r="H10" i="44"/>
  <c r="D33" i="44"/>
  <c r="AI37" i="44"/>
  <c r="I8" i="44"/>
  <c r="G41" i="44"/>
  <c r="E41" i="44"/>
  <c r="AT42" i="44"/>
  <c r="AH15" i="44"/>
  <c r="Y32" i="44"/>
  <c r="AG10" i="44"/>
  <c r="AB34" i="44"/>
  <c r="BH30" i="44"/>
  <c r="AK30" i="44"/>
  <c r="AP22" i="44"/>
  <c r="BH22" i="44"/>
  <c r="AD16" i="44"/>
  <c r="BH25" i="44"/>
  <c r="G33" i="44"/>
  <c r="BH7" i="44"/>
  <c r="BK34" i="44"/>
  <c r="BK10" i="44"/>
  <c r="AM24" i="44"/>
  <c r="AQ32" i="44"/>
  <c r="AO32" i="44"/>
  <c r="Z25" i="44"/>
  <c r="AN14" i="44"/>
  <c r="AR38" i="44"/>
  <c r="AB16" i="44"/>
  <c r="W36" i="44"/>
  <c r="AI24" i="44"/>
  <c r="Y12" i="44"/>
  <c r="AA16" i="44"/>
  <c r="V38" i="44"/>
  <c r="G12" i="44"/>
  <c r="H20" i="44"/>
  <c r="Z8" i="44"/>
  <c r="AR25" i="44"/>
  <c r="AQ24" i="44"/>
  <c r="W21" i="44"/>
  <c r="AM37" i="44"/>
  <c r="K36" i="44"/>
  <c r="BJ11" i="44"/>
  <c r="BK29" i="44"/>
  <c r="AD8" i="44"/>
  <c r="J40" i="44"/>
  <c r="BH26" i="44"/>
  <c r="F30" i="44"/>
  <c r="AC42" i="44"/>
  <c r="AQ12" i="44"/>
  <c r="B20" i="44"/>
  <c r="Y13" i="44"/>
  <c r="J25" i="44"/>
  <c r="AD19" i="44"/>
  <c r="AB11" i="44"/>
  <c r="V15" i="44"/>
  <c r="AT38" i="44"/>
  <c r="AA36" i="44"/>
  <c r="BH32" i="44"/>
  <c r="W7" i="44"/>
  <c r="AI31" i="44"/>
  <c r="BG21" i="44"/>
  <c r="J23" i="44"/>
  <c r="AC20" i="44"/>
  <c r="AN17" i="44"/>
  <c r="BK32" i="44"/>
  <c r="AI36" i="44"/>
  <c r="D17" i="44"/>
  <c r="AE42" i="44"/>
  <c r="V29" i="44"/>
  <c r="AJ14" i="44"/>
  <c r="AB27" i="44"/>
  <c r="J10" i="44"/>
  <c r="AR24" i="44"/>
  <c r="AM33" i="44"/>
  <c r="W14" i="44"/>
  <c r="AQ30" i="44"/>
  <c r="H35" i="44"/>
  <c r="Y39" i="44"/>
  <c r="Y19" i="44"/>
  <c r="AC21" i="44"/>
  <c r="AO19" i="44"/>
  <c r="AS23" i="44"/>
  <c r="F10" i="44"/>
  <c r="AB42" i="44"/>
  <c r="BG31" i="44"/>
  <c r="AJ37" i="44"/>
  <c r="BG8" i="44"/>
  <c r="W29" i="44"/>
  <c r="G38" i="44"/>
  <c r="E21" i="44"/>
  <c r="AP14" i="44"/>
  <c r="AA11" i="44"/>
  <c r="AI7" i="44"/>
  <c r="H38" i="44"/>
  <c r="BI34" i="44"/>
  <c r="AD29" i="44"/>
  <c r="D25" i="44"/>
  <c r="X11" i="44"/>
  <c r="BK13" i="44"/>
  <c r="AL26" i="44"/>
  <c r="BK33" i="44"/>
  <c r="AJ42" i="44"/>
  <c r="AB12" i="44"/>
  <c r="E35" i="44"/>
  <c r="G40" i="44"/>
  <c r="BH23" i="44"/>
  <c r="D8" i="44"/>
  <c r="I39" i="44"/>
  <c r="AO34" i="44"/>
  <c r="BK36" i="44"/>
  <c r="AT40" i="44"/>
  <c r="AO29" i="44"/>
  <c r="AP34" i="44"/>
  <c r="AS7" i="44"/>
  <c r="Y20" i="44"/>
  <c r="F40" i="44"/>
  <c r="AE13" i="44"/>
  <c r="F31" i="44"/>
  <c r="AD34" i="44"/>
  <c r="AD20" i="44"/>
  <c r="AT12" i="44"/>
  <c r="B30" i="44"/>
  <c r="AN41" i="44"/>
  <c r="F41" i="44"/>
  <c r="AD18" i="44"/>
  <c r="Y34" i="44"/>
  <c r="B22" i="44"/>
  <c r="AK22" i="44"/>
  <c r="BH27" i="44"/>
  <c r="I25" i="44"/>
  <c r="AR20" i="44"/>
  <c r="K7" i="44"/>
  <c r="AG12" i="44"/>
  <c r="AQ11" i="44"/>
  <c r="Z35" i="44"/>
  <c r="AF29" i="44"/>
  <c r="V35" i="44"/>
  <c r="AN29" i="44"/>
  <c r="W32" i="44"/>
  <c r="AL16" i="44"/>
  <c r="AA28" i="44"/>
  <c r="Y28" i="44"/>
  <c r="BK11" i="44"/>
  <c r="AK21" i="44"/>
  <c r="BI41" i="44"/>
  <c r="AL9" i="44"/>
  <c r="AE21" i="44"/>
  <c r="B8" i="44"/>
  <c r="AT14" i="44"/>
  <c r="AF38" i="44"/>
  <c r="AK37" i="44"/>
  <c r="AI16" i="44"/>
  <c r="AJ36" i="44"/>
  <c r="BJ24" i="44"/>
  <c r="AH8" i="44"/>
  <c r="C25" i="44"/>
  <c r="V25" i="44"/>
  <c r="X35" i="44"/>
  <c r="AN24" i="44"/>
  <c r="AC9" i="44"/>
  <c r="B16" i="44"/>
  <c r="X34" i="44"/>
  <c r="E24" i="44"/>
  <c r="W15" i="44"/>
  <c r="Z17" i="44"/>
  <c r="AN35" i="44"/>
  <c r="BK22" i="44"/>
  <c r="AO10" i="44"/>
  <c r="AM20" i="44"/>
  <c r="AR26" i="44"/>
  <c r="AB31" i="44"/>
  <c r="D38" i="44"/>
  <c r="G23" i="44"/>
  <c r="AG25" i="44"/>
  <c r="Z13" i="44"/>
  <c r="G8" i="44"/>
  <c r="AA38" i="44"/>
  <c r="H30" i="44"/>
  <c r="E36" i="44"/>
  <c r="D31" i="44"/>
  <c r="AJ29" i="44"/>
  <c r="AF24" i="44"/>
  <c r="AO40" i="44"/>
  <c r="AN9" i="44"/>
  <c r="V16" i="44"/>
  <c r="AB35" i="44"/>
  <c r="AN38" i="44"/>
  <c r="AI41" i="44"/>
  <c r="AK7" i="44"/>
  <c r="BG11" i="44"/>
  <c r="Z36" i="44"/>
  <c r="AP7" i="44"/>
  <c r="AJ8" i="44"/>
  <c r="BJ16" i="44"/>
  <c r="V27" i="44"/>
  <c r="AT34" i="44"/>
  <c r="AS18" i="44"/>
  <c r="V39" i="44"/>
  <c r="AL37" i="44"/>
  <c r="BH41" i="44"/>
  <c r="X24" i="44"/>
  <c r="AD36" i="44"/>
  <c r="AJ20" i="44"/>
  <c r="V19" i="44"/>
  <c r="Y11" i="44"/>
  <c r="AJ33" i="44"/>
  <c r="AE18" i="44"/>
  <c r="AP32" i="44"/>
  <c r="K15" i="44"/>
  <c r="V18" i="44"/>
  <c r="AL21" i="44"/>
  <c r="BI28" i="44"/>
  <c r="AL42" i="44"/>
  <c r="AS42" i="44"/>
  <c r="AH39" i="44"/>
  <c r="AR8" i="44"/>
  <c r="C20" i="44"/>
  <c r="AN31" i="44"/>
  <c r="I28" i="44"/>
  <c r="BI20" i="44"/>
  <c r="C36" i="44"/>
  <c r="H42" i="44"/>
  <c r="H9" i="44"/>
  <c r="D24" i="44"/>
  <c r="E17" i="44"/>
  <c r="E10" i="44"/>
  <c r="BJ40" i="44"/>
  <c r="H40" i="44"/>
  <c r="E9" i="44"/>
  <c r="AK13" i="44"/>
  <c r="Z15" i="44"/>
  <c r="AP38" i="44"/>
  <c r="AB29" i="44"/>
  <c r="H24" i="44"/>
  <c r="G28" i="44"/>
  <c r="AR27" i="44"/>
  <c r="B38" i="44"/>
  <c r="Z34" i="44"/>
  <c r="AA9" i="44"/>
  <c r="AB19" i="44"/>
  <c r="Y14" i="44"/>
  <c r="BH31" i="44"/>
  <c r="AR18" i="44"/>
  <c r="BJ23" i="44"/>
  <c r="X23" i="44"/>
  <c r="BK28" i="44"/>
  <c r="AS16" i="44"/>
  <c r="K25" i="44"/>
  <c r="AN32" i="44"/>
  <c r="AG7" i="44"/>
  <c r="V7" i="44"/>
  <c r="AI35" i="44"/>
  <c r="K30" i="44"/>
  <c r="AQ33" i="44"/>
  <c r="Z24" i="44"/>
  <c r="AD31" i="44"/>
  <c r="BG15" i="44"/>
  <c r="Z37" i="44"/>
  <c r="K41" i="44"/>
  <c r="AD13" i="44"/>
  <c r="BH9" i="44"/>
  <c r="BG24" i="44"/>
  <c r="I11" i="44"/>
  <c r="G24" i="44"/>
  <c r="AS32" i="44"/>
  <c r="AT30" i="44"/>
  <c r="AP20" i="44"/>
  <c r="BK18" i="44"/>
  <c r="AA15" i="44"/>
  <c r="AE33" i="44"/>
  <c r="AA32" i="44"/>
  <c r="AG27" i="44"/>
  <c r="AN40" i="44"/>
  <c r="C27" i="44"/>
  <c r="D23" i="44"/>
  <c r="BK42" i="44"/>
  <c r="AH38" i="44"/>
  <c r="AC14" i="44"/>
  <c r="AR22" i="44"/>
  <c r="AL14" i="44"/>
  <c r="BH10" i="44"/>
  <c r="AN16" i="44"/>
  <c r="X39" i="44"/>
  <c r="AF21" i="44"/>
  <c r="AB17" i="44"/>
  <c r="AL34" i="44"/>
  <c r="AR42" i="44"/>
  <c r="BJ9" i="44"/>
  <c r="BH19" i="44"/>
  <c r="BI27" i="44"/>
  <c r="AC34" i="44"/>
  <c r="AG41" i="44"/>
  <c r="AH40" i="44"/>
  <c r="E25" i="44"/>
  <c r="AA13" i="44"/>
  <c r="AA8" i="44"/>
  <c r="I16" i="44"/>
  <c r="X14" i="44"/>
  <c r="K33" i="44"/>
  <c r="G11" i="44"/>
  <c r="J8" i="44"/>
  <c r="AK35" i="44"/>
  <c r="AG29" i="44"/>
  <c r="G31" i="44"/>
  <c r="BH16" i="44"/>
  <c r="C9" i="44"/>
  <c r="AG11" i="44"/>
  <c r="AM39" i="44"/>
  <c r="H22" i="44"/>
  <c r="C16" i="44"/>
  <c r="X28" i="44"/>
  <c r="AI38" i="44"/>
  <c r="AS19" i="44"/>
  <c r="AE23" i="44"/>
  <c r="AP10" i="44"/>
  <c r="BH39" i="44"/>
  <c r="AP28" i="44"/>
  <c r="F22" i="44"/>
  <c r="G16" i="44"/>
  <c r="W25" i="44"/>
  <c r="BI21" i="44"/>
  <c r="BH38" i="44"/>
  <c r="H32" i="44"/>
  <c r="AN30" i="44"/>
  <c r="E37" i="44"/>
  <c r="BG32" i="44"/>
  <c r="AG16" i="44"/>
  <c r="D29" i="44"/>
  <c r="C26" i="44"/>
  <c r="I10" i="44"/>
  <c r="AP41" i="44"/>
  <c r="AA30" i="44"/>
  <c r="AF34" i="44"/>
  <c r="AA27" i="44"/>
  <c r="AL31" i="44"/>
  <c r="AC10" i="44"/>
  <c r="J29" i="44"/>
  <c r="C10" i="44"/>
  <c r="Y21" i="44"/>
  <c r="AA39" i="44"/>
  <c r="BI7" i="44"/>
  <c r="D26" i="44"/>
  <c r="AB38" i="44"/>
  <c r="AD21" i="44"/>
  <c r="AR16" i="44"/>
  <c r="AP11" i="44"/>
  <c r="AL30" i="44"/>
  <c r="B28" i="44"/>
  <c r="AJ18" i="44"/>
  <c r="AJ24" i="44"/>
  <c r="AC41" i="44"/>
  <c r="AF7" i="44"/>
  <c r="AJ15" i="44"/>
  <c r="BI39" i="44"/>
  <c r="I23" i="44"/>
  <c r="AE22" i="44"/>
  <c r="J21" i="44"/>
  <c r="AM10" i="44"/>
  <c r="E19" i="44"/>
  <c r="AE29" i="44"/>
  <c r="AA25" i="44"/>
  <c r="BG37" i="44"/>
  <c r="F37" i="44"/>
  <c r="AR36" i="44"/>
  <c r="AJ23" i="44"/>
  <c r="AL15" i="44"/>
  <c r="E28" i="44"/>
  <c r="H41" i="44"/>
  <c r="D22" i="44"/>
  <c r="BJ14" i="44"/>
  <c r="D32" i="44"/>
  <c r="J31" i="44"/>
  <c r="BJ29" i="44"/>
  <c r="AO16" i="44"/>
  <c r="D20" i="44"/>
  <c r="BI33" i="44"/>
  <c r="AT13" i="44"/>
  <c r="AN7" i="44"/>
  <c r="AN19" i="44"/>
  <c r="BG30" i="44"/>
  <c r="Z26" i="44"/>
  <c r="AO36" i="44"/>
  <c r="B39" i="44"/>
  <c r="AC19" i="44"/>
  <c r="C13" i="44"/>
  <c r="AK40" i="44"/>
  <c r="BI10" i="44"/>
  <c r="B36" i="44"/>
  <c r="AL39" i="44"/>
  <c r="AR32" i="44"/>
  <c r="AN27" i="44"/>
  <c r="AL36" i="44"/>
  <c r="V22" i="44"/>
  <c r="D41" i="44"/>
  <c r="AK11" i="44"/>
  <c r="AD23" i="44"/>
  <c r="X30" i="44"/>
  <c r="AC27" i="44"/>
  <c r="J18" i="44"/>
  <c r="G30" i="44"/>
  <c r="AP15" i="44"/>
  <c r="K26" i="44"/>
  <c r="W19" i="44"/>
  <c r="AD38" i="44"/>
  <c r="W41" i="44"/>
  <c r="AA37" i="44"/>
  <c r="AL25" i="44"/>
  <c r="AK25" i="44"/>
  <c r="AS37" i="44"/>
  <c r="AC26" i="44"/>
  <c r="AF13" i="44"/>
  <c r="AA23" i="44"/>
  <c r="AO25" i="44"/>
  <c r="AM41" i="44"/>
  <c r="G32" i="44"/>
  <c r="J42" i="44"/>
  <c r="AE14" i="44"/>
  <c r="AG39" i="44"/>
  <c r="AJ34" i="44"/>
  <c r="AF16" i="44"/>
  <c r="W34" i="44"/>
  <c r="BI30" i="44"/>
  <c r="AK38" i="44"/>
  <c r="BG22" i="44"/>
  <c r="AT28" i="44"/>
  <c r="AQ13" i="44"/>
  <c r="AT33" i="44"/>
  <c r="AD42" i="44"/>
  <c r="Z39" i="44"/>
  <c r="AA34" i="44"/>
  <c r="BG28" i="44"/>
  <c r="AL35" i="44"/>
  <c r="AF33" i="44"/>
  <c r="K18" i="44"/>
  <c r="AD33" i="44"/>
  <c r="AR37" i="44"/>
  <c r="Z28" i="44"/>
  <c r="AC38" i="44"/>
  <c r="F13" i="44"/>
  <c r="C37" i="44"/>
  <c r="BK7" i="44"/>
  <c r="AM30" i="44"/>
  <c r="AN11" i="44"/>
  <c r="C41" i="44"/>
  <c r="AI42" i="44"/>
  <c r="AA20" i="44"/>
  <c r="BJ13" i="44"/>
  <c r="G17" i="44"/>
  <c r="X12" i="44"/>
  <c r="BI18" i="44"/>
  <c r="BG12" i="44"/>
  <c r="AB8" i="44"/>
  <c r="J28" i="44"/>
  <c r="AS22" i="44"/>
  <c r="AJ25" i="44"/>
  <c r="C23" i="44"/>
  <c r="AI40" i="44"/>
  <c r="G39" i="44"/>
  <c r="BG27" i="44"/>
  <c r="BJ34" i="44"/>
  <c r="I41" i="44"/>
  <c r="AQ18" i="44"/>
  <c r="AD26" i="44"/>
  <c r="AB18" i="44"/>
  <c r="AA19" i="44"/>
  <c r="Y15" i="44"/>
  <c r="AF19" i="44"/>
  <c r="X20" i="44"/>
  <c r="BI11" i="44"/>
  <c r="AI27" i="44"/>
  <c r="AB21" i="44"/>
  <c r="AN22" i="44"/>
  <c r="AO8" i="44"/>
  <c r="AD22" i="44"/>
  <c r="AC7" i="44"/>
  <c r="W30" i="44"/>
  <c r="AP21" i="44"/>
  <c r="AO41" i="44"/>
  <c r="AQ20" i="44"/>
  <c r="AH19" i="44"/>
  <c r="AF28" i="44"/>
  <c r="AQ10" i="44"/>
  <c r="I37" i="44"/>
  <c r="C35" i="44"/>
  <c r="BJ20" i="44"/>
  <c r="J39" i="44"/>
  <c r="W26" i="44"/>
  <c r="AF23" i="44"/>
  <c r="BI38" i="44"/>
  <c r="AK12" i="44"/>
  <c r="BK19" i="44"/>
  <c r="AG35" i="44"/>
  <c r="AT39" i="44"/>
  <c r="BI31" i="44"/>
  <c r="BK15" i="44"/>
  <c r="AS11" i="44"/>
  <c r="AM18" i="44"/>
  <c r="AQ37" i="44"/>
  <c r="AF40" i="44"/>
  <c r="B7" i="44"/>
  <c r="C32" i="44"/>
  <c r="AE20" i="44"/>
  <c r="I13" i="44"/>
  <c r="AC24" i="44"/>
  <c r="AH36" i="44"/>
  <c r="AO33" i="44"/>
  <c r="AH16" i="44"/>
  <c r="K29" i="44"/>
  <c r="E8" i="44"/>
  <c r="BH15" i="44"/>
  <c r="L32" i="44" l="1" a="1"/>
  <c r="L32" i="44" s="1"/>
  <c r="AV32" i="44" s="1"/>
  <c r="L42" i="44" a="1"/>
  <c r="L42" i="44" s="1"/>
  <c r="L31" i="44" a="1"/>
  <c r="L31" i="44" s="1"/>
  <c r="AV31" i="44" s="1"/>
  <c r="L25" i="44" a="1"/>
  <c r="L25" i="44" s="1"/>
  <c r="AV25" i="44" s="1"/>
  <c r="L34" i="44" a="1"/>
  <c r="L34" i="44" s="1"/>
  <c r="AV34" i="44" s="1"/>
  <c r="L39" i="44" a="1"/>
  <c r="L39" i="44" s="1"/>
  <c r="AV39" i="44" s="1"/>
  <c r="S33" i="44" a="1"/>
  <c r="S33" i="44" s="1"/>
  <c r="BC33" i="44" s="1"/>
  <c r="Q33" i="44" a="1"/>
  <c r="Q33" i="44" s="1"/>
  <c r="BA33" i="44" s="1"/>
  <c r="N33" i="44" a="1"/>
  <c r="N33" i="44" s="1"/>
  <c r="AX33" i="44" s="1"/>
  <c r="M15" i="44" a="1"/>
  <c r="M15" i="44" s="1"/>
  <c r="AW15" i="44" s="1"/>
  <c r="P15" i="44" a="1"/>
  <c r="P15" i="44" s="1"/>
  <c r="AZ15" i="44" s="1"/>
  <c r="T23" i="44" a="1"/>
  <c r="T23" i="44" s="1"/>
  <c r="BD23" i="44" s="1"/>
  <c r="O23" i="44" a="1"/>
  <c r="O23" i="44" s="1"/>
  <c r="AY23" i="44" s="1"/>
  <c r="U23" i="44" a="1"/>
  <c r="U23" i="44" s="1"/>
  <c r="BE23" i="44" s="1"/>
  <c r="R23" i="44" a="1"/>
  <c r="R23" i="44" s="1"/>
  <c r="BB23" i="44" s="1"/>
  <c r="U25" i="44" a="1"/>
  <c r="U25" i="44" s="1"/>
  <c r="BE25" i="44" s="1"/>
  <c r="O25" i="44" a="1"/>
  <c r="O25" i="44" s="1"/>
  <c r="AY25" i="44" s="1"/>
  <c r="R25" i="44" a="1"/>
  <c r="R25" i="44" s="1"/>
  <c r="BB25" i="44" s="1"/>
  <c r="T25" i="44" a="1"/>
  <c r="T25" i="44" s="1"/>
  <c r="BD25" i="44" s="1"/>
  <c r="M13" i="44" a="1"/>
  <c r="M13" i="44" s="1"/>
  <c r="AW13" i="44" s="1"/>
  <c r="P13" i="44" a="1"/>
  <c r="P13" i="44" s="1"/>
  <c r="AZ13" i="44" s="1"/>
  <c r="L23" i="44" a="1"/>
  <c r="L23" i="44" s="1"/>
  <c r="AV23" i="44" s="1"/>
  <c r="M39" i="44" a="1"/>
  <c r="M39" i="44" s="1"/>
  <c r="AW39" i="44" s="1"/>
  <c r="P39" i="44" a="1"/>
  <c r="P39" i="44" s="1"/>
  <c r="AZ39" i="44" s="1"/>
  <c r="N40" i="44" a="1"/>
  <c r="N40" i="44" s="1"/>
  <c r="AX40" i="44" s="1"/>
  <c r="Q40" i="44" a="1"/>
  <c r="Q40" i="44" s="1"/>
  <c r="BA40" i="44" s="1"/>
  <c r="S40" i="44" a="1"/>
  <c r="S40" i="44" s="1"/>
  <c r="BC40" i="44" s="1"/>
  <c r="T34" i="44" a="1"/>
  <c r="T34" i="44" s="1"/>
  <c r="BD34" i="44" s="1"/>
  <c r="U34" i="44" a="1"/>
  <c r="U34" i="44" s="1"/>
  <c r="BE34" i="44" s="1"/>
  <c r="R34" i="44" a="1"/>
  <c r="R34" i="44" s="1"/>
  <c r="BB34" i="44" s="1"/>
  <c r="O34" i="44" a="1"/>
  <c r="O34" i="44" s="1"/>
  <c r="AY34" i="44" s="1"/>
  <c r="R42" i="44" a="1"/>
  <c r="R42" i="44" s="1"/>
  <c r="BB42" i="44" s="1"/>
  <c r="U42" i="44" a="1"/>
  <c r="U42" i="44" s="1"/>
  <c r="BE42" i="44" s="1"/>
  <c r="O42" i="44" a="1"/>
  <c r="O42" i="44" s="1"/>
  <c r="AY42" i="44" s="1"/>
  <c r="T42" i="44" a="1"/>
  <c r="T42" i="44" s="1"/>
  <c r="BD42" i="44" s="1"/>
  <c r="P35" i="44" a="1"/>
  <c r="P35" i="44" s="1"/>
  <c r="AZ35" i="44" s="1"/>
  <c r="M35" i="44" a="1"/>
  <c r="M35" i="44" s="1"/>
  <c r="AW35" i="44" s="1"/>
  <c r="BI54" i="44"/>
  <c r="BI52" i="44"/>
  <c r="BI68" i="44" s="1"/>
  <c r="BI51" i="44"/>
  <c r="BI50" i="44"/>
  <c r="BI53" i="44"/>
  <c r="AF53" i="44"/>
  <c r="AF52" i="44"/>
  <c r="AF68" i="44" s="1"/>
  <c r="AF50" i="44"/>
  <c r="AF54" i="44"/>
  <c r="AF51" i="44"/>
  <c r="M16" i="44" a="1"/>
  <c r="M16" i="44" s="1"/>
  <c r="AW16" i="44" s="1"/>
  <c r="P16" i="44" a="1"/>
  <c r="P16" i="44" s="1"/>
  <c r="AZ16" i="44" s="1"/>
  <c r="N16" i="44" a="1"/>
  <c r="N16" i="44" s="1"/>
  <c r="AX16" i="44" s="1"/>
  <c r="S16" i="44" a="1"/>
  <c r="S16" i="44" s="1"/>
  <c r="BC16" i="44" s="1"/>
  <c r="Q16" i="44" a="1"/>
  <c r="Q16" i="44" s="1"/>
  <c r="BA16" i="44" s="1"/>
  <c r="L37" i="44" a="1"/>
  <c r="L37" i="44" s="1"/>
  <c r="AV37" i="44" s="1"/>
  <c r="N28" i="44" a="1"/>
  <c r="N28" i="44" s="1"/>
  <c r="AX28" i="44" s="1"/>
  <c r="Q28" i="44" a="1"/>
  <c r="Q28" i="44" s="1"/>
  <c r="BA28" i="44" s="1"/>
  <c r="S28" i="44" a="1"/>
  <c r="S28" i="44" s="1"/>
  <c r="BC28" i="44" s="1"/>
  <c r="U26" i="44" a="1"/>
  <c r="U26" i="44" s="1"/>
  <c r="BE26" i="44" s="1"/>
  <c r="T26" i="44" a="1"/>
  <c r="T26" i="44" s="1"/>
  <c r="BD26" i="44" s="1"/>
  <c r="O26" i="44" a="1"/>
  <c r="O26" i="44" s="1"/>
  <c r="AY26" i="44" s="1"/>
  <c r="R26" i="44" a="1"/>
  <c r="R26" i="44" s="1"/>
  <c r="BB26" i="44" s="1"/>
  <c r="L17" i="44" a="1"/>
  <c r="L17" i="44" s="1"/>
  <c r="AV17" i="44" s="1"/>
  <c r="N10" i="44" a="1"/>
  <c r="N10" i="44" s="1"/>
  <c r="AX10" i="44" s="1"/>
  <c r="Q10" i="44" a="1"/>
  <c r="Q10" i="44" s="1"/>
  <c r="BA10" i="44" s="1"/>
  <c r="S10" i="44" a="1"/>
  <c r="S10" i="44" s="1"/>
  <c r="BC10" i="44" s="1"/>
  <c r="S27" i="44" a="1"/>
  <c r="S27" i="44" s="1"/>
  <c r="BC27" i="44" s="1"/>
  <c r="Q27" i="44" a="1"/>
  <c r="Q27" i="44" s="1"/>
  <c r="BA27" i="44" s="1"/>
  <c r="N27" i="44" a="1"/>
  <c r="N27" i="44" s="1"/>
  <c r="AX27" i="44" s="1"/>
  <c r="AA53" i="44"/>
  <c r="AA51" i="44"/>
  <c r="AA50" i="44"/>
  <c r="AA54" i="44"/>
  <c r="AA52" i="44"/>
  <c r="AA68" i="44" s="1"/>
  <c r="L10" i="44" a="1"/>
  <c r="L10" i="44" s="1"/>
  <c r="AV10" i="44" s="1"/>
  <c r="BJ54" i="44"/>
  <c r="BJ52" i="44"/>
  <c r="BJ68" i="44" s="1"/>
  <c r="BJ53" i="44"/>
  <c r="BJ51" i="44"/>
  <c r="BJ50" i="44"/>
  <c r="U40" i="44" a="1"/>
  <c r="U40" i="44" s="1"/>
  <c r="BE40" i="44" s="1"/>
  <c r="R40" i="44" a="1"/>
  <c r="R40" i="44" s="1"/>
  <c r="BB40" i="44" s="1"/>
  <c r="O40" i="44" a="1"/>
  <c r="O40" i="44" s="1"/>
  <c r="AY40" i="44" s="1"/>
  <c r="T40" i="44" a="1"/>
  <c r="T40" i="44" s="1"/>
  <c r="BD40" i="44" s="1"/>
  <c r="U16" i="44" a="1"/>
  <c r="U16" i="44" s="1"/>
  <c r="BE16" i="44" s="1"/>
  <c r="T16" i="44" a="1"/>
  <c r="T16" i="44" s="1"/>
  <c r="BD16" i="44" s="1"/>
  <c r="O16" i="44" a="1"/>
  <c r="O16" i="44" s="1"/>
  <c r="AY16" i="44" s="1"/>
  <c r="R16" i="44" a="1"/>
  <c r="R16" i="44" s="1"/>
  <c r="BB16" i="44" s="1"/>
  <c r="P21" i="44" a="1"/>
  <c r="P21" i="44" s="1"/>
  <c r="AZ21" i="44" s="1"/>
  <c r="M21" i="44" a="1"/>
  <c r="M21" i="44" s="1"/>
  <c r="AW21" i="44" s="1"/>
  <c r="L21" i="44" a="1"/>
  <c r="L21" i="44" s="1"/>
  <c r="AV21" i="44" s="1"/>
  <c r="N18" i="44" a="1"/>
  <c r="N18" i="44" s="1"/>
  <c r="AX18" i="44" s="1"/>
  <c r="S18" i="44" a="1"/>
  <c r="S18" i="44" s="1"/>
  <c r="BC18" i="44" s="1"/>
  <c r="Q18" i="44" a="1"/>
  <c r="Q18" i="44" s="1"/>
  <c r="BA18" i="44" s="1"/>
  <c r="P31" i="44" a="1"/>
  <c r="P31" i="44" s="1"/>
  <c r="AZ31" i="44" s="1"/>
  <c r="M31" i="44" a="1"/>
  <c r="M31" i="44" s="1"/>
  <c r="AW31" i="44" s="1"/>
  <c r="S21" i="44" a="1"/>
  <c r="S21" i="44" s="1"/>
  <c r="BC21" i="44" s="1"/>
  <c r="Q21" i="44" a="1"/>
  <c r="Q21" i="44" s="1"/>
  <c r="BA21" i="44" s="1"/>
  <c r="N21" i="44" a="1"/>
  <c r="N21" i="44" s="1"/>
  <c r="AX21" i="44" s="1"/>
  <c r="L13" i="44" a="1"/>
  <c r="L13" i="44" s="1"/>
  <c r="AV13" i="44" s="1"/>
  <c r="U13" i="44" a="1"/>
  <c r="U13" i="44" s="1"/>
  <c r="BE13" i="44" s="1"/>
  <c r="T13" i="44" a="1"/>
  <c r="T13" i="44" s="1"/>
  <c r="BD13" i="44" s="1"/>
  <c r="R13" i="44" a="1"/>
  <c r="R13" i="44" s="1"/>
  <c r="BB13" i="44" s="1"/>
  <c r="O13" i="44" a="1"/>
  <c r="O13" i="44" s="1"/>
  <c r="AY13" i="44" s="1"/>
  <c r="O14" i="44" a="1"/>
  <c r="O14" i="44" s="1"/>
  <c r="AY14" i="44" s="1"/>
  <c r="R14" i="44" a="1"/>
  <c r="R14" i="44" s="1"/>
  <c r="BB14" i="44" s="1"/>
  <c r="T14" i="44" a="1"/>
  <c r="T14" i="44" s="1"/>
  <c r="BD14" i="44" s="1"/>
  <c r="U14" i="44" a="1"/>
  <c r="U14" i="44" s="1"/>
  <c r="BE14" i="44" s="1"/>
  <c r="O31" i="44" a="1"/>
  <c r="O31" i="44" s="1"/>
  <c r="AY31" i="44" s="1"/>
  <c r="T31" i="44" a="1"/>
  <c r="T31" i="44" s="1"/>
  <c r="BD31" i="44" s="1"/>
  <c r="U31" i="44" a="1"/>
  <c r="U31" i="44" s="1"/>
  <c r="BE31" i="44" s="1"/>
  <c r="R31" i="44" a="1"/>
  <c r="R31" i="44" s="1"/>
  <c r="BB31" i="44" s="1"/>
  <c r="N11" i="44" a="1"/>
  <c r="N11" i="44" s="1"/>
  <c r="AX11" i="44" s="1"/>
  <c r="S11" i="44" a="1"/>
  <c r="S11" i="44" s="1"/>
  <c r="BC11" i="44" s="1"/>
  <c r="Q11" i="44" a="1"/>
  <c r="Q11" i="44" s="1"/>
  <c r="BA11" i="44" s="1"/>
  <c r="T28" i="44" a="1"/>
  <c r="T28" i="44" s="1"/>
  <c r="BD28" i="44" s="1"/>
  <c r="U28" i="44" a="1"/>
  <c r="U28" i="44" s="1"/>
  <c r="BE28" i="44" s="1"/>
  <c r="O28" i="44" a="1"/>
  <c r="O28" i="44" s="1"/>
  <c r="AY28" i="44" s="1"/>
  <c r="R28" i="44" a="1"/>
  <c r="R28" i="44" s="1"/>
  <c r="BB28" i="44" s="1"/>
  <c r="X54" i="44"/>
  <c r="X52" i="44"/>
  <c r="X68" i="44" s="1"/>
  <c r="X53" i="44"/>
  <c r="X51" i="44"/>
  <c r="X50" i="44"/>
  <c r="T12" i="44" a="1"/>
  <c r="T12" i="44" s="1"/>
  <c r="BD12" i="44" s="1"/>
  <c r="U12" i="44" a="1"/>
  <c r="U12" i="44" s="1"/>
  <c r="BE12" i="44" s="1"/>
  <c r="R12" i="44" a="1"/>
  <c r="R12" i="44" s="1"/>
  <c r="BB12" i="44" s="1"/>
  <c r="O12" i="44" a="1"/>
  <c r="O12" i="44" s="1"/>
  <c r="AY12" i="44" s="1"/>
  <c r="M25" i="44" a="1"/>
  <c r="M25" i="44" s="1"/>
  <c r="AW25" i="44" s="1"/>
  <c r="P25" i="44" a="1"/>
  <c r="P25" i="44" s="1"/>
  <c r="AZ25" i="44" s="1"/>
  <c r="Q15" i="44" a="1"/>
  <c r="Q15" i="44" s="1"/>
  <c r="BA15" i="44" s="1"/>
  <c r="N15" i="44" a="1"/>
  <c r="N15" i="44" s="1"/>
  <c r="AX15" i="44" s="1"/>
  <c r="S15" i="44" a="1"/>
  <c r="S15" i="44" s="1"/>
  <c r="BC15" i="44" s="1"/>
  <c r="Q39" i="44" a="1"/>
  <c r="Q39" i="44" s="1"/>
  <c r="BA39" i="44" s="1"/>
  <c r="N39" i="44" a="1"/>
  <c r="N39" i="44" s="1"/>
  <c r="AX39" i="44" s="1"/>
  <c r="S39" i="44" a="1"/>
  <c r="S39" i="44" s="1"/>
  <c r="BC39" i="44" s="1"/>
  <c r="I53" i="44"/>
  <c r="I85" i="44" s="1"/>
  <c r="I52" i="44"/>
  <c r="I68" i="44" s="1"/>
  <c r="I50" i="44"/>
  <c r="I54" i="44"/>
  <c r="I51" i="44"/>
  <c r="U10" i="44" a="1"/>
  <c r="U10" i="44" s="1"/>
  <c r="BE10" i="44" s="1"/>
  <c r="R10" i="44" a="1"/>
  <c r="R10" i="44" s="1"/>
  <c r="BB10" i="44" s="1"/>
  <c r="T10" i="44" a="1"/>
  <c r="T10" i="44" s="1"/>
  <c r="BD10" i="44" s="1"/>
  <c r="O10" i="44" a="1"/>
  <c r="O10" i="44" s="1"/>
  <c r="AY10" i="44" s="1"/>
  <c r="P20" i="44" a="1"/>
  <c r="P20" i="44" s="1"/>
  <c r="AZ20" i="44" s="1"/>
  <c r="M20" i="44" a="1"/>
  <c r="M20" i="44" s="1"/>
  <c r="AW20" i="44" s="1"/>
  <c r="P29" i="44" a="1"/>
  <c r="P29" i="44" s="1"/>
  <c r="AZ29" i="44" s="1"/>
  <c r="M29" i="44" a="1"/>
  <c r="M29" i="44" s="1"/>
  <c r="AW29" i="44" s="1"/>
  <c r="S23" i="44" a="1"/>
  <c r="S23" i="44" s="1"/>
  <c r="BC23" i="44" s="1"/>
  <c r="N23" i="44" a="1"/>
  <c r="N23" i="44" s="1"/>
  <c r="AX23" i="44" s="1"/>
  <c r="Q23" i="44" a="1"/>
  <c r="Q23" i="44" s="1"/>
  <c r="BA23" i="44" s="1"/>
  <c r="Q32" i="44" a="1"/>
  <c r="Q32" i="44" s="1"/>
  <c r="BA32" i="44" s="1"/>
  <c r="S32" i="44" a="1"/>
  <c r="S32" i="44" s="1"/>
  <c r="BC32" i="44" s="1"/>
  <c r="N32" i="44" a="1"/>
  <c r="N32" i="44" s="1"/>
  <c r="AX32" i="44" s="1"/>
  <c r="P37" i="44" a="1"/>
  <c r="P37" i="44" s="1"/>
  <c r="AZ37" i="44" s="1"/>
  <c r="M37" i="44" a="1"/>
  <c r="M37" i="44" s="1"/>
  <c r="AW37" i="44" s="1"/>
  <c r="T9" i="44" a="1"/>
  <c r="T9" i="44" s="1"/>
  <c r="BD9" i="44" s="1"/>
  <c r="O9" i="44" a="1"/>
  <c r="O9" i="44" s="1"/>
  <c r="AY9" i="44" s="1"/>
  <c r="U9" i="44" a="1"/>
  <c r="U9" i="44" s="1"/>
  <c r="BE9" i="44" s="1"/>
  <c r="R9" i="44" a="1"/>
  <c r="R9" i="44" s="1"/>
  <c r="BB9" i="44" s="1"/>
  <c r="R11" i="44" a="1"/>
  <c r="R11" i="44" s="1"/>
  <c r="BB11" i="44" s="1"/>
  <c r="T11" i="44" a="1"/>
  <c r="T11" i="44" s="1"/>
  <c r="BD11" i="44" s="1"/>
  <c r="U11" i="44" a="1"/>
  <c r="U11" i="44" s="1"/>
  <c r="BE11" i="44" s="1"/>
  <c r="O11" i="44" a="1"/>
  <c r="O11" i="44" s="1"/>
  <c r="AY11" i="44" s="1"/>
  <c r="T17" i="44" a="1"/>
  <c r="T17" i="44" s="1"/>
  <c r="BD17" i="44" s="1"/>
  <c r="O17" i="44" a="1"/>
  <c r="O17" i="44" s="1"/>
  <c r="AY17" i="44" s="1"/>
  <c r="R17" i="44" a="1"/>
  <c r="R17" i="44" s="1"/>
  <c r="BB17" i="44" s="1"/>
  <c r="U17" i="44" a="1"/>
  <c r="U17" i="44" s="1"/>
  <c r="BE17" i="44" s="1"/>
  <c r="N9" i="44" a="1"/>
  <c r="N9" i="44" s="1"/>
  <c r="AX9" i="44" s="1"/>
  <c r="Q9" i="44" a="1"/>
  <c r="Q9" i="44" s="1"/>
  <c r="BA9" i="44" s="1"/>
  <c r="S9" i="44" a="1"/>
  <c r="S9" i="44" s="1"/>
  <c r="BC9" i="44" s="1"/>
  <c r="U20" i="44" a="1"/>
  <c r="U20" i="44" s="1"/>
  <c r="BE20" i="44" s="1"/>
  <c r="R20" i="44" a="1"/>
  <c r="R20" i="44" s="1"/>
  <c r="BB20" i="44" s="1"/>
  <c r="O20" i="44" a="1"/>
  <c r="O20" i="44" s="1"/>
  <c r="AY20" i="44" s="1"/>
  <c r="T20" i="44" a="1"/>
  <c r="T20" i="44" s="1"/>
  <c r="BD20" i="44" s="1"/>
  <c r="L30" i="44" a="1"/>
  <c r="L30" i="44" s="1"/>
  <c r="AV30" i="44" s="1"/>
  <c r="L16" i="44" a="1"/>
  <c r="L16" i="44" s="1"/>
  <c r="AV16" i="44" s="1"/>
  <c r="L35" i="44" a="1"/>
  <c r="L35" i="44" s="1"/>
  <c r="AV35" i="44" s="1"/>
  <c r="L33" i="44" a="1"/>
  <c r="L33" i="44" s="1"/>
  <c r="AV33" i="44" s="1"/>
  <c r="O36" i="44" a="1"/>
  <c r="O36" i="44" s="1"/>
  <c r="AY36" i="44" s="1"/>
  <c r="R36" i="44" a="1"/>
  <c r="R36" i="44" s="1"/>
  <c r="BB36" i="44" s="1"/>
  <c r="U36" i="44" a="1"/>
  <c r="U36" i="44" s="1"/>
  <c r="BE36" i="44" s="1"/>
  <c r="T36" i="44" a="1"/>
  <c r="T36" i="44" s="1"/>
  <c r="BD36" i="44" s="1"/>
  <c r="O38" i="44" a="1"/>
  <c r="O38" i="44" s="1"/>
  <c r="AY38" i="44" s="1"/>
  <c r="R38" i="44" a="1"/>
  <c r="R38" i="44" s="1"/>
  <c r="BB38" i="44" s="1"/>
  <c r="T38" i="44" a="1"/>
  <c r="T38" i="44" s="1"/>
  <c r="BD38" i="44" s="1"/>
  <c r="U38" i="44" a="1"/>
  <c r="U38" i="44" s="1"/>
  <c r="BE38" i="44" s="1"/>
  <c r="L14" i="44" a="1"/>
  <c r="L14" i="44" s="1"/>
  <c r="AV14" i="44" s="1"/>
  <c r="L11" i="44" a="1"/>
  <c r="L11" i="44" s="1"/>
  <c r="AV11" i="44" s="1"/>
  <c r="U18" i="44" a="1"/>
  <c r="U18" i="44" s="1"/>
  <c r="BE18" i="44" s="1"/>
  <c r="R18" i="44" a="1"/>
  <c r="R18" i="44" s="1"/>
  <c r="BB18" i="44" s="1"/>
  <c r="O18" i="44" a="1"/>
  <c r="O18" i="44" s="1"/>
  <c r="AY18" i="44" s="1"/>
  <c r="T18" i="44" a="1"/>
  <c r="T18" i="44" s="1"/>
  <c r="BD18" i="44" s="1"/>
  <c r="P28" i="44" a="1"/>
  <c r="P28" i="44" s="1"/>
  <c r="AZ28" i="44" s="1"/>
  <c r="M28" i="44" a="1"/>
  <c r="M28" i="44" s="1"/>
  <c r="AW28" i="44" s="1"/>
  <c r="L22" i="44" a="1"/>
  <c r="L22" i="44" s="1"/>
  <c r="AV22" i="44" s="1"/>
  <c r="Q37" i="44" a="1"/>
  <c r="Q37" i="44" s="1"/>
  <c r="BA37" i="44" s="1"/>
  <c r="N37" i="44" a="1"/>
  <c r="N37" i="44" s="1"/>
  <c r="AX37" i="44" s="1"/>
  <c r="S37" i="44" a="1"/>
  <c r="S37" i="44" s="1"/>
  <c r="BC37" i="44" s="1"/>
  <c r="R22" i="44" a="1"/>
  <c r="R22" i="44" s="1"/>
  <c r="BB22" i="44" s="1"/>
  <c r="U22" i="44" a="1"/>
  <c r="U22" i="44" s="1"/>
  <c r="BE22" i="44" s="1"/>
  <c r="T22" i="44" a="1"/>
  <c r="T22" i="44" s="1"/>
  <c r="BD22" i="44" s="1"/>
  <c r="O22" i="44" a="1"/>
  <c r="O22" i="44" s="1"/>
  <c r="AY22" i="44" s="1"/>
  <c r="S19" i="44" a="1"/>
  <c r="S19" i="44" s="1"/>
  <c r="BC19" i="44" s="1"/>
  <c r="N19" i="44" a="1"/>
  <c r="N19" i="44" s="1"/>
  <c r="AX19" i="44" s="1"/>
  <c r="Q19" i="44" a="1"/>
  <c r="Q19" i="44" s="1"/>
  <c r="BA19" i="44" s="1"/>
  <c r="T19" i="44" a="1"/>
  <c r="T19" i="44" s="1"/>
  <c r="BD19" i="44" s="1"/>
  <c r="R19" i="44" a="1"/>
  <c r="R19" i="44" s="1"/>
  <c r="BB19" i="44" s="1"/>
  <c r="U19" i="44" a="1"/>
  <c r="U19" i="44" s="1"/>
  <c r="BE19" i="44" s="1"/>
  <c r="O19" i="44" a="1"/>
  <c r="O19" i="44" s="1"/>
  <c r="AY19" i="44" s="1"/>
  <c r="Q29" i="44" a="1"/>
  <c r="Q29" i="44" s="1"/>
  <c r="BA29" i="44" s="1"/>
  <c r="N29" i="44" a="1"/>
  <c r="N29" i="44" s="1"/>
  <c r="AX29" i="44" s="1"/>
  <c r="S29" i="44" a="1"/>
  <c r="S29" i="44" s="1"/>
  <c r="BC29" i="44" s="1"/>
  <c r="P19" i="44" a="1"/>
  <c r="P19" i="44" s="1"/>
  <c r="AZ19" i="44" s="1"/>
  <c r="M19" i="44" a="1"/>
  <c r="M19" i="44" s="1"/>
  <c r="AW19" i="44" s="1"/>
  <c r="K53" i="44"/>
  <c r="K85" i="44" s="1"/>
  <c r="K50" i="44"/>
  <c r="K51" i="44"/>
  <c r="K54" i="44"/>
  <c r="K52" i="44"/>
  <c r="K68" i="44" s="1"/>
  <c r="P42" i="44" a="1"/>
  <c r="P42" i="44" s="1"/>
  <c r="AZ42" i="44" s="1"/>
  <c r="M42" i="44" a="1"/>
  <c r="M42" i="44" s="1"/>
  <c r="AW42" i="44" s="1"/>
  <c r="P40" i="44" a="1"/>
  <c r="P40" i="44" s="1"/>
  <c r="AZ40" i="44" s="1"/>
  <c r="M40" i="44" a="1"/>
  <c r="M40" i="44" s="1"/>
  <c r="AW40" i="44" s="1"/>
  <c r="Q31" i="44" a="1"/>
  <c r="Q31" i="44" s="1"/>
  <c r="BA31" i="44" s="1"/>
  <c r="S31" i="44" a="1"/>
  <c r="S31" i="44" s="1"/>
  <c r="BC31" i="44" s="1"/>
  <c r="N31" i="44" a="1"/>
  <c r="N31" i="44" s="1"/>
  <c r="AX31" i="44" s="1"/>
  <c r="L29" i="44" a="1"/>
  <c r="L29" i="44" s="1"/>
  <c r="AV29" i="44" s="1"/>
  <c r="K57" i="44"/>
  <c r="K58" i="44"/>
  <c r="Y58" i="44"/>
  <c r="S57" i="44"/>
  <c r="N61" i="44"/>
  <c r="AI58" i="44"/>
  <c r="F58" i="44"/>
  <c r="AE58" i="44"/>
  <c r="BH62" i="44"/>
  <c r="AJ62" i="44"/>
  <c r="P57" i="44"/>
  <c r="U57" i="44"/>
  <c r="F63" i="44" a="1"/>
  <c r="F63" i="44" s="1"/>
  <c r="H59" i="44" a="1"/>
  <c r="H59" i="44" s="1"/>
  <c r="L57" i="44"/>
  <c r="H62" i="44"/>
  <c r="X58" i="44"/>
  <c r="J57" i="44"/>
  <c r="M61" i="44"/>
  <c r="M57" i="44"/>
  <c r="AG58" i="44"/>
  <c r="H63" i="44" a="1"/>
  <c r="H63" i="44" s="1"/>
  <c r="I59" i="44" a="1"/>
  <c r="I59" i="44" s="1"/>
  <c r="F57" i="44"/>
  <c r="AG62" i="44"/>
  <c r="G63" i="44" a="1"/>
  <c r="G63" i="44" s="1"/>
  <c r="BG62" i="44"/>
  <c r="J63" i="44" a="1"/>
  <c r="J63" i="44" s="1"/>
  <c r="H57" i="44"/>
  <c r="AI62" i="44"/>
  <c r="AI65" i="44" s="1"/>
  <c r="W58" i="44"/>
  <c r="H61" i="44"/>
  <c r="Z62" i="44"/>
  <c r="AD62" i="44"/>
  <c r="AB62" i="44"/>
  <c r="J61" i="44"/>
  <c r="Y62" i="44"/>
  <c r="G59" i="44" a="1"/>
  <c r="G59" i="44" s="1"/>
  <c r="T61" i="44"/>
  <c r="BI58" i="44"/>
  <c r="AA58" i="44"/>
  <c r="BJ58" i="44"/>
  <c r="AC58" i="44"/>
  <c r="AD58" i="44"/>
  <c r="F61" i="44"/>
  <c r="F59" i="44" a="1"/>
  <c r="F59" i="44" s="1"/>
  <c r="V62" i="44"/>
  <c r="G61" i="44"/>
  <c r="X62" i="44"/>
  <c r="AA62" i="44"/>
  <c r="BJ62" i="44"/>
  <c r="Q57" i="44"/>
  <c r="AF58" i="44"/>
  <c r="O61" i="44"/>
  <c r="R61" i="44"/>
  <c r="G62" i="44"/>
  <c r="O57" i="44"/>
  <c r="BH58" i="44"/>
  <c r="AH62" i="44"/>
  <c r="S61" i="44"/>
  <c r="G58" i="44"/>
  <c r="Q61" i="44"/>
  <c r="I58" i="44"/>
  <c r="K61" i="44"/>
  <c r="BK62" i="44"/>
  <c r="V58" i="44"/>
  <c r="K59" i="44" a="1"/>
  <c r="K59" i="44" s="1"/>
  <c r="J62" i="44"/>
  <c r="P61" i="44"/>
  <c r="AE62" i="44"/>
  <c r="AC62" i="44"/>
  <c r="J59" i="44" a="1"/>
  <c r="J59" i="44" s="1"/>
  <c r="AB58" i="44"/>
  <c r="R57" i="44"/>
  <c r="K62" i="44"/>
  <c r="AH58" i="44"/>
  <c r="J58" i="44"/>
  <c r="I61" i="44"/>
  <c r="N57" i="44"/>
  <c r="T57" i="44"/>
  <c r="K63" i="44" a="1"/>
  <c r="K63" i="44" s="1"/>
  <c r="W62" i="44"/>
  <c r="H58" i="44"/>
  <c r="AF62" i="44"/>
  <c r="BK58" i="44"/>
  <c r="I62" i="44"/>
  <c r="AJ58" i="44"/>
  <c r="I57" i="44"/>
  <c r="BG58" i="44"/>
  <c r="L61" i="44"/>
  <c r="BI62" i="44"/>
  <c r="Z58" i="44"/>
  <c r="F62" i="44"/>
  <c r="G57" i="44"/>
  <c r="U61" i="44"/>
  <c r="I63" i="44" a="1"/>
  <c r="I63" i="44" s="1"/>
  <c r="N41" i="44" a="1"/>
  <c r="N41" i="44" s="1"/>
  <c r="AX41" i="44" s="1"/>
  <c r="S41" i="44" a="1"/>
  <c r="S41" i="44" s="1"/>
  <c r="BC41" i="44" s="1"/>
  <c r="Q41" i="44" a="1"/>
  <c r="Q41" i="44" s="1"/>
  <c r="BA41" i="44" s="1"/>
  <c r="L8" i="44" a="1"/>
  <c r="L8" i="44" s="1"/>
  <c r="AV8" i="44" s="1"/>
  <c r="L41" i="44" a="1"/>
  <c r="L41" i="44" s="1"/>
  <c r="AV41" i="44" s="1"/>
  <c r="P24" i="44" a="1"/>
  <c r="P24" i="44" s="1"/>
  <c r="AZ24" i="44" s="1"/>
  <c r="M24" i="44" a="1"/>
  <c r="M24" i="44" s="1"/>
  <c r="AW24" i="44" s="1"/>
  <c r="AD52" i="44"/>
  <c r="AD68" i="44" s="1"/>
  <c r="AD53" i="44"/>
  <c r="AD51" i="44"/>
  <c r="AD54" i="44"/>
  <c r="AD50" i="44"/>
  <c r="F53" i="44"/>
  <c r="F50" i="44"/>
  <c r="F52" i="44"/>
  <c r="F51" i="44"/>
  <c r="F54" i="44"/>
  <c r="AJ50" i="44"/>
  <c r="AJ52" i="44"/>
  <c r="AJ68" i="44" s="1"/>
  <c r="AJ51" i="44"/>
  <c r="AJ54" i="44"/>
  <c r="AJ53" i="44"/>
  <c r="AB51" i="44"/>
  <c r="P7" i="44" a="1"/>
  <c r="P7" i="44" s="1"/>
  <c r="AZ7" i="44" s="1"/>
  <c r="AB50" i="44"/>
  <c r="M7" i="44" a="1"/>
  <c r="M7" i="44" s="1"/>
  <c r="AW7" i="44" s="1"/>
  <c r="AB54" i="44"/>
  <c r="AB52" i="44"/>
  <c r="AB68" i="44" s="1"/>
  <c r="AB53" i="44"/>
  <c r="M30" i="44" a="1"/>
  <c r="M30" i="44" s="1"/>
  <c r="AW30" i="44" s="1"/>
  <c r="P30" i="44" a="1"/>
  <c r="P30" i="44" s="1"/>
  <c r="AZ30" i="44" s="1"/>
  <c r="P11" i="44" a="1"/>
  <c r="P11" i="44" s="1"/>
  <c r="AZ11" i="44" s="1"/>
  <c r="M11" i="44" a="1"/>
  <c r="M11" i="44" s="1"/>
  <c r="AW11" i="44" s="1"/>
  <c r="V51" i="44"/>
  <c r="V50" i="44"/>
  <c r="V54" i="44"/>
  <c r="V53" i="44"/>
  <c r="V52" i="44"/>
  <c r="V68" i="44" s="1"/>
  <c r="U39" i="44" a="1"/>
  <c r="U39" i="44" s="1"/>
  <c r="BE39" i="44" s="1"/>
  <c r="R39" i="44" a="1"/>
  <c r="R39" i="44" s="1"/>
  <c r="BB39" i="44" s="1"/>
  <c r="T39" i="44" a="1"/>
  <c r="T39" i="44" s="1"/>
  <c r="BD39" i="44" s="1"/>
  <c r="O39" i="44" a="1"/>
  <c r="O39" i="44" s="1"/>
  <c r="AY39" i="44" s="1"/>
  <c r="U8" i="44" a="1"/>
  <c r="U8" i="44" s="1"/>
  <c r="BE8" i="44" s="1"/>
  <c r="R8" i="44" a="1"/>
  <c r="R8" i="44" s="1"/>
  <c r="BB8" i="44" s="1"/>
  <c r="T8" i="44" a="1"/>
  <c r="T8" i="44" s="1"/>
  <c r="BD8" i="44" s="1"/>
  <c r="O8" i="44" a="1"/>
  <c r="O8" i="44" s="1"/>
  <c r="AY8" i="44" s="1"/>
  <c r="P27" i="44" a="1"/>
  <c r="P27" i="44" s="1"/>
  <c r="AZ27" i="44" s="1"/>
  <c r="M27" i="44" a="1"/>
  <c r="M27" i="44" s="1"/>
  <c r="AW27" i="44" s="1"/>
  <c r="W51" i="44"/>
  <c r="W52" i="44"/>
  <c r="W68" i="44" s="1"/>
  <c r="W54" i="44"/>
  <c r="W53" i="44"/>
  <c r="W50" i="44"/>
  <c r="M34" i="44" a="1"/>
  <c r="M34" i="44" s="1"/>
  <c r="AW34" i="44" s="1"/>
  <c r="P34" i="44" a="1"/>
  <c r="P34" i="44" s="1"/>
  <c r="AZ34" i="44" s="1"/>
  <c r="U32" i="44" a="1"/>
  <c r="U32" i="44" s="1"/>
  <c r="BE32" i="44" s="1"/>
  <c r="R32" i="44" a="1"/>
  <c r="R32" i="44" s="1"/>
  <c r="BB32" i="44" s="1"/>
  <c r="O32" i="44" a="1"/>
  <c r="O32" i="44" s="1"/>
  <c r="AY32" i="44" s="1"/>
  <c r="T32" i="44" a="1"/>
  <c r="T32" i="44" s="1"/>
  <c r="BD32" i="44" s="1"/>
  <c r="N26" i="44" a="1"/>
  <c r="N26" i="44" s="1"/>
  <c r="AX26" i="44" s="1"/>
  <c r="Q26" i="44" a="1"/>
  <c r="Q26" i="44" s="1"/>
  <c r="BA26" i="44" s="1"/>
  <c r="S26" i="44" a="1"/>
  <c r="S26" i="44" s="1"/>
  <c r="BC26" i="44" s="1"/>
  <c r="L9" i="44" a="1"/>
  <c r="L9" i="44" s="1"/>
  <c r="AV9" i="44" s="1"/>
  <c r="G54" i="44"/>
  <c r="G51" i="44"/>
  <c r="G52" i="44"/>
  <c r="G68" i="44" s="1"/>
  <c r="G50" i="44"/>
  <c r="G53" i="44"/>
  <c r="G85" i="44" s="1"/>
  <c r="O27" i="44" a="1"/>
  <c r="O27" i="44" s="1"/>
  <c r="AY27" i="44" s="1"/>
  <c r="R27" i="44" a="1"/>
  <c r="R27" i="44" s="1"/>
  <c r="BB27" i="44" s="1"/>
  <c r="U27" i="44" a="1"/>
  <c r="U27" i="44" s="1"/>
  <c r="BE27" i="44" s="1"/>
  <c r="T27" i="44" a="1"/>
  <c r="T27" i="44" s="1"/>
  <c r="BD27" i="44" s="1"/>
  <c r="U30" i="44" a="1"/>
  <c r="U30" i="44" s="1"/>
  <c r="BE30" i="44" s="1"/>
  <c r="O30" i="44" a="1"/>
  <c r="O30" i="44" s="1"/>
  <c r="AY30" i="44" s="1"/>
  <c r="R30" i="44" a="1"/>
  <c r="R30" i="44" s="1"/>
  <c r="BB30" i="44" s="1"/>
  <c r="T30" i="44" a="1"/>
  <c r="T30" i="44" s="1"/>
  <c r="BD30" i="44" s="1"/>
  <c r="R21" i="44" a="1"/>
  <c r="R21" i="44" s="1"/>
  <c r="BB21" i="44" s="1"/>
  <c r="T21" i="44" a="1"/>
  <c r="T21" i="44" s="1"/>
  <c r="BD21" i="44" s="1"/>
  <c r="U21" i="44" a="1"/>
  <c r="U21" i="44" s="1"/>
  <c r="BE21" i="44" s="1"/>
  <c r="O21" i="44" a="1"/>
  <c r="O21" i="44" s="1"/>
  <c r="AY21" i="44" s="1"/>
  <c r="P9" i="44" a="1"/>
  <c r="P9" i="44" s="1"/>
  <c r="AZ9" i="44" s="1"/>
  <c r="M9" i="44" a="1"/>
  <c r="M9" i="44" s="1"/>
  <c r="AW9" i="44" s="1"/>
  <c r="S38" i="44" a="1"/>
  <c r="S38" i="44" s="1"/>
  <c r="BC38" i="44" s="1"/>
  <c r="Q38" i="44" a="1"/>
  <c r="Q38" i="44" s="1"/>
  <c r="BA38" i="44" s="1"/>
  <c r="N38" i="44" a="1"/>
  <c r="N38" i="44" s="1"/>
  <c r="AX38" i="44" s="1"/>
  <c r="O41" i="44" a="1"/>
  <c r="O41" i="44" s="1"/>
  <c r="AY41" i="44" s="1"/>
  <c r="T41" i="44" a="1"/>
  <c r="T41" i="44" s="1"/>
  <c r="BD41" i="44" s="1"/>
  <c r="R41" i="44" a="1"/>
  <c r="R41" i="44" s="1"/>
  <c r="BB41" i="44" s="1"/>
  <c r="U41" i="44" a="1"/>
  <c r="U41" i="44" s="1"/>
  <c r="BE41" i="44" s="1"/>
  <c r="M36" i="44" a="1"/>
  <c r="M36" i="44" s="1"/>
  <c r="AW36" i="44" s="1"/>
  <c r="P36" i="44" a="1"/>
  <c r="P36" i="44" s="1"/>
  <c r="AZ36" i="44" s="1"/>
  <c r="N20" i="44" a="1"/>
  <c r="N20" i="44" s="1"/>
  <c r="AX20" i="44" s="1"/>
  <c r="S20" i="44" a="1"/>
  <c r="S20" i="44" s="1"/>
  <c r="BC20" i="44" s="1"/>
  <c r="Q20" i="44" a="1"/>
  <c r="Q20" i="44" s="1"/>
  <c r="BA20" i="44" s="1"/>
  <c r="L15" i="44" a="1"/>
  <c r="L15" i="44" s="1"/>
  <c r="AV15" i="44" s="1"/>
  <c r="AG53" i="44"/>
  <c r="AG51" i="44"/>
  <c r="AG54" i="44"/>
  <c r="AG52" i="44"/>
  <c r="AG68" i="44" s="1"/>
  <c r="AG50" i="44"/>
  <c r="L28" i="44" a="1"/>
  <c r="L28" i="44" s="1"/>
  <c r="AV28" i="44" s="1"/>
  <c r="S12" i="44" a="1"/>
  <c r="S12" i="44" s="1"/>
  <c r="BC12" i="44" s="1"/>
  <c r="Q12" i="44" a="1"/>
  <c r="Q12" i="44" s="1"/>
  <c r="BA12" i="44" s="1"/>
  <c r="N12" i="44" a="1"/>
  <c r="N12" i="44" s="1"/>
  <c r="AX12" i="44" s="1"/>
  <c r="O29" i="44" a="1"/>
  <c r="O29" i="44" s="1"/>
  <c r="AY29" i="44" s="1"/>
  <c r="T29" i="44" a="1"/>
  <c r="T29" i="44" s="1"/>
  <c r="BD29" i="44" s="1"/>
  <c r="U29" i="44" a="1"/>
  <c r="U29" i="44" s="1"/>
  <c r="BE29" i="44" s="1"/>
  <c r="R29" i="44" a="1"/>
  <c r="R29" i="44" s="1"/>
  <c r="BB29" i="44" s="1"/>
  <c r="O35" i="44" a="1"/>
  <c r="O35" i="44" s="1"/>
  <c r="AY35" i="44" s="1"/>
  <c r="U35" i="44" a="1"/>
  <c r="U35" i="44" s="1"/>
  <c r="BE35" i="44" s="1"/>
  <c r="T35" i="44" a="1"/>
  <c r="T35" i="44" s="1"/>
  <c r="BD35" i="44" s="1"/>
  <c r="R35" i="44" a="1"/>
  <c r="R35" i="44" s="1"/>
  <c r="BB35" i="44" s="1"/>
  <c r="Y51" i="44"/>
  <c r="Y50" i="44"/>
  <c r="Y53" i="44"/>
  <c r="Y52" i="44"/>
  <c r="Y68" i="44" s="1"/>
  <c r="L7" i="44" a="1"/>
  <c r="L7" i="44" s="1"/>
  <c r="AV7" i="44" s="1"/>
  <c r="Y54" i="44"/>
  <c r="N36" i="44" a="1"/>
  <c r="N36" i="44" s="1"/>
  <c r="AX36" i="44" s="1"/>
  <c r="Q36" i="44" a="1"/>
  <c r="Q36" i="44" s="1"/>
  <c r="BA36" i="44" s="1"/>
  <c r="S36" i="44" a="1"/>
  <c r="S36" i="44" s="1"/>
  <c r="BC36" i="44" s="1"/>
  <c r="Z51" i="44"/>
  <c r="Z50" i="44"/>
  <c r="Z54" i="44"/>
  <c r="Z53" i="44"/>
  <c r="Z52" i="44"/>
  <c r="Z68" i="44" s="1"/>
  <c r="AH51" i="44"/>
  <c r="U7" i="44" a="1"/>
  <c r="U7" i="44" s="1"/>
  <c r="T7" i="44" a="1"/>
  <c r="T7" i="44" s="1"/>
  <c r="AH52" i="44"/>
  <c r="AH68" i="44" s="1"/>
  <c r="AH54" i="44"/>
  <c r="AH53" i="44"/>
  <c r="O7" i="44" a="1"/>
  <c r="O7" i="44" s="1"/>
  <c r="AY7" i="44" s="1"/>
  <c r="AH50" i="44"/>
  <c r="R7" i="44" a="1"/>
  <c r="R7" i="44" s="1"/>
  <c r="M10" i="44" a="1"/>
  <c r="M10" i="44" s="1"/>
  <c r="AW10" i="44" s="1"/>
  <c r="P10" i="44" a="1"/>
  <c r="P10" i="44" s="1"/>
  <c r="AZ10" i="44" s="1"/>
  <c r="O24" i="44" a="1"/>
  <c r="O24" i="44" s="1"/>
  <c r="AY24" i="44" s="1"/>
  <c r="R24" i="44" a="1"/>
  <c r="R24" i="44" s="1"/>
  <c r="BB24" i="44" s="1"/>
  <c r="T24" i="44" a="1"/>
  <c r="T24" i="44" s="1"/>
  <c r="BD24" i="44" s="1"/>
  <c r="U24" i="44" a="1"/>
  <c r="U24" i="44" s="1"/>
  <c r="BE24" i="44" s="1"/>
  <c r="BG51" i="44"/>
  <c r="BG52" i="44"/>
  <c r="BG68" i="44" s="1"/>
  <c r="BG50" i="44"/>
  <c r="BG53" i="44"/>
  <c r="BG54" i="44"/>
  <c r="L27" i="44" a="1"/>
  <c r="L27" i="44" s="1"/>
  <c r="AV27" i="44" s="1"/>
  <c r="P33" i="44" a="1"/>
  <c r="P33" i="44" s="1"/>
  <c r="AZ33" i="44" s="1"/>
  <c r="M33" i="44" a="1"/>
  <c r="M33" i="44" s="1"/>
  <c r="AW33" i="44" s="1"/>
  <c r="P22" i="44" a="1"/>
  <c r="P22" i="44" s="1"/>
  <c r="AZ22" i="44" s="1"/>
  <c r="M22" i="44" a="1"/>
  <c r="M22" i="44" s="1"/>
  <c r="AW22" i="44" s="1"/>
  <c r="BK54" i="44"/>
  <c r="BK53" i="44"/>
  <c r="BK52" i="44"/>
  <c r="BK68" i="44" s="1"/>
  <c r="BK50" i="44"/>
  <c r="BK51" i="44"/>
  <c r="Q14" i="44" a="1"/>
  <c r="Q14" i="44" s="1"/>
  <c r="BA14" i="44" s="1"/>
  <c r="S14" i="44" a="1"/>
  <c r="S14" i="44" s="1"/>
  <c r="BC14" i="44" s="1"/>
  <c r="N14" i="44" a="1"/>
  <c r="N14" i="44" s="1"/>
  <c r="AX14" i="44" s="1"/>
  <c r="P17" i="44" a="1"/>
  <c r="P17" i="44" s="1"/>
  <c r="AZ17" i="44" s="1"/>
  <c r="M17" i="44" a="1"/>
  <c r="M17" i="44" s="1"/>
  <c r="AW17" i="44" s="1"/>
  <c r="N13" i="44" a="1"/>
  <c r="N13" i="44" s="1"/>
  <c r="AX13" i="44" s="1"/>
  <c r="Q13" i="44" a="1"/>
  <c r="Q13" i="44" s="1"/>
  <c r="BA13" i="44" s="1"/>
  <c r="S13" i="44" a="1"/>
  <c r="S13" i="44" s="1"/>
  <c r="BC13" i="44" s="1"/>
  <c r="AI52" i="44"/>
  <c r="AI68" i="44" s="1"/>
  <c r="AI53" i="44"/>
  <c r="AI50" i="44"/>
  <c r="AI54" i="44"/>
  <c r="AI51" i="44"/>
  <c r="AV42" i="44"/>
  <c r="Q7" i="44" a="1"/>
  <c r="Q7" i="44" s="1"/>
  <c r="BA7" i="44" s="1"/>
  <c r="N7" i="44" a="1"/>
  <c r="N7" i="44" s="1"/>
  <c r="AE51" i="44"/>
  <c r="AE50" i="44"/>
  <c r="AE52" i="44"/>
  <c r="AE68" i="44" s="1"/>
  <c r="AE54" i="44"/>
  <c r="AE53" i="44"/>
  <c r="S7" i="44" a="1"/>
  <c r="S7" i="44" s="1"/>
  <c r="P32" i="44" a="1"/>
  <c r="P32" i="44" s="1"/>
  <c r="AZ32" i="44" s="1"/>
  <c r="M32" i="44" a="1"/>
  <c r="M32" i="44" s="1"/>
  <c r="AW32" i="44" s="1"/>
  <c r="M26" i="44" a="1"/>
  <c r="M26" i="44" s="1"/>
  <c r="AW26" i="44" s="1"/>
  <c r="P26" i="44" a="1"/>
  <c r="P26" i="44" s="1"/>
  <c r="AZ26" i="44" s="1"/>
  <c r="N25" i="44" a="1"/>
  <c r="N25" i="44" s="1"/>
  <c r="AX25" i="44" s="1"/>
  <c r="S25" i="44" a="1"/>
  <c r="S25" i="44" s="1"/>
  <c r="BC25" i="44" s="1"/>
  <c r="Q25" i="44" a="1"/>
  <c r="Q25" i="44" s="1"/>
  <c r="BA25" i="44" s="1"/>
  <c r="Q17" i="44" a="1"/>
  <c r="Q17" i="44" s="1"/>
  <c r="BA17" i="44" s="1"/>
  <c r="S17" i="44" a="1"/>
  <c r="S17" i="44" s="1"/>
  <c r="BC17" i="44" s="1"/>
  <c r="N17" i="44" a="1"/>
  <c r="N17" i="44" s="1"/>
  <c r="AX17" i="44" s="1"/>
  <c r="M18" i="44" a="1"/>
  <c r="M18" i="44" s="1"/>
  <c r="AW18" i="44" s="1"/>
  <c r="P18" i="44" a="1"/>
  <c r="P18" i="44" s="1"/>
  <c r="AZ18" i="44" s="1"/>
  <c r="M8" i="44" a="1"/>
  <c r="M8" i="44" s="1"/>
  <c r="AW8" i="44" s="1"/>
  <c r="P8" i="44" a="1"/>
  <c r="P8" i="44" s="1"/>
  <c r="AZ8" i="44" s="1"/>
  <c r="Q22" i="44" a="1"/>
  <c r="Q22" i="44" s="1"/>
  <c r="BA22" i="44" s="1"/>
  <c r="S22" i="44" a="1"/>
  <c r="S22" i="44" s="1"/>
  <c r="BC22" i="44" s="1"/>
  <c r="N22" i="44" a="1"/>
  <c r="N22" i="44" s="1"/>
  <c r="AX22" i="44" s="1"/>
  <c r="S42" i="44" a="1"/>
  <c r="S42" i="44" s="1"/>
  <c r="BC42" i="44" s="1"/>
  <c r="N42" i="44" a="1"/>
  <c r="N42" i="44" s="1"/>
  <c r="AX42" i="44" s="1"/>
  <c r="Q42" i="44" a="1"/>
  <c r="Q42" i="44" s="1"/>
  <c r="BA42" i="44" s="1"/>
  <c r="O15" i="44" a="1"/>
  <c r="O15" i="44" s="1"/>
  <c r="AY15" i="44" s="1"/>
  <c r="U15" i="44" a="1"/>
  <c r="U15" i="44" s="1"/>
  <c r="BE15" i="44" s="1"/>
  <c r="R15" i="44" a="1"/>
  <c r="R15" i="44" s="1"/>
  <c r="BB15" i="44" s="1"/>
  <c r="T15" i="44" a="1"/>
  <c r="T15" i="44" s="1"/>
  <c r="BD15" i="44" s="1"/>
  <c r="R33" i="44" a="1"/>
  <c r="R33" i="44" s="1"/>
  <c r="BB33" i="44" s="1"/>
  <c r="T33" i="44" a="1"/>
  <c r="T33" i="44" s="1"/>
  <c r="BD33" i="44" s="1"/>
  <c r="U33" i="44" a="1"/>
  <c r="U33" i="44" s="1"/>
  <c r="BE33" i="44" s="1"/>
  <c r="O33" i="44" a="1"/>
  <c r="O33" i="44" s="1"/>
  <c r="AY33" i="44" s="1"/>
  <c r="M23" i="44" a="1"/>
  <c r="M23" i="44" s="1"/>
  <c r="AW23" i="44" s="1"/>
  <c r="P23" i="44" a="1"/>
  <c r="P23" i="44" s="1"/>
  <c r="AZ23" i="44" s="1"/>
  <c r="L26" i="44" a="1"/>
  <c r="L26" i="44" s="1"/>
  <c r="AV26" i="44" s="1"/>
  <c r="S8" i="44" a="1"/>
  <c r="S8" i="44" s="1"/>
  <c r="BC8" i="44" s="1"/>
  <c r="Q8" i="44" a="1"/>
  <c r="Q8" i="44" s="1"/>
  <c r="BA8" i="44" s="1"/>
  <c r="N8" i="44" a="1"/>
  <c r="N8" i="44" s="1"/>
  <c r="AX8" i="44" s="1"/>
  <c r="M14" i="44" a="1"/>
  <c r="M14" i="44" s="1"/>
  <c r="AW14" i="44" s="1"/>
  <c r="P14" i="44" a="1"/>
  <c r="P14" i="44" s="1"/>
  <c r="AZ14" i="44" s="1"/>
  <c r="J54" i="44"/>
  <c r="J52" i="44"/>
  <c r="J68" i="44" s="1"/>
  <c r="J51" i="44"/>
  <c r="J53" i="44"/>
  <c r="J85" i="44" s="1"/>
  <c r="J50" i="44"/>
  <c r="N35" i="44" a="1"/>
  <c r="N35" i="44" s="1"/>
  <c r="AX35" i="44" s="1"/>
  <c r="S35" i="44" a="1"/>
  <c r="S35" i="44" s="1"/>
  <c r="BC35" i="44" s="1"/>
  <c r="Q35" i="44" a="1"/>
  <c r="Q35" i="44" s="1"/>
  <c r="BA35" i="44" s="1"/>
  <c r="L24" i="44" a="1"/>
  <c r="L24" i="44" s="1"/>
  <c r="AV24" i="44" s="1"/>
  <c r="S30" i="44" a="1"/>
  <c r="S30" i="44" s="1"/>
  <c r="BC30" i="44" s="1"/>
  <c r="N30" i="44" a="1"/>
  <c r="N30" i="44" s="1"/>
  <c r="AX30" i="44" s="1"/>
  <c r="Q30" i="44" a="1"/>
  <c r="Q30" i="44" s="1"/>
  <c r="BA30" i="44" s="1"/>
  <c r="S34" i="44" a="1"/>
  <c r="S34" i="44" s="1"/>
  <c r="BC34" i="44" s="1"/>
  <c r="N34" i="44" a="1"/>
  <c r="N34" i="44" s="1"/>
  <c r="AX34" i="44" s="1"/>
  <c r="Q34" i="44" a="1"/>
  <c r="Q34" i="44" s="1"/>
  <c r="BA34" i="44" s="1"/>
  <c r="L18" i="44" a="1"/>
  <c r="L18" i="44" s="1"/>
  <c r="AV18" i="44" s="1"/>
  <c r="AC50" i="44"/>
  <c r="AC51" i="44"/>
  <c r="AC53" i="44"/>
  <c r="AC52" i="44"/>
  <c r="AC68" i="44" s="1"/>
  <c r="AC54" i="44"/>
  <c r="M38" i="44" a="1"/>
  <c r="M38" i="44" s="1"/>
  <c r="AW38" i="44" s="1"/>
  <c r="P38" i="44" a="1"/>
  <c r="P38" i="44" s="1"/>
  <c r="AZ38" i="44" s="1"/>
  <c r="L20" i="44" a="1"/>
  <c r="L20" i="44" s="1"/>
  <c r="AV20" i="44" s="1"/>
  <c r="M12" i="44" a="1"/>
  <c r="M12" i="44" s="1"/>
  <c r="AW12" i="44" s="1"/>
  <c r="P12" i="44" a="1"/>
  <c r="P12" i="44" s="1"/>
  <c r="AZ12" i="44" s="1"/>
  <c r="L19" i="44" a="1"/>
  <c r="L19" i="44" s="1"/>
  <c r="AV19" i="44" s="1"/>
  <c r="L12" i="44" a="1"/>
  <c r="L12" i="44" s="1"/>
  <c r="AV12" i="44" s="1"/>
  <c r="BH50" i="44"/>
  <c r="BH53" i="44"/>
  <c r="BH54" i="44"/>
  <c r="BH51" i="44"/>
  <c r="BH52" i="44"/>
  <c r="BH68" i="44" s="1"/>
  <c r="T37" i="44" a="1"/>
  <c r="T37" i="44" s="1"/>
  <c r="BD37" i="44" s="1"/>
  <c r="O37" i="44" a="1"/>
  <c r="O37" i="44" s="1"/>
  <c r="AY37" i="44" s="1"/>
  <c r="R37" i="44" a="1"/>
  <c r="R37" i="44" s="1"/>
  <c r="BB37" i="44" s="1"/>
  <c r="U37" i="44" a="1"/>
  <c r="U37" i="44" s="1"/>
  <c r="BE37" i="44" s="1"/>
  <c r="L40" i="44" a="1"/>
  <c r="L40" i="44" s="1"/>
  <c r="AV40" i="44" s="1"/>
  <c r="N24" i="44" a="1"/>
  <c r="N24" i="44" s="1"/>
  <c r="AX24" i="44" s="1"/>
  <c r="Q24" i="44" a="1"/>
  <c r="Q24" i="44" s="1"/>
  <c r="BA24" i="44" s="1"/>
  <c r="S24" i="44" a="1"/>
  <c r="S24" i="44" s="1"/>
  <c r="BC24" i="44" s="1"/>
  <c r="M41" i="44" a="1"/>
  <c r="M41" i="44" s="1"/>
  <c r="AW41" i="44" s="1"/>
  <c r="P41" i="44" a="1"/>
  <c r="P41" i="44" s="1"/>
  <c r="AZ41" i="44" s="1"/>
  <c r="L38" i="44" a="1"/>
  <c r="L38" i="44" s="1"/>
  <c r="AV38" i="44" s="1"/>
  <c r="H53" i="44"/>
  <c r="H85" i="44" s="1"/>
  <c r="H50" i="44"/>
  <c r="H52" i="44"/>
  <c r="H68" i="44" s="1"/>
  <c r="H51" i="44"/>
  <c r="H54" i="44"/>
  <c r="L36" i="44" a="1"/>
  <c r="L36" i="44" s="1"/>
  <c r="AV36" i="44" s="1"/>
  <c r="F65" i="44" l="1"/>
  <c r="X65" i="44"/>
  <c r="W65" i="44"/>
  <c r="AE65" i="44"/>
  <c r="BI65" i="44"/>
  <c r="K65" i="44"/>
  <c r="AJ55" i="44"/>
  <c r="BJ65" i="44"/>
  <c r="BG65" i="44"/>
  <c r="K55" i="44"/>
  <c r="AG65" i="44"/>
  <c r="AE55" i="44"/>
  <c r="BH55" i="44"/>
  <c r="AF65" i="44"/>
  <c r="AD55" i="44"/>
  <c r="AD65" i="44"/>
  <c r="BK55" i="44"/>
  <c r="R59" i="44" a="1"/>
  <c r="R59" i="44" s="1"/>
  <c r="O62" i="44"/>
  <c r="BJ55" i="44"/>
  <c r="P59" i="44" a="1"/>
  <c r="P59" i="44" s="1"/>
  <c r="P62" i="44"/>
  <c r="S62" i="44"/>
  <c r="AH55" i="44"/>
  <c r="AF55" i="44"/>
  <c r="U59" i="44" a="1"/>
  <c r="U59" i="44" s="1"/>
  <c r="N59" i="44" a="1"/>
  <c r="N59" i="44" s="1"/>
  <c r="F55" i="44"/>
  <c r="M62" i="44"/>
  <c r="S58" i="44"/>
  <c r="AC55" i="44"/>
  <c r="Y55" i="44"/>
  <c r="M58" i="44"/>
  <c r="M59" i="44" a="1"/>
  <c r="M59" i="44" s="1"/>
  <c r="N62" i="44"/>
  <c r="I65" i="44"/>
  <c r="AA65" i="44"/>
  <c r="BE7" i="44"/>
  <c r="BD7" i="44"/>
  <c r="T54" i="44"/>
  <c r="T53" i="44"/>
  <c r="T85" i="44" s="1"/>
  <c r="T50" i="44"/>
  <c r="T51" i="44"/>
  <c r="T52" i="44"/>
  <c r="T68" i="44" s="1"/>
  <c r="L51" i="44"/>
  <c r="L50" i="44"/>
  <c r="L52" i="44"/>
  <c r="L68" i="44" s="1"/>
  <c r="L53" i="44"/>
  <c r="L85" i="44" s="1"/>
  <c r="L54" i="44"/>
  <c r="R58" i="44"/>
  <c r="T63" i="44" a="1"/>
  <c r="T63" i="44" s="1"/>
  <c r="O58" i="44"/>
  <c r="Y65" i="44"/>
  <c r="I106" i="44"/>
  <c r="I97" i="44"/>
  <c r="I98" i="44"/>
  <c r="I104" i="44"/>
  <c r="I88" i="44"/>
  <c r="I93" i="44"/>
  <c r="I109" i="44"/>
  <c r="I102" i="44"/>
  <c r="I92" i="44"/>
  <c r="I94" i="44"/>
  <c r="I99" i="44"/>
  <c r="I108" i="44"/>
  <c r="I105" i="44"/>
  <c r="I107" i="44"/>
  <c r="I101" i="44"/>
  <c r="I110" i="44"/>
  <c r="I103" i="44"/>
  <c r="I91" i="44"/>
  <c r="I89" i="44"/>
  <c r="I100" i="44"/>
  <c r="I87" i="44"/>
  <c r="I95" i="44"/>
  <c r="I96" i="44"/>
  <c r="I86" i="44"/>
  <c r="I90" i="44"/>
  <c r="U52" i="44"/>
  <c r="U68" i="44" s="1"/>
  <c r="U51" i="44"/>
  <c r="U50" i="44"/>
  <c r="U54" i="44"/>
  <c r="U53" i="44"/>
  <c r="U85" i="44" s="1"/>
  <c r="G92" i="44"/>
  <c r="G87" i="44"/>
  <c r="G103" i="44"/>
  <c r="G110" i="44"/>
  <c r="G97" i="44"/>
  <c r="G98" i="44"/>
  <c r="G100" i="44"/>
  <c r="G99" i="44"/>
  <c r="G107" i="44"/>
  <c r="G104" i="44"/>
  <c r="G101" i="44"/>
  <c r="G88" i="44"/>
  <c r="G86" i="44"/>
  <c r="G89" i="44"/>
  <c r="G106" i="44"/>
  <c r="G94" i="44"/>
  <c r="G95" i="44"/>
  <c r="G96" i="44"/>
  <c r="G91" i="44"/>
  <c r="G90" i="44"/>
  <c r="G109" i="44"/>
  <c r="G93" i="44"/>
  <c r="G102" i="44"/>
  <c r="G108" i="44"/>
  <c r="G105" i="44"/>
  <c r="N58" i="44"/>
  <c r="L59" i="44" a="1"/>
  <c r="L59" i="44" s="1"/>
  <c r="T58" i="44"/>
  <c r="K94" i="44"/>
  <c r="K97" i="44"/>
  <c r="K95" i="44"/>
  <c r="K98" i="44"/>
  <c r="K90" i="44"/>
  <c r="K109" i="44"/>
  <c r="K102" i="44"/>
  <c r="K107" i="44"/>
  <c r="K100" i="44"/>
  <c r="K106" i="44"/>
  <c r="K108" i="44"/>
  <c r="K110" i="44"/>
  <c r="K103" i="44"/>
  <c r="K89" i="44"/>
  <c r="K86" i="44"/>
  <c r="K92" i="44"/>
  <c r="K88" i="44"/>
  <c r="K96" i="44"/>
  <c r="K93" i="44"/>
  <c r="K105" i="44"/>
  <c r="K101" i="44"/>
  <c r="K87" i="44"/>
  <c r="K104" i="44"/>
  <c r="K99" i="44"/>
  <c r="K91" i="44"/>
  <c r="Q63" i="44" a="1"/>
  <c r="Q63" i="44" s="1"/>
  <c r="P63" i="44" a="1"/>
  <c r="P63" i="44" s="1"/>
  <c r="AC65" i="44"/>
  <c r="AH65" i="44"/>
  <c r="V65" i="44"/>
  <c r="AB65" i="44"/>
  <c r="BI55" i="44"/>
  <c r="T59" i="44" a="1"/>
  <c r="T59" i="44" s="1"/>
  <c r="S63" i="44" a="1"/>
  <c r="S63" i="44" s="1"/>
  <c r="R63" i="44" a="1"/>
  <c r="R63" i="44" s="1"/>
  <c r="AJ65" i="44"/>
  <c r="T62" i="44"/>
  <c r="J96" i="44"/>
  <c r="J87" i="44"/>
  <c r="J106" i="44"/>
  <c r="J108" i="44"/>
  <c r="J90" i="44"/>
  <c r="J91" i="44"/>
  <c r="J107" i="44"/>
  <c r="J95" i="44"/>
  <c r="J99" i="44"/>
  <c r="J109" i="44"/>
  <c r="J102" i="44"/>
  <c r="J88" i="44"/>
  <c r="J104" i="44"/>
  <c r="J110" i="44"/>
  <c r="J103" i="44"/>
  <c r="J98" i="44"/>
  <c r="J101" i="44"/>
  <c r="J89" i="44"/>
  <c r="J94" i="44"/>
  <c r="J86" i="44"/>
  <c r="J93" i="44"/>
  <c r="J105" i="44"/>
  <c r="J92" i="44"/>
  <c r="J97" i="44"/>
  <c r="J100" i="44"/>
  <c r="AX7" i="44"/>
  <c r="N50" i="44"/>
  <c r="N52" i="44"/>
  <c r="N68" i="44" s="1"/>
  <c r="N53" i="44"/>
  <c r="N85" i="44" s="1"/>
  <c r="N51" i="44"/>
  <c r="N54" i="44"/>
  <c r="R62" i="44"/>
  <c r="U63" i="44" a="1"/>
  <c r="U63" i="44" s="1"/>
  <c r="O63" i="44" a="1"/>
  <c r="O63" i="44" s="1"/>
  <c r="Z65" i="44"/>
  <c r="BH65" i="44"/>
  <c r="AA55" i="44"/>
  <c r="H55" i="44"/>
  <c r="Q50" i="44"/>
  <c r="Q54" i="44"/>
  <c r="Q53" i="44"/>
  <c r="Q85" i="44" s="1"/>
  <c r="Q51" i="44"/>
  <c r="Q52" i="44"/>
  <c r="Q68" i="44" s="1"/>
  <c r="Z55" i="44"/>
  <c r="G55" i="44"/>
  <c r="N63" i="44" a="1"/>
  <c r="N63" i="44" s="1"/>
  <c r="J65" i="44"/>
  <c r="G65" i="44"/>
  <c r="BC7" i="44"/>
  <c r="X55" i="44"/>
  <c r="L63" i="44" a="1"/>
  <c r="L63" i="44" s="1"/>
  <c r="BB7" i="44"/>
  <c r="R53" i="44"/>
  <c r="R85" i="44" s="1"/>
  <c r="R50" i="44"/>
  <c r="R54" i="44"/>
  <c r="R52" i="44"/>
  <c r="R68" i="44" s="1"/>
  <c r="R51" i="44"/>
  <c r="W55" i="44"/>
  <c r="AB55" i="44"/>
  <c r="P58" i="44"/>
  <c r="S50" i="44"/>
  <c r="S53" i="44"/>
  <c r="S85" i="44" s="1"/>
  <c r="S54" i="44"/>
  <c r="S52" i="44"/>
  <c r="S68" i="44" s="1"/>
  <c r="S51" i="44"/>
  <c r="J55" i="44"/>
  <c r="BG55" i="44"/>
  <c r="AG55" i="44"/>
  <c r="M50" i="44"/>
  <c r="M53" i="44"/>
  <c r="M85" i="44" s="1"/>
  <c r="M52" i="44"/>
  <c r="M68" i="44" s="1"/>
  <c r="M51" i="44"/>
  <c r="M54" i="44"/>
  <c r="Q62" i="44"/>
  <c r="L62" i="44"/>
  <c r="U58" i="44"/>
  <c r="AI55" i="44"/>
  <c r="O51" i="44"/>
  <c r="O54" i="44"/>
  <c r="O50" i="44"/>
  <c r="O53" i="44"/>
  <c r="O85" i="44" s="1"/>
  <c r="O52" i="44"/>
  <c r="O68" i="44" s="1"/>
  <c r="Q59" i="44" a="1"/>
  <c r="Q59" i="44" s="1"/>
  <c r="L58" i="44"/>
  <c r="M63" i="44" a="1"/>
  <c r="M63" i="44" s="1"/>
  <c r="BK65" i="44"/>
  <c r="H98" i="44"/>
  <c r="H87" i="44"/>
  <c r="H90" i="44"/>
  <c r="H107" i="44"/>
  <c r="H93" i="44"/>
  <c r="H100" i="44"/>
  <c r="H97" i="44"/>
  <c r="H103" i="44"/>
  <c r="H109" i="44"/>
  <c r="H96" i="44"/>
  <c r="H101" i="44"/>
  <c r="H88" i="44"/>
  <c r="H89" i="44"/>
  <c r="H86" i="44"/>
  <c r="H102" i="44"/>
  <c r="H99" i="44"/>
  <c r="H106" i="44"/>
  <c r="H104" i="44"/>
  <c r="H94" i="44"/>
  <c r="H108" i="44"/>
  <c r="H92" i="44"/>
  <c r="H110" i="44"/>
  <c r="H91" i="44"/>
  <c r="H95" i="44"/>
  <c r="H105" i="44"/>
  <c r="V55" i="44"/>
  <c r="P54" i="44"/>
  <c r="P50" i="44"/>
  <c r="P51" i="44"/>
  <c r="P53" i="44"/>
  <c r="P85" i="44" s="1"/>
  <c r="P52" i="44"/>
  <c r="P68" i="44" s="1"/>
  <c r="O59" i="44" a="1"/>
  <c r="O59" i="44" s="1"/>
  <c r="U62" i="44"/>
  <c r="S59" i="44" a="1"/>
  <c r="S59" i="44" s="1"/>
  <c r="Q58" i="44"/>
  <c r="H65" i="44"/>
  <c r="I55" i="44"/>
  <c r="U65" i="44" l="1"/>
  <c r="M65" i="44"/>
  <c r="S65" i="44"/>
  <c r="P55" i="44"/>
  <c r="H112" i="44" a="1"/>
  <c r="H122" i="44" s="1"/>
  <c r="P65" i="44"/>
  <c r="T65" i="44"/>
  <c r="O65" i="44"/>
  <c r="T55" i="44"/>
  <c r="K112" i="44" a="1"/>
  <c r="K121" i="44" s="1"/>
  <c r="R65" i="44"/>
  <c r="J112" i="44" a="1"/>
  <c r="J137" i="44" s="1"/>
  <c r="I112" i="44" a="1"/>
  <c r="I130" i="44" s="1"/>
  <c r="O55" i="44"/>
  <c r="R55" i="44"/>
  <c r="N55" i="44"/>
  <c r="G112" i="44" a="1"/>
  <c r="G134" i="44" s="1"/>
  <c r="S55" i="44"/>
  <c r="R104" i="44"/>
  <c r="R108" i="44"/>
  <c r="R91" i="44"/>
  <c r="R87" i="44"/>
  <c r="R95" i="44"/>
  <c r="R109" i="44"/>
  <c r="R101" i="44"/>
  <c r="R105" i="44"/>
  <c r="R106" i="44"/>
  <c r="R92" i="44"/>
  <c r="R96" i="44"/>
  <c r="R100" i="44"/>
  <c r="R107" i="44"/>
  <c r="R93" i="44"/>
  <c r="R86" i="44"/>
  <c r="R99" i="44"/>
  <c r="R103" i="44"/>
  <c r="R94" i="44"/>
  <c r="R88" i="44"/>
  <c r="R90" i="44"/>
  <c r="R110" i="44"/>
  <c r="R97" i="44"/>
  <c r="R102" i="44"/>
  <c r="R89" i="44"/>
  <c r="R98" i="44"/>
  <c r="Q95" i="44"/>
  <c r="Q104" i="44"/>
  <c r="Q89" i="44"/>
  <c r="Q91" i="44"/>
  <c r="Q86" i="44"/>
  <c r="Q90" i="44"/>
  <c r="Q109" i="44"/>
  <c r="Q97" i="44"/>
  <c r="Q99" i="44"/>
  <c r="Q110" i="44"/>
  <c r="Q101" i="44"/>
  <c r="Q106" i="44"/>
  <c r="Q87" i="44"/>
  <c r="Q102" i="44"/>
  <c r="Q105" i="44"/>
  <c r="Q93" i="44"/>
  <c r="Q108" i="44"/>
  <c r="Q103" i="44"/>
  <c r="Q88" i="44"/>
  <c r="Q92" i="44"/>
  <c r="Q96" i="44"/>
  <c r="Q100" i="44"/>
  <c r="Q107" i="44"/>
  <c r="Q94" i="44"/>
  <c r="Q98" i="44"/>
  <c r="Q55" i="44"/>
  <c r="N101" i="44"/>
  <c r="N87" i="44"/>
  <c r="N86" i="44"/>
  <c r="N96" i="44"/>
  <c r="N98" i="44"/>
  <c r="N110" i="44"/>
  <c r="N99" i="44"/>
  <c r="N89" i="44"/>
  <c r="N90" i="44"/>
  <c r="N106" i="44"/>
  <c r="N102" i="44"/>
  <c r="N100" i="44"/>
  <c r="N105" i="44"/>
  <c r="N97" i="44"/>
  <c r="N109" i="44"/>
  <c r="N93" i="44"/>
  <c r="N107" i="44"/>
  <c r="N103" i="44"/>
  <c r="N95" i="44"/>
  <c r="N104" i="44"/>
  <c r="N94" i="44"/>
  <c r="N92" i="44"/>
  <c r="N91" i="44"/>
  <c r="N88" i="44"/>
  <c r="N108" i="44"/>
  <c r="L55" i="44"/>
  <c r="U88" i="44"/>
  <c r="U102" i="44"/>
  <c r="U98" i="44"/>
  <c r="U96" i="44"/>
  <c r="U106" i="44"/>
  <c r="U99" i="44"/>
  <c r="U89" i="44"/>
  <c r="U86" i="44"/>
  <c r="U97" i="44"/>
  <c r="U104" i="44"/>
  <c r="U107" i="44"/>
  <c r="U95" i="44"/>
  <c r="U100" i="44"/>
  <c r="U92" i="44"/>
  <c r="U108" i="44"/>
  <c r="U93" i="44"/>
  <c r="U109" i="44"/>
  <c r="U91" i="44"/>
  <c r="U103" i="44"/>
  <c r="U90" i="44"/>
  <c r="U87" i="44"/>
  <c r="U94" i="44"/>
  <c r="U105" i="44"/>
  <c r="U110" i="44"/>
  <c r="U101" i="44"/>
  <c r="L102" i="44"/>
  <c r="L98" i="44"/>
  <c r="L110" i="44"/>
  <c r="L108" i="44"/>
  <c r="L90" i="44"/>
  <c r="L89" i="44"/>
  <c r="L109" i="44"/>
  <c r="L101" i="44"/>
  <c r="L91" i="44"/>
  <c r="L87" i="44"/>
  <c r="L100" i="44"/>
  <c r="L99" i="44"/>
  <c r="L106" i="44"/>
  <c r="L97" i="44"/>
  <c r="L107" i="44"/>
  <c r="L95" i="44"/>
  <c r="L86" i="44"/>
  <c r="L94" i="44"/>
  <c r="L96" i="44"/>
  <c r="L92" i="44"/>
  <c r="L105" i="44"/>
  <c r="L88" i="44"/>
  <c r="L103" i="44"/>
  <c r="L104" i="44"/>
  <c r="L93" i="44"/>
  <c r="L65" i="44"/>
  <c r="Q65" i="44"/>
  <c r="S104" i="44"/>
  <c r="S98" i="44"/>
  <c r="S101" i="44"/>
  <c r="S92" i="44"/>
  <c r="S110" i="44"/>
  <c r="S108" i="44"/>
  <c r="S89" i="44"/>
  <c r="S87" i="44"/>
  <c r="S105" i="44"/>
  <c r="S106" i="44"/>
  <c r="S102" i="44"/>
  <c r="S103" i="44"/>
  <c r="S88" i="44"/>
  <c r="S96" i="44"/>
  <c r="S90" i="44"/>
  <c r="S99" i="44"/>
  <c r="S94" i="44"/>
  <c r="S109" i="44"/>
  <c r="S91" i="44"/>
  <c r="S86" i="44"/>
  <c r="S97" i="44"/>
  <c r="S107" i="44"/>
  <c r="S95" i="44"/>
  <c r="S93" i="44"/>
  <c r="S100" i="44"/>
  <c r="U55" i="44"/>
  <c r="N65" i="44"/>
  <c r="M55" i="44"/>
  <c r="M109" i="44"/>
  <c r="M100" i="44"/>
  <c r="M90" i="44"/>
  <c r="M106" i="44"/>
  <c r="M99" i="44"/>
  <c r="M94" i="44"/>
  <c r="M95" i="44"/>
  <c r="M93" i="44"/>
  <c r="M86" i="44"/>
  <c r="M105" i="44"/>
  <c r="M104" i="44"/>
  <c r="M89" i="44"/>
  <c r="M103" i="44"/>
  <c r="M101" i="44"/>
  <c r="M92" i="44"/>
  <c r="M98" i="44"/>
  <c r="M91" i="44"/>
  <c r="M96" i="44"/>
  <c r="M88" i="44"/>
  <c r="M87" i="44"/>
  <c r="M107" i="44"/>
  <c r="M102" i="44"/>
  <c r="M110" i="44"/>
  <c r="M108" i="44"/>
  <c r="M97" i="44"/>
  <c r="P106" i="44"/>
  <c r="P102" i="44"/>
  <c r="P109" i="44"/>
  <c r="P96" i="44"/>
  <c r="P99" i="44"/>
  <c r="P93" i="44"/>
  <c r="P101" i="44"/>
  <c r="P95" i="44"/>
  <c r="P89" i="44"/>
  <c r="P107" i="44"/>
  <c r="P100" i="44"/>
  <c r="P110" i="44"/>
  <c r="P108" i="44"/>
  <c r="P105" i="44"/>
  <c r="P86" i="44"/>
  <c r="P104" i="44"/>
  <c r="P91" i="44"/>
  <c r="P98" i="44"/>
  <c r="P103" i="44"/>
  <c r="P90" i="44"/>
  <c r="P87" i="44"/>
  <c r="P92" i="44"/>
  <c r="P94" i="44"/>
  <c r="P88" i="44"/>
  <c r="P97" i="44"/>
  <c r="O88" i="44"/>
  <c r="O97" i="44"/>
  <c r="O92" i="44"/>
  <c r="O100" i="44"/>
  <c r="O105" i="44"/>
  <c r="O99" i="44"/>
  <c r="O94" i="44"/>
  <c r="O86" i="44"/>
  <c r="O106" i="44"/>
  <c r="O107" i="44"/>
  <c r="O103" i="44"/>
  <c r="O109" i="44"/>
  <c r="O93" i="44"/>
  <c r="O108" i="44"/>
  <c r="O91" i="44"/>
  <c r="O89" i="44"/>
  <c r="O96" i="44"/>
  <c r="O90" i="44"/>
  <c r="O102" i="44"/>
  <c r="O101" i="44"/>
  <c r="O95" i="44"/>
  <c r="O110" i="44"/>
  <c r="O98" i="44"/>
  <c r="O104" i="44"/>
  <c r="O87" i="44"/>
  <c r="T86" i="44"/>
  <c r="T108" i="44"/>
  <c r="T97" i="44"/>
  <c r="T101" i="44"/>
  <c r="T100" i="44"/>
  <c r="T109" i="44"/>
  <c r="T104" i="44"/>
  <c r="T98" i="44"/>
  <c r="T93" i="44"/>
  <c r="T99" i="44"/>
  <c r="T92" i="44"/>
  <c r="T106" i="44"/>
  <c r="T91" i="44"/>
  <c r="T88" i="44"/>
  <c r="T89" i="44"/>
  <c r="T103" i="44"/>
  <c r="T105" i="44"/>
  <c r="T94" i="44"/>
  <c r="T87" i="44"/>
  <c r="T110" i="44"/>
  <c r="T96" i="44"/>
  <c r="T90" i="44"/>
  <c r="T102" i="44"/>
  <c r="T107" i="44"/>
  <c r="T95" i="44"/>
  <c r="I134" i="44" l="1"/>
  <c r="I115" i="44"/>
  <c r="J133" i="44"/>
  <c r="J135" i="44"/>
  <c r="J114" i="44"/>
  <c r="J136" i="44"/>
  <c r="I136" i="44"/>
  <c r="J132" i="44"/>
  <c r="J112" i="44"/>
  <c r="I127" i="44"/>
  <c r="J124" i="44"/>
  <c r="J120" i="44"/>
  <c r="J115" i="44"/>
  <c r="J123" i="44"/>
  <c r="J127" i="44"/>
  <c r="J126" i="44"/>
  <c r="H135" i="44"/>
  <c r="H112" i="44"/>
  <c r="H137" i="44"/>
  <c r="J113" i="44"/>
  <c r="J117" i="44"/>
  <c r="I113" i="44"/>
  <c r="I129" i="44"/>
  <c r="H113" i="44"/>
  <c r="H123" i="44"/>
  <c r="I133" i="44"/>
  <c r="I121" i="44"/>
  <c r="H115" i="44"/>
  <c r="H130" i="44"/>
  <c r="I135" i="44"/>
  <c r="T112" i="44" a="1"/>
  <c r="T126" i="44" s="1"/>
  <c r="H136" i="44"/>
  <c r="H125" i="44"/>
  <c r="J118" i="44"/>
  <c r="J121" i="44"/>
  <c r="I114" i="44"/>
  <c r="I131" i="44"/>
  <c r="H116" i="44"/>
  <c r="G112" i="44"/>
  <c r="J130" i="44"/>
  <c r="I128" i="44"/>
  <c r="I117" i="44"/>
  <c r="I119" i="44"/>
  <c r="H138" i="44"/>
  <c r="G123" i="44"/>
  <c r="J125" i="44"/>
  <c r="J134" i="44"/>
  <c r="I124" i="44"/>
  <c r="I126" i="44"/>
  <c r="G121" i="44"/>
  <c r="I137" i="44"/>
  <c r="H126" i="44"/>
  <c r="H120" i="44"/>
  <c r="G124" i="44"/>
  <c r="I132" i="44"/>
  <c r="U112" i="44" a="1"/>
  <c r="U121" i="44" s="1"/>
  <c r="H124" i="44"/>
  <c r="G122" i="44"/>
  <c r="J131" i="44"/>
  <c r="J138" i="44"/>
  <c r="I125" i="44"/>
  <c r="H118" i="44"/>
  <c r="H128" i="44"/>
  <c r="G129" i="44"/>
  <c r="I116" i="44"/>
  <c r="H132" i="44"/>
  <c r="I118" i="44"/>
  <c r="H134" i="44"/>
  <c r="H114" i="44"/>
  <c r="J116" i="44"/>
  <c r="J119" i="44"/>
  <c r="I138" i="44"/>
  <c r="I112" i="44"/>
  <c r="K134" i="44"/>
  <c r="S112" i="44" a="1"/>
  <c r="S138" i="44" s="1"/>
  <c r="G127" i="44"/>
  <c r="G135" i="44"/>
  <c r="G119" i="44"/>
  <c r="K136" i="44"/>
  <c r="K112" i="44"/>
  <c r="G116" i="44"/>
  <c r="G132" i="44"/>
  <c r="G117" i="44"/>
  <c r="K138" i="44"/>
  <c r="K120" i="44"/>
  <c r="O112" i="44" a="1"/>
  <c r="O114" i="44" s="1"/>
  <c r="H121" i="44"/>
  <c r="H117" i="44"/>
  <c r="G114" i="44"/>
  <c r="G137" i="44"/>
  <c r="G125" i="44"/>
  <c r="J122" i="44"/>
  <c r="J129" i="44"/>
  <c r="K126" i="44"/>
  <c r="K116" i="44"/>
  <c r="I123" i="44"/>
  <c r="I120" i="44"/>
  <c r="K114" i="44"/>
  <c r="H131" i="44"/>
  <c r="H129" i="44"/>
  <c r="G128" i="44"/>
  <c r="G138" i="44"/>
  <c r="K122" i="44"/>
  <c r="K130" i="44"/>
  <c r="K115" i="44"/>
  <c r="G136" i="44"/>
  <c r="K132" i="44"/>
  <c r="K129" i="44"/>
  <c r="K125" i="44"/>
  <c r="G130" i="44"/>
  <c r="G120" i="44"/>
  <c r="K117" i="44"/>
  <c r="K124" i="44"/>
  <c r="P112" i="44" a="1"/>
  <c r="P117" i="44" s="1"/>
  <c r="G113" i="44"/>
  <c r="G118" i="44"/>
  <c r="K123" i="44"/>
  <c r="K113" i="44"/>
  <c r="H119" i="44"/>
  <c r="H133" i="44"/>
  <c r="G115" i="44"/>
  <c r="K119" i="44"/>
  <c r="Q112" i="44" a="1"/>
  <c r="Q132" i="44" s="1"/>
  <c r="R112" i="44" a="1"/>
  <c r="R130" i="44" s="1"/>
  <c r="H127" i="44"/>
  <c r="G131" i="44"/>
  <c r="G133" i="44"/>
  <c r="J128" i="44"/>
  <c r="K135" i="44"/>
  <c r="K127" i="44"/>
  <c r="K137" i="44"/>
  <c r="I122" i="44"/>
  <c r="K133" i="44"/>
  <c r="K131" i="44"/>
  <c r="L112" i="44" a="1"/>
  <c r="L135" i="44" s="1"/>
  <c r="N112" i="44" a="1"/>
  <c r="N138" i="44" s="1"/>
  <c r="G126" i="44"/>
  <c r="K118" i="44"/>
  <c r="K128" i="44"/>
  <c r="M112" i="44" a="1"/>
  <c r="M114" i="44" s="1"/>
  <c r="O112" i="44" l="1"/>
  <c r="O126" i="44"/>
  <c r="U123" i="44"/>
  <c r="O122" i="44"/>
  <c r="O125" i="44"/>
  <c r="O123" i="44"/>
  <c r="O120" i="44"/>
  <c r="U113" i="44"/>
  <c r="U114" i="44"/>
  <c r="U133" i="44"/>
  <c r="U120" i="44"/>
  <c r="P131" i="44"/>
  <c r="P134" i="44"/>
  <c r="M124" i="44"/>
  <c r="U116" i="44"/>
  <c r="T114" i="44"/>
  <c r="P132" i="44"/>
  <c r="U138" i="44"/>
  <c r="U115" i="44"/>
  <c r="T125" i="44"/>
  <c r="M120" i="44"/>
  <c r="U130" i="44"/>
  <c r="U132" i="44"/>
  <c r="M116" i="44"/>
  <c r="T127" i="44"/>
  <c r="M125" i="44"/>
  <c r="T131" i="44"/>
  <c r="M132" i="44"/>
  <c r="O129" i="44"/>
  <c r="U125" i="44"/>
  <c r="U137" i="44"/>
  <c r="P119" i="44"/>
  <c r="U126" i="44"/>
  <c r="M117" i="44"/>
  <c r="U117" i="44"/>
  <c r="T117" i="44"/>
  <c r="U134" i="44"/>
  <c r="U136" i="44"/>
  <c r="P133" i="44"/>
  <c r="M127" i="44"/>
  <c r="O124" i="44"/>
  <c r="U124" i="44"/>
  <c r="S137" i="44"/>
  <c r="M130" i="44"/>
  <c r="T136" i="44"/>
  <c r="P121" i="44"/>
  <c r="M119" i="44"/>
  <c r="U118" i="44"/>
  <c r="U129" i="44"/>
  <c r="T118" i="44"/>
  <c r="P126" i="44"/>
  <c r="U131" i="44"/>
  <c r="U119" i="44"/>
  <c r="T133" i="44"/>
  <c r="P113" i="44"/>
  <c r="U135" i="44"/>
  <c r="U122" i="44"/>
  <c r="T119" i="44"/>
  <c r="T137" i="44"/>
  <c r="P130" i="44"/>
  <c r="P123" i="44"/>
  <c r="T132" i="44"/>
  <c r="T122" i="44"/>
  <c r="P127" i="44"/>
  <c r="P129" i="44"/>
  <c r="T129" i="44"/>
  <c r="P120" i="44"/>
  <c r="T112" i="44"/>
  <c r="T138" i="44"/>
  <c r="T135" i="44"/>
  <c r="P114" i="44"/>
  <c r="P128" i="44"/>
  <c r="O138" i="44"/>
  <c r="U112" i="44"/>
  <c r="U128" i="44"/>
  <c r="S127" i="44"/>
  <c r="T116" i="44"/>
  <c r="P115" i="44"/>
  <c r="T123" i="44"/>
  <c r="T128" i="44"/>
  <c r="T130" i="44"/>
  <c r="P137" i="44"/>
  <c r="M112" i="44"/>
  <c r="O128" i="44"/>
  <c r="U127" i="44"/>
  <c r="S132" i="44"/>
  <c r="T134" i="44"/>
  <c r="T120" i="44"/>
  <c r="T115" i="44"/>
  <c r="P122" i="44"/>
  <c r="T121" i="44"/>
  <c r="T113" i="44"/>
  <c r="R137" i="44"/>
  <c r="P116" i="44"/>
  <c r="Q130" i="44"/>
  <c r="T124" i="44"/>
  <c r="R123" i="44"/>
  <c r="P118" i="44"/>
  <c r="S129" i="44"/>
  <c r="N122" i="44"/>
  <c r="N124" i="44"/>
  <c r="S135" i="44"/>
  <c r="S134" i="44"/>
  <c r="L125" i="44"/>
  <c r="L124" i="44"/>
  <c r="L132" i="44"/>
  <c r="Q133" i="44"/>
  <c r="Q128" i="44"/>
  <c r="R132" i="44"/>
  <c r="R133" i="44"/>
  <c r="M131" i="44"/>
  <c r="M134" i="44"/>
  <c r="O119" i="44"/>
  <c r="O121" i="44"/>
  <c r="O132" i="44"/>
  <c r="N116" i="44"/>
  <c r="N126" i="44"/>
  <c r="S114" i="44"/>
  <c r="S117" i="44"/>
  <c r="L131" i="44"/>
  <c r="L136" i="44"/>
  <c r="L112" i="44"/>
  <c r="Q135" i="44"/>
  <c r="Q134" i="44"/>
  <c r="R117" i="44"/>
  <c r="R135" i="44"/>
  <c r="R136" i="44"/>
  <c r="P136" i="44"/>
  <c r="P124" i="44"/>
  <c r="M123" i="44"/>
  <c r="M118" i="44"/>
  <c r="O136" i="44"/>
  <c r="O113" i="44"/>
  <c r="N119" i="44"/>
  <c r="N115" i="44"/>
  <c r="N117" i="44"/>
  <c r="S122" i="44"/>
  <c r="S112" i="44"/>
  <c r="L129" i="44"/>
  <c r="L120" i="44"/>
  <c r="Q136" i="44"/>
  <c r="Q123" i="44"/>
  <c r="Q124" i="44"/>
  <c r="Q112" i="44"/>
  <c r="Q113" i="44"/>
  <c r="R126" i="44"/>
  <c r="R115" i="44"/>
  <c r="R138" i="44"/>
  <c r="M128" i="44"/>
  <c r="M122" i="44"/>
  <c r="O131" i="44"/>
  <c r="O137" i="44"/>
  <c r="N132" i="44"/>
  <c r="N114" i="44"/>
  <c r="N127" i="44"/>
  <c r="S116" i="44"/>
  <c r="S113" i="44"/>
  <c r="L118" i="44"/>
  <c r="L116" i="44"/>
  <c r="Q126" i="44"/>
  <c r="Q125" i="44"/>
  <c r="Q117" i="44"/>
  <c r="R125" i="44"/>
  <c r="R112" i="44"/>
  <c r="R129" i="44"/>
  <c r="P125" i="44"/>
  <c r="P112" i="44"/>
  <c r="M113" i="44"/>
  <c r="M135" i="44"/>
  <c r="O127" i="44"/>
  <c r="O116" i="44"/>
  <c r="N134" i="44"/>
  <c r="N113" i="44"/>
  <c r="N112" i="44"/>
  <c r="S120" i="44"/>
  <c r="S125" i="44"/>
  <c r="L123" i="44"/>
  <c r="L130" i="44"/>
  <c r="Q120" i="44"/>
  <c r="Q119" i="44"/>
  <c r="Q118" i="44"/>
  <c r="L121" i="44"/>
  <c r="R127" i="44"/>
  <c r="R134" i="44"/>
  <c r="P138" i="44"/>
  <c r="P135" i="44"/>
  <c r="M137" i="44"/>
  <c r="M126" i="44"/>
  <c r="O135" i="44"/>
  <c r="O133" i="44"/>
  <c r="N130" i="44"/>
  <c r="N133" i="44"/>
  <c r="S119" i="44"/>
  <c r="S136" i="44"/>
  <c r="L138" i="44"/>
  <c r="L134" i="44"/>
  <c r="Q137" i="44"/>
  <c r="Q122" i="44"/>
  <c r="R116" i="44"/>
  <c r="R118" i="44"/>
  <c r="R121" i="44"/>
  <c r="M136" i="44"/>
  <c r="M133" i="44"/>
  <c r="O118" i="44"/>
  <c r="O115" i="44"/>
  <c r="N135" i="44"/>
  <c r="N137" i="44"/>
  <c r="S126" i="44"/>
  <c r="S118" i="44"/>
  <c r="L128" i="44"/>
  <c r="L127" i="44"/>
  <c r="Q129" i="44"/>
  <c r="Q131" i="44"/>
  <c r="R120" i="44"/>
  <c r="R131" i="44"/>
  <c r="M138" i="44"/>
  <c r="M121" i="44"/>
  <c r="O130" i="44"/>
  <c r="O134" i="44"/>
  <c r="N118" i="44"/>
  <c r="N131" i="44"/>
  <c r="S121" i="44"/>
  <c r="S128" i="44"/>
  <c r="L113" i="44"/>
  <c r="L133" i="44"/>
  <c r="Q138" i="44"/>
  <c r="Q121" i="44"/>
  <c r="R122" i="44"/>
  <c r="N121" i="44"/>
  <c r="S131" i="44"/>
  <c r="S130" i="44"/>
  <c r="R124" i="44"/>
  <c r="R113" i="44"/>
  <c r="R119" i="44"/>
  <c r="M129" i="44"/>
  <c r="M115" i="44"/>
  <c r="O117" i="44"/>
  <c r="N128" i="44"/>
  <c r="N120" i="44"/>
  <c r="S124" i="44"/>
  <c r="S115" i="44"/>
  <c r="S133" i="44"/>
  <c r="L122" i="44"/>
  <c r="L114" i="44"/>
  <c r="Q115" i="44"/>
  <c r="Q127" i="44"/>
  <c r="N123" i="44"/>
  <c r="N125" i="44"/>
  <c r="L115" i="44"/>
  <c r="L119" i="44"/>
  <c r="Q114" i="44"/>
  <c r="R114" i="44"/>
  <c r="N136" i="44"/>
  <c r="L117" i="44"/>
  <c r="R128" i="44"/>
  <c r="N129" i="44"/>
  <c r="S123" i="44"/>
  <c r="L137" i="44"/>
  <c r="L126" i="44"/>
  <c r="Q116" i="4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3194C51-0DCF-4181-AB59-9BD1777BD97A}" name="BallPlateGen5_Fixture_P509-east-DC-1_1-20210305T010130" type="6" refreshedVersion="6" background="1" saveData="1">
    <textPr prompt="0" codePage="850" sourceFile="C:\Users\lgutkows\OneDrive - HP Inc\Laptop\D\CMM\Axiom\Gen 5 Inspection\Gen5 Inspection\P509\Reports\BallPlateGen5_Fixture_P509-east-DC-1_1-20210305T010130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84B16839-3C8B-4018-9004-67678D79E297}" name="BallPlateGen5_Fixture_P509-east-DC-1_1-20210305T015628" type="6" refreshedVersion="6" background="1" saveData="1">
    <textPr prompt="0" codePage="850" sourceFile="C:\Users\lgutkows\OneDrive - HP Inc\Laptop\D\CMM\Axiom\Gen 5 Inspection\Gen5 Inspection\P509\Reports\BallPlateGen5_Fixture_P509-east-DC-1_1-20210305T015628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48A0E265-45D8-4314-9A55-9BDC99870ABD}" name="BallPlateGen5_Fixture_P509-east-DC-1_1-20210305T023956" type="6" refreshedVersion="6" background="1" saveData="1">
    <textPr prompt="0" codePage="850" sourceFile="C:\Users\lgutkows\OneDrive - HP Inc\Laptop\D\CMM\Axiom\Gen 5 Inspection\Gen5 Inspection\P509\Reports\BallPlateGen5_Fixture_P509-east-DC-1_1-20210305T023956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D1A5C682-C7A7-424D-B1B3-83533F2BE3D4}" name="BallPlateGen5_Fixture_P509-east-DC-1_2-20210305T010456" type="6" refreshedVersion="6" background="1" saveData="1">
    <textPr prompt="0" codePage="850" sourceFile="C:\Users\lgutkows\OneDrive - HP Inc\Laptop\D\CMM\Axiom\Gen 5 Inspection\Gen5 Inspection\P509\Reports\BallPlateGen5_Fixture_P509-east-DC-1_2-20210305T010456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FF0BB44-5C78-4339-9B63-A0E18DEC8201}" name="BallPlateGen5_Fixture_P509-east-DC-1_2-20210305T015954" type="6" refreshedVersion="6" background="1" saveData="1">
    <textPr prompt="0" codePage="850" sourceFile="C:\Users\lgutkows\OneDrive - HP Inc\Laptop\D\CMM\Axiom\Gen 5 Inspection\Gen5 Inspection\P509\Reports\BallPlateGen5_Fixture_P509-east-DC-1_2-20210305T015954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3EFF90A4-066D-4338-82A3-25BF57F344FD}" name="BallPlateGen5_Fixture_P509-east-DC-1_2-20210305T024321" type="6" refreshedVersion="6" background="1" saveData="1">
    <textPr prompt="0" codePage="850" sourceFile="C:\Users\lgutkows\OneDrive - HP Inc\Laptop\D\CMM\Axiom\Gen 5 Inspection\Gen5 Inspection\P509\Reports\BallPlateGen5_Fixture_P509-east-DC-1_2-20210305T024321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571D0E29-8405-4658-858B-827B8A711B8B}" name="BallPlateGen5_Fixture_P509-east-DC-1_3-20210305T010822" type="6" refreshedVersion="6" background="1" saveData="1">
    <textPr prompt="0" codePage="850" sourceFile="C:\Users\lgutkows\OneDrive - HP Inc\Laptop\D\CMM\Axiom\Gen 5 Inspection\Gen5 Inspection\P509\Reports\BallPlateGen5_Fixture_P509-east-DC-1_3-20210305T010822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DDA689E7-5411-4B11-88DE-25CD7A0F7AB6}" name="BallPlateGen5_Fixture_P509-east-DC-1_3-20210305T020319" type="6" refreshedVersion="6" background="1" saveData="1">
    <textPr prompt="0" codePage="850" sourceFile="C:\Users\lgutkows\OneDrive - HP Inc\Laptop\D\CMM\Axiom\Gen 5 Inspection\Gen5 Inspection\P509\Reports\BallPlateGen5_Fixture_P509-east-DC-1_3-20210305T020319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F1CB9ACD-FE5A-49F3-A417-4665EF4F7DC6}" name="BallPlateGen5_Fixture_P509-east-DC-1_3-20210305T024647" type="6" refreshedVersion="6" background="1" saveData="1">
    <textPr prompt="0" codePage="850" sourceFile="C:\Users\lgutkows\OneDrive - HP Inc\Laptop\D\CMM\Axiom\Gen 5 Inspection\Gen5 Inspection\P509\Reports\BallPlateGen5_Fixture_P509-east-DC-1_3-20210305T024647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2F81080B-A64F-4130-AB6A-4DBE4187552C}" name="BallPlateGen5_Fixture_P509-east-DC-1_4-20210305T011148" type="6" refreshedVersion="6" background="1" saveData="1">
    <textPr prompt="0" codePage="850" sourceFile="C:\Users\lgutkows\OneDrive - HP Inc\Laptop\D\CMM\Axiom\Gen 5 Inspection\Gen5 Inspection\P509\Reports\BallPlateGen5_Fixture_P509-east-DC-1_4-20210305T011148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FC2F34CB-5450-409B-8CD3-03FE4F980602}" name="BallPlateGen5_Fixture_P509-east-DC-1_4-20210305T020645" type="6" refreshedVersion="6" background="1" saveData="1">
    <textPr prompt="0" codePage="850" sourceFile="C:\Users\lgutkows\OneDrive - HP Inc\Laptop\D\CMM\Axiom\Gen 5 Inspection\Gen5 Inspection\P509\Reports\BallPlateGen5_Fixture_P509-east-DC-1_4-20210305T020645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xr16:uid="{23214F31-A1E0-454A-BA6E-D43B452CCE2F}" name="BallPlateGen5_Fixture_P509-east-DC-1_4-20210305T025013" type="6" refreshedVersion="6" background="1" saveData="1">
    <textPr prompt="0" codePage="850" sourceFile="C:\Users\lgutkows\OneDrive - HP Inc\Laptop\D\CMM\Axiom\Gen 5 Inspection\Gen5 Inspection\P509\Reports\BallPlateGen5_Fixture_P509-east-DC-1_4-20210305T025013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xr16:uid="{E0C5652F-3FA3-4A16-A93E-F5642ED063AC}" name="BallPlateGen5_Fixture_P509-east-DC-1_5-20210305T011514" type="6" refreshedVersion="6" background="1" saveData="1">
    <textPr prompt="0" codePage="850" sourceFile="C:\Users\lgutkows\OneDrive - HP Inc\Laptop\D\CMM\Axiom\Gen 5 Inspection\Gen5 Inspection\P509\Reports\BallPlateGen5_Fixture_P509-east-DC-1_5-20210305T011514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xr16:uid="{BEABAA0E-6246-4503-AE9B-1885B85B49C6}" name="BallPlateGen5_Fixture_P509-east-DC-1_5-20210305T021010" type="6" refreshedVersion="6" background="1" saveData="1">
    <textPr prompt="0" codePage="850" sourceFile="C:\Users\lgutkows\OneDrive - HP Inc\Laptop\D\CMM\Axiom\Gen 5 Inspection\Gen5 Inspection\P509\Reports\BallPlateGen5_Fixture_P509-east-DC-1_5-20210305T021010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F9D67249-5C29-43AD-ADEE-6D16BE15B927}" name="BallPlateGen5_Fixture_P509-east-DC-1_5-20210305T025338" type="6" refreshedVersion="6" background="1" saveData="1">
    <textPr prompt="0" codePage="850" sourceFile="C:\Users\lgutkows\OneDrive - HP Inc\Laptop\D\CMM\Axiom\Gen 5 Inspection\Gen5 Inspection\P509\Reports\BallPlateGen5_Fixture_P509-east-DC-1_5-20210305T025338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xr16:uid="{C9857B88-6C00-4E42-A8E2-EFB83A504634}" name="BallPlateGen5_Fixture_P509-east-DC-1_6-20210305T011840" type="6" refreshedVersion="6" background="1" saveData="1">
    <textPr prompt="0" codePage="850" sourceFile="C:\Users\lgutkows\OneDrive - HP Inc\Laptop\D\CMM\Axiom\Gen 5 Inspection\Gen5 Inspection\P509\Reports\BallPlateGen5_Fixture_P509-east-DC-1_6-20210305T011840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xr16:uid="{D8A44BB5-089C-428F-A6C8-C705A9B554FD}" name="BallPlateGen5_Fixture_P509-east-DC-1_6-20210305T021336" type="6" refreshedVersion="6" background="1" saveData="1">
    <textPr prompt="0" codePage="850" sourceFile="C:\Users\lgutkows\OneDrive - HP Inc\Laptop\D\CMM\Axiom\Gen 5 Inspection\Gen5 Inspection\P509\Reports\BallPlateGen5_Fixture_P509-east-DC-1_6-20210305T021336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xr16:uid="{DB896A10-4EA9-48D1-B8E1-657BFE976FE1}" name="BallPlateGen5_Fixture_P509-east-DC-1_6-20210305T025704" type="6" refreshedVersion="6" background="1" saveData="1">
    <textPr prompt="0" codePage="850" sourceFile="C:\Users\lgutkows\OneDrive - HP Inc\Laptop\D\CMM\Axiom\Gen 5 Inspection\Gen5 Inspection\P509\Reports\BallPlateGen5_Fixture_P509-east-DC-1_6-20210305T025704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D3E8B4F3-8B46-45AC-B82C-CE4BE706118F}" name="BallPlateGen5_Fixture_P509-south-DC-1_1-20210305T013505" type="6" refreshedVersion="6" background="1" saveData="1">
    <textPr prompt="0" codePage="850" sourceFile="C:\Users\lgutkows\OneDrive - HP Inc\Laptop\D\CMM\Axiom\Gen 5 Inspection\Gen5 Inspection\P509\Reports\BallPlateGen5_Fixture_P509-south-DC-1_1-20210305T013505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xr16:uid="{BBBABE26-DC6F-41D3-AA5B-C222B9CECBFA}" name="BallPlateGen5_Fixture_P509-south-DC-1_1-20210305T021821" type="6" refreshedVersion="6" background="1" saveData="1">
    <textPr prompt="0" codePage="850" sourceFile="C:\Users\lgutkows\OneDrive - HP Inc\Laptop\D\CMM\Axiom\Gen 5 Inspection\Gen5 Inspection\P509\Reports\BallPlateGen5_Fixture_P509-south-DC-1_1-20210305T021821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xr16:uid="{D350E48C-016B-44BF-BC09-B3D09F0616BF}" name="BallPlateGen5_Fixture_P509-south-DC-1_1-20210305T121302" type="6" refreshedVersion="6" background="1" saveData="1">
    <textPr prompt="0" codePage="850" sourceFile="C:\Users\lgutkows\OneDrive - HP Inc\Laptop\D\CMM\Axiom\Gen 5 Inspection\Gen5 Inspection\P509\Reports\BallPlateGen5_Fixture_P509-south-DC-1_1-20210305T121302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xr16:uid="{443652D3-7C61-411A-A9D6-C66069332C60}" name="BallPlateGen5_Fixture_P509-south-DC-1_2-20210305T013831" type="6" refreshedVersion="6" background="1" saveData="1">
    <textPr prompt="0" codePage="850" sourceFile="C:\Users\lgutkows\OneDrive - HP Inc\Laptop\D\CMM\Axiom\Gen 5 Inspection\Gen5 Inspection\P509\Reports\BallPlateGen5_Fixture_P509-south-DC-1_2-20210305T013831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xr16:uid="{7AC07F75-E5CC-48F6-90AC-5B4AE38FCDD9}" name="BallPlateGen5_Fixture_P509-south-DC-1_2-20210305T022147" type="6" refreshedVersion="6" background="1" saveData="1">
    <textPr prompt="0" codePage="850" sourceFile="C:\Users\lgutkows\OneDrive - HP Inc\Laptop\D\CMM\Axiom\Gen 5 Inspection\Gen5 Inspection\P509\Reports\BallPlateGen5_Fixture_P509-south-DC-1_2-20210305T022147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xr16:uid="{CF9CD9F4-D68B-421C-AFA3-49E18C8B4430}" name="BallPlateGen5_Fixture_P509-south-DC-1_2-20210305T121628" type="6" refreshedVersion="6" background="1" saveData="1">
    <textPr prompt="0" codePage="850" sourceFile="C:\Users\lgutkows\OneDrive - HP Inc\Laptop\D\CMM\Axiom\Gen 5 Inspection\Gen5 Inspection\P509\Reports\BallPlateGen5_Fixture_P509-south-DC-1_2-20210305T121628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xr16:uid="{BF1D468A-D3B7-4308-9A4D-3B8D44BC2996}" name="BallPlateGen5_Fixture_P509-south-DC-1_3-20210305T014156" type="6" refreshedVersion="6" background="1" saveData="1">
    <textPr prompt="0" codePage="850" sourceFile="C:\Users\lgutkows\OneDrive - HP Inc\Laptop\D\CMM\Axiom\Gen 5 Inspection\Gen5 Inspection\P509\Reports\BallPlateGen5_Fixture_P509-south-DC-1_3-20210305T014156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xr16:uid="{BB63FFD4-DF48-4FA2-9352-E3D11E0B72A9}" name="BallPlateGen5_Fixture_P509-south-DC-1_3-20210305T022512" type="6" refreshedVersion="6" background="1" saveData="1">
    <textPr prompt="0" codePage="850" sourceFile="C:\Users\lgutkows\OneDrive - HP Inc\Laptop\D\CMM\Axiom\Gen 5 Inspection\Gen5 Inspection\P509\Reports\BallPlateGen5_Fixture_P509-south-DC-1_3-20210305T022512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xr16:uid="{B405808A-81CB-4DFF-9FE5-64EF1B38A42B}" name="BallPlateGen5_Fixture_P509-south-DC-1_3-20210305T121955" type="6" refreshedVersion="6" background="1" saveData="1">
    <textPr prompt="0" codePage="850" sourceFile="C:\Users\lgutkows\OneDrive - HP Inc\Laptop\D\CMM\Axiom\Gen 5 Inspection\Gen5 Inspection\P509\Reports\BallPlateGen5_Fixture_P509-south-DC-1_3-20210305T121955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xr16:uid="{7D3019C5-C2C9-443A-B663-78A45E8649C7}" name="BallPlateGen5_Fixture_P509-south-DC-1_4-20210305T014522" type="6" refreshedVersion="6" background="1" saveData="1">
    <textPr prompt="0" codePage="850" sourceFile="C:\Users\lgutkows\OneDrive - HP Inc\Laptop\D\CMM\Axiom\Gen 5 Inspection\Gen5 Inspection\P509\Reports\BallPlateGen5_Fixture_P509-south-DC-1_4-20210305T014522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xr16:uid="{AFD23DAF-0E50-4FA2-9C5A-861EDC0D1482}" name="BallPlateGen5_Fixture_P509-south-DC-1_4-20210305T022838" type="6" refreshedVersion="6" background="1" saveData="1">
    <textPr prompt="0" codePage="850" sourceFile="C:\Users\lgutkows\OneDrive - HP Inc\Laptop\D\CMM\Axiom\Gen 5 Inspection\Gen5 Inspection\P509\Reports\BallPlateGen5_Fixture_P509-south-DC-1_4-20210305T022838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xr16:uid="{161E5A63-7797-475E-97DF-D44EF6D4A0FD}" name="BallPlateGen5_Fixture_P509-south-DC-1_4-20210305T122321" type="6" refreshedVersion="6" background="1" saveData="1">
    <textPr prompt="0" codePage="850" sourceFile="C:\Users\lgutkows\OneDrive - HP Inc\Laptop\D\CMM\Axiom\Gen 5 Inspection\Gen5 Inspection\P509\Reports\BallPlateGen5_Fixture_P509-south-DC-1_4-20210305T122321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xr16:uid="{55D34809-4C11-427B-92E1-0878A173F66E}" name="BallPlateGen5_Fixture_P509-south-DC-1_5-20210305T014847" type="6" refreshedVersion="6" background="1" saveData="1">
    <textPr prompt="0" codePage="850" sourceFile="C:\Users\lgutkows\OneDrive - HP Inc\Laptop\D\CMM\Axiom\Gen 5 Inspection\Gen5 Inspection\P509\Reports\BallPlateGen5_Fixture_P509-south-DC-1_5-20210305T014847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xr16:uid="{40C5E8FA-57B6-4E28-8061-77D1226B3A99}" name="BallPlateGen5_Fixture_P509-south-DC-1_5-20210305T023204" type="6" refreshedVersion="6" background="1" saveData="1">
    <textPr prompt="0" codePage="850" sourceFile="C:\Users\lgutkows\OneDrive - HP Inc\Laptop\D\CMM\Axiom\Gen 5 Inspection\Gen5 Inspection\P509\Reports\BallPlateGen5_Fixture_P509-south-DC-1_5-20210305T023204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xr16:uid="{86CD42A9-9DA7-4E84-907E-A72E7B670355}" name="BallPlateGen5_Fixture_P509-south-DC-1_5-20210305T122647" type="6" refreshedVersion="6" background="1" saveData="1">
    <textPr prompt="0" codePage="850" sourceFile="C:\Users\lgutkows\OneDrive - HP Inc\Laptop\D\CMM\Axiom\Gen 5 Inspection\Gen5 Inspection\P509\Reports\BallPlateGen5_Fixture_P509-south-DC-1_5-20210305T122647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xr16:uid="{46AFEA90-4E5D-4D9A-98AA-1EA88192C990}" name="BallPlateGen5_Fixture_P509-south-DC-1_6-20210305T015212" type="6" refreshedVersion="6" background="1" saveData="1">
    <textPr prompt="0" codePage="850" sourceFile="C:\Users\lgutkows\OneDrive - HP Inc\Laptop\D\CMM\Axiom\Gen 5 Inspection\Gen5 Inspection\P509\Reports\BallPlateGen5_Fixture_P509-south-DC-1_6-20210305T015212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xr16:uid="{AC4641F3-70B9-469E-B029-9BC3B6C9914E}" name="BallPlateGen5_Fixture_P509-south-DC-1_6-20210305T023529" type="6" refreshedVersion="6" background="1" saveData="1">
    <textPr prompt="0" codePage="850" sourceFile="C:\Users\lgutkows\OneDrive - HP Inc\Laptop\D\CMM\Axiom\Gen 5 Inspection\Gen5 Inspection\P509\Reports\BallPlateGen5_Fixture_P509-south-DC-1_6-20210305T023529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xr16:uid="{101812B3-F2F9-439C-974C-8FC0BA7DB81B}" name="BallPlateGen5_Fixture_P509-south-DC-1_6-20210305T123013" type="6" refreshedVersion="6" background="1" saveData="1">
    <textPr prompt="0" codePage="850" sourceFile="C:\Users\lgutkows\OneDrive - HP Inc\Laptop\D\CMM\Axiom\Gen 5 Inspection\Gen5 Inspection\P509\Reports\BallPlateGen5_Fixture_P509-south-DC-1_6-20210305T123013.csv" tab="0" comma="1">
      <textFields count="22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<sst xmlns="http://schemas.openxmlformats.org/spreadsheetml/2006/main" count="2957" uniqueCount="156">
  <si>
    <t>D0</t>
  </si>
  <si>
    <t>D1</t>
  </si>
  <si>
    <t>D2</t>
  </si>
  <si>
    <t>D3</t>
  </si>
  <si>
    <t>D4</t>
  </si>
  <si>
    <t>L01</t>
  </si>
  <si>
    <t>L02</t>
  </si>
  <si>
    <t>L03</t>
  </si>
  <si>
    <t>L04</t>
  </si>
  <si>
    <t>L14</t>
  </si>
  <si>
    <t>L23</t>
  </si>
  <si>
    <t>L12</t>
  </si>
  <si>
    <t>L34</t>
  </si>
  <si>
    <t>L13</t>
  </si>
  <si>
    <t>L24</t>
  </si>
  <si>
    <t>fetch csv data row:</t>
  </si>
  <si>
    <t>fetch csv data column:</t>
  </si>
  <si>
    <t>sheet</t>
  </si>
  <si>
    <t>plate</t>
  </si>
  <si>
    <t>orient</t>
  </si>
  <si>
    <t>time</t>
  </si>
  <si>
    <t>run</t>
  </si>
  <si>
    <t>temp</t>
  </si>
  <si>
    <t>x0</t>
  </si>
  <si>
    <t>y0</t>
  </si>
  <si>
    <t>z0</t>
  </si>
  <si>
    <t>x1</t>
  </si>
  <si>
    <t>y1</t>
  </si>
  <si>
    <t>z1</t>
  </si>
  <si>
    <t>x2</t>
  </si>
  <si>
    <t>y2</t>
  </si>
  <si>
    <t>z2</t>
  </si>
  <si>
    <t>x3</t>
  </si>
  <si>
    <t>y3</t>
  </si>
  <si>
    <t>z3</t>
  </si>
  <si>
    <t>x4</t>
  </si>
  <si>
    <t>y4</t>
  </si>
  <si>
    <t>z4</t>
  </si>
  <si>
    <t>°C</t>
  </si>
  <si>
    <t>mm</t>
  </si>
  <si>
    <t>n</t>
  </si>
  <si>
    <t>average</t>
  </si>
  <si>
    <t>stdev</t>
  </si>
  <si>
    <t>min</t>
  </si>
  <si>
    <t>max</t>
  </si>
  <si>
    <t>range</t>
  </si>
  <si>
    <t>East</t>
  </si>
  <si>
    <t>South</t>
  </si>
  <si>
    <t>South-East</t>
  </si>
  <si>
    <t>difference</t>
  </si>
  <si>
    <t>Image 1</t>
  </si>
  <si>
    <t>Image 2</t>
  </si>
  <si>
    <t>Image 3</t>
  </si>
  <si>
    <t>Image 4</t>
  </si>
  <si>
    <t>Image 5</t>
  </si>
  <si>
    <t>Image 6</t>
  </si>
  <si>
    <t>Image 7</t>
  </si>
  <si>
    <t>Image 8</t>
  </si>
  <si>
    <t>Image 9</t>
  </si>
  <si>
    <t>Image 10</t>
  </si>
  <si>
    <t>Image 11</t>
  </si>
  <si>
    <t>Image 12</t>
  </si>
  <si>
    <t>Image 13</t>
  </si>
  <si>
    <t>Image 14</t>
  </si>
  <si>
    <t>Image 15</t>
  </si>
  <si>
    <t>Image 16</t>
  </si>
  <si>
    <t>Image 17</t>
  </si>
  <si>
    <t>Image 18</t>
  </si>
  <si>
    <t>Image 19</t>
  </si>
  <si>
    <t>Image 20</t>
  </si>
  <si>
    <t>Image 21</t>
  </si>
  <si>
    <t>Image 22</t>
  </si>
  <si>
    <t>Image 23</t>
  </si>
  <si>
    <t>Image 24</t>
  </si>
  <si>
    <t>Image 25</t>
  </si>
  <si>
    <t>Image 26</t>
  </si>
  <si>
    <t>Image 27</t>
  </si>
  <si>
    <t>Image 28</t>
  </si>
  <si>
    <t>Image 29</t>
  </si>
  <si>
    <t>Image 30</t>
  </si>
  <si>
    <t>Image 31</t>
  </si>
  <si>
    <t>Image 32</t>
  </si>
  <si>
    <t>Image 33</t>
  </si>
  <si>
    <t>Image 34</t>
  </si>
  <si>
    <t>Image 35</t>
  </si>
  <si>
    <t>Image 36</t>
  </si>
  <si>
    <t>C0</t>
  </si>
  <si>
    <t>C1</t>
  </si>
  <si>
    <t>C2</t>
  </si>
  <si>
    <t>C3</t>
  </si>
  <si>
    <t>C4</t>
  </si>
  <si>
    <t>Ball Plate ID and Orientation</t>
  </si>
  <si>
    <t>Inspector</t>
  </si>
  <si>
    <t>Larry</t>
  </si>
  <si>
    <t>Inspection Time</t>
  </si>
  <si>
    <t>Temperature</t>
  </si>
  <si>
    <t>Serial No</t>
  </si>
  <si>
    <t>Material Ref</t>
  </si>
  <si>
    <t>Date</t>
  </si>
  <si>
    <t>Notes</t>
  </si>
  <si>
    <t>Pos S0</t>
  </si>
  <si>
    <t>Position Cartesian</t>
  </si>
  <si>
    <t>PASS</t>
  </si>
  <si>
    <t>Pos S1</t>
  </si>
  <si>
    <t>FAIL</t>
  </si>
  <si>
    <t>Pos S2</t>
  </si>
  <si>
    <t>Pos S3</t>
  </si>
  <si>
    <t>Pos S4</t>
  </si>
  <si>
    <t>Diameter</t>
  </si>
  <si>
    <t>PointPointDistance</t>
  </si>
  <si>
    <t>18.9┬░C</t>
  </si>
  <si>
    <t>19.0┬░C</t>
  </si>
  <si>
    <t>P509-east</t>
  </si>
  <si>
    <t>20210305T1257</t>
  </si>
  <si>
    <t>19.1┬░C</t>
  </si>
  <si>
    <t>20210305T1352</t>
  </si>
  <si>
    <t>19.3┬░C</t>
  </si>
  <si>
    <t>20210305T1436</t>
  </si>
  <si>
    <t>19.5┬░C</t>
  </si>
  <si>
    <t>20210305T1301</t>
  </si>
  <si>
    <t>20210305T1356</t>
  </si>
  <si>
    <t>20210305T1439</t>
  </si>
  <si>
    <t>20210305T1304</t>
  </si>
  <si>
    <t>20210305T1359</t>
  </si>
  <si>
    <t>20210305T1443</t>
  </si>
  <si>
    <t>20210305T1308</t>
  </si>
  <si>
    <t>20210305T1403</t>
  </si>
  <si>
    <t>20210305T1446</t>
  </si>
  <si>
    <t>20210305T1311</t>
  </si>
  <si>
    <t>20210305T1406</t>
  </si>
  <si>
    <t>20210305T1450</t>
  </si>
  <si>
    <t>19.6┬░C</t>
  </si>
  <si>
    <t>20210305T1315</t>
  </si>
  <si>
    <t>20210305T1410</t>
  </si>
  <si>
    <t>20210305T1453</t>
  </si>
  <si>
    <t>P509-south</t>
  </si>
  <si>
    <t>20210305T1331</t>
  </si>
  <si>
    <t>19.2┬░C</t>
  </si>
  <si>
    <t>20210305T1414</t>
  </si>
  <si>
    <t>20210305T1209</t>
  </si>
  <si>
    <t>20210305T1335</t>
  </si>
  <si>
    <t>20210305T1418</t>
  </si>
  <si>
    <t>20210305T1213</t>
  </si>
  <si>
    <t>20210305T1338</t>
  </si>
  <si>
    <t>20210305T1421</t>
  </si>
  <si>
    <t>19.4┬░C</t>
  </si>
  <si>
    <t>20210305T1216</t>
  </si>
  <si>
    <t>20210305T1341</t>
  </si>
  <si>
    <t>20210305T1425</t>
  </si>
  <si>
    <t>20210305T1219</t>
  </si>
  <si>
    <t>20210305T1345</t>
  </si>
  <si>
    <t>20210305T1428</t>
  </si>
  <si>
    <t>20210305T1223</t>
  </si>
  <si>
    <t>20210305T1348</t>
  </si>
  <si>
    <t>20210305T1432</t>
  </si>
  <si>
    <t>20210305T1226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</si>
</sst>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\ hh:mm;@"/>
    <numFmt numFmtId="165" formatCode="0.0000"/>
    <numFmt numFmtId="166" formatCode="0.0"/>
    <numFmt numFmtId="167" formatCode="0.00\ \u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0" fillId="0" borderId="0" xfId="0" applyNumberFormat="1"/>
    <xf numFmtId="0" fontId="0" fillId="0" borderId="5" xfId="0" applyBorder="1"/>
    <xf numFmtId="0" fontId="0" fillId="0" borderId="6" xfId="0" applyBorder="1"/>
    <xf numFmtId="0" fontId="0" fillId="0" borderId="7" xfId="0" applyBorder="1"/>
    <xf numFmtId="165" fontId="0" fillId="0" borderId="6" xfId="0" applyNumberFormat="1" applyBorder="1"/>
    <xf numFmtId="165" fontId="0" fillId="0" borderId="0" xfId="0" applyNumberFormat="1"/>
    <xf numFmtId="165" fontId="0" fillId="0" borderId="7" xfId="0" applyNumberFormat="1" applyBorder="1"/>
    <xf numFmtId="166" fontId="2" fillId="0" borderId="5" xfId="0" applyNumberFormat="1" applyFont="1" applyBorder="1"/>
    <xf numFmtId="165" fontId="2" fillId="0" borderId="6" xfId="0" applyNumberFormat="1" applyFont="1" applyBorder="1"/>
    <xf numFmtId="165" fontId="2" fillId="0" borderId="0" xfId="0" applyNumberFormat="1" applyFont="1"/>
    <xf numFmtId="165" fontId="2" fillId="0" borderId="7" xfId="0" applyNumberFormat="1" applyFont="1" applyBorder="1"/>
    <xf numFmtId="2" fontId="0" fillId="0" borderId="5" xfId="0" applyNumberFormat="1" applyBorder="1"/>
    <xf numFmtId="167" fontId="0" fillId="0" borderId="6" xfId="0" applyNumberFormat="1" applyBorder="1"/>
    <xf numFmtId="167" fontId="0" fillId="0" borderId="0" xfId="0" applyNumberFormat="1"/>
    <xf numFmtId="167" fontId="0" fillId="0" borderId="7" xfId="0" applyNumberFormat="1" applyBorder="1"/>
    <xf numFmtId="167" fontId="0" fillId="0" borderId="9" xfId="0" applyNumberFormat="1" applyBorder="1"/>
    <xf numFmtId="167" fontId="0" fillId="0" borderId="10" xfId="0" applyNumberFormat="1" applyBorder="1"/>
    <xf numFmtId="167" fontId="0" fillId="0" borderId="11" xfId="0" applyNumberFormat="1" applyBorder="1"/>
    <xf numFmtId="166" fontId="0" fillId="0" borderId="5" xfId="0" applyNumberFormat="1" applyBorder="1"/>
    <xf numFmtId="166" fontId="0" fillId="0" borderId="8" xfId="0" applyNumberFormat="1" applyBorder="1"/>
    <xf numFmtId="0" fontId="2" fillId="0" borderId="0" xfId="0" applyFont="1"/>
    <xf numFmtId="0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connections" Target="connections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1-20210305T010130.csv" connectionId="1" xr16:uid="{319D27A2-CFBF-47DA-8AA2-99D9889858A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1-20210305T015628.csv" connectionId="2" xr16:uid="{F47D5B96-5AF3-41E3-BF05-49EC40DAF0BD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1-20210305T023956.csv" connectionId="3" xr16:uid="{4CFF90AD-7109-4CC7-8AC2-9FD169E10172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2-20210305T010456.csv" connectionId="4" xr16:uid="{C9FAEDBC-22AA-4301-80A3-648C03E5D667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2-20210305T015954.csv" connectionId="5" xr16:uid="{A037D048-0B2F-45F2-9184-D42324B7265C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2-20210305T024321.csv" connectionId="6" xr16:uid="{CA71591E-A262-4B1C-B86B-D3CD1C88F457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3-20210305T010822.csv" connectionId="7" xr16:uid="{88895004-071F-4118-A947-BB80B20CBDF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3-20210305T020319.csv" connectionId="8" xr16:uid="{88711E92-1A74-4181-8403-6CE6FC956D79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3-20210305T024647.csv" connectionId="9" xr16:uid="{2D46C179-2FA5-4BBF-9CB8-C542B827469D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4-20210305T011148.csv" connectionId="10" xr16:uid="{FA0A0B76-5717-493E-8B15-E43248BB121E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4-20210305T020645.csv" connectionId="11" xr16:uid="{CD739F94-2033-4818-9FDB-00246C4914A6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4-20210305T025013.csv" connectionId="12" xr16:uid="{C8F7C9AE-A440-496E-81BC-4B9561E93129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5-20210305T011514.csv" connectionId="13" xr16:uid="{E83978D8-A9BF-4B0F-AA8B-4D05A0C0D0EE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5-20210305T021010.csv" connectionId="14" xr16:uid="{70DF214B-7BAF-4936-812E-56B3497D9009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5-20210305T025338.csv" connectionId="15" xr16:uid="{396F4F11-0B9B-45DA-B8D4-04DFDF86E805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6-20210305T011840.csv" connectionId="16" xr16:uid="{BA3A1794-6B24-4FE4-9B44-A8963F05939B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6-20210305T021336.csv" connectionId="17" xr16:uid="{5FD59403-7FA2-49B1-A986-A873D499F1EF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east-DC-1_6-20210305T025704.csv" connectionId="18" xr16:uid="{B56DDEC4-EB6A-4B97-9B38-E29AE29C209A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1-20210305T013505.csv" connectionId="19" xr16:uid="{5A6FEC95-9E90-45EC-9652-1BBF288119D6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1-20210305T021821.csv" connectionId="20" xr16:uid="{3E7C6E61-941F-4EC2-86FD-0000AE47101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1-20210305T121302.csv" connectionId="21" xr16:uid="{046CA12E-7596-4AFD-95CD-399B4947B075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2-20210305T013831.csv" connectionId="22" xr16:uid="{893AEB33-9AA5-4D7E-BC28-AF855CE87A47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2-20210305T022147.csv" connectionId="23" xr16:uid="{5CAC5556-A3F9-4E0B-8817-369EEFB4C104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2-20210305T121628.csv" connectionId="24" xr16:uid="{42E2E067-797B-49E0-BC87-D15FCB4FEFA1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3-20210305T014156.csv" connectionId="25" xr16:uid="{0D636578-C26E-4625-86E8-AF36E3269F4A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3-20210305T022512.csv" connectionId="26" xr16:uid="{16CAE6C2-DAD9-4B01-8A30-8B0903CFF3CA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3-20210305T121955.csv" connectionId="27" xr16:uid="{EE3204FE-6E27-42E8-8BD8-342E1BC4C117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4-20210305T014522.csv" connectionId="28" xr16:uid="{B522E8E7-009C-4B5B-8A95-2125FB5728E5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4-20210305T022838.csv" connectionId="29" xr16:uid="{92DE1485-43E8-446E-97CC-862523116146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4-20210305T122321.csv" connectionId="30" xr16:uid="{1EA34C0F-9FA4-41C0-AA22-ED5719ABD232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5-20210305T014847.csv" connectionId="31" xr16:uid="{FC261A87-4A02-4CB6-A251-4D05CBBF58DE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5-20210305T023204.csv" connectionId="32" xr16:uid="{A5C4104E-DD74-4E3C-A868-4B61A0664885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5-20210305T122647.csv" connectionId="33" xr16:uid="{4C87353A-6A76-4023-BD40-F00DF87B7CF8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6-20210305T015212.csv" connectionId="34" xr16:uid="{5A1DF453-5ACF-434D-B30D-7CCBB7C8DB87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6-20210305T023529.csv" connectionId="35" xr16:uid="{E929D1EB-1399-4F46-9821-B2E3C7369A3D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BallPlateGen5_Fixture_P509-south-DC-1_6-20210305T123013.csv" connectionId="36" xr16:uid="{2991BF31-6D94-432F-9DDF-ADB5DAD61FC3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DF99A-8A7D-4BF6-95FE-2A1B5C4B7105}">
  <sheetPr codeName="Sheet44"/>
  <dimension ref="A1:BN140"/>
  <sheetViews>
    <sheetView tabSelected="1" workbookViewId="0"/>
  </sheetViews>
  <sheetFormatPr defaultRowHeight="15" x14ac:dyDescent="0.25"/>
  <cols>
    <col min="1" max="1" width="20.85546875" bestFit="1" customWidth="1"/>
    <col min="2" max="2" width="10.85546875" bestFit="1" customWidth="1"/>
    <col min="4" max="4" width="13.85546875" bestFit="1" customWidth="1"/>
    <col min="5" max="5" width="10.5703125" customWidth="1"/>
    <col min="66" max="66" width="13.85546875" bestFit="1" customWidth="1"/>
  </cols>
  <sheetData>
    <row r="1" spans="1:66" x14ac:dyDescent="0.25">
      <c r="A1" s="1" t="s">
        <v>15</v>
      </c>
      <c r="B1">
        <v>1</v>
      </c>
      <c r="D1">
        <v>3</v>
      </c>
      <c r="E1">
        <v>5</v>
      </c>
      <c r="F1">
        <v>4</v>
      </c>
      <c r="G1">
        <v>15</v>
      </c>
      <c r="H1">
        <v>16</v>
      </c>
      <c r="I1">
        <v>17</v>
      </c>
      <c r="J1">
        <v>18</v>
      </c>
      <c r="K1">
        <v>19</v>
      </c>
      <c r="V1">
        <v>10</v>
      </c>
      <c r="W1">
        <v>10</v>
      </c>
      <c r="X1">
        <v>10</v>
      </c>
      <c r="Y1">
        <v>11</v>
      </c>
      <c r="Z1">
        <v>11</v>
      </c>
      <c r="AA1">
        <v>11</v>
      </c>
      <c r="AB1">
        <v>12</v>
      </c>
      <c r="AC1">
        <v>12</v>
      </c>
      <c r="AD1">
        <v>12</v>
      </c>
      <c r="AE1">
        <v>13</v>
      </c>
      <c r="AF1">
        <v>13</v>
      </c>
      <c r="AG1">
        <v>13</v>
      </c>
      <c r="AH1">
        <v>14</v>
      </c>
      <c r="AI1">
        <v>14</v>
      </c>
      <c r="AJ1">
        <v>14</v>
      </c>
      <c r="AK1">
        <v>20</v>
      </c>
      <c r="AL1">
        <v>21</v>
      </c>
      <c r="AM1">
        <v>22</v>
      </c>
      <c r="AN1">
        <v>23</v>
      </c>
      <c r="AO1">
        <v>26</v>
      </c>
      <c r="AP1">
        <v>28</v>
      </c>
      <c r="AQ1">
        <v>24</v>
      </c>
      <c r="AR1">
        <v>25</v>
      </c>
      <c r="AS1">
        <v>29</v>
      </c>
      <c r="AT1">
        <v>27</v>
      </c>
      <c r="BG1">
        <v>15</v>
      </c>
      <c r="BH1">
        <v>16</v>
      </c>
      <c r="BI1">
        <v>17</v>
      </c>
      <c r="BJ1">
        <v>18</v>
      </c>
      <c r="BK1">
        <v>19</v>
      </c>
    </row>
    <row r="2" spans="1:66" x14ac:dyDescent="0.25">
      <c r="A2" s="1" t="s">
        <v>16</v>
      </c>
      <c r="B2">
        <v>2</v>
      </c>
      <c r="D2">
        <v>2</v>
      </c>
      <c r="E2">
        <v>2</v>
      </c>
      <c r="F2">
        <v>2</v>
      </c>
      <c r="G2">
        <v>7</v>
      </c>
      <c r="H2">
        <v>7</v>
      </c>
      <c r="I2">
        <v>7</v>
      </c>
      <c r="J2">
        <v>7</v>
      </c>
      <c r="K2">
        <v>7</v>
      </c>
      <c r="V2">
        <v>7</v>
      </c>
      <c r="W2">
        <v>8</v>
      </c>
      <c r="X2">
        <v>9</v>
      </c>
      <c r="Y2">
        <v>7</v>
      </c>
      <c r="Z2">
        <v>8</v>
      </c>
      <c r="AA2">
        <v>9</v>
      </c>
      <c r="AB2">
        <v>7</v>
      </c>
      <c r="AC2">
        <v>8</v>
      </c>
      <c r="AD2">
        <v>9</v>
      </c>
      <c r="AE2">
        <v>7</v>
      </c>
      <c r="AF2">
        <v>8</v>
      </c>
      <c r="AG2">
        <v>9</v>
      </c>
      <c r="AH2">
        <v>7</v>
      </c>
      <c r="AI2">
        <v>8</v>
      </c>
      <c r="AJ2">
        <v>9</v>
      </c>
      <c r="AK2">
        <v>7</v>
      </c>
      <c r="AL2">
        <v>7</v>
      </c>
      <c r="AM2">
        <v>7</v>
      </c>
      <c r="AN2">
        <v>7</v>
      </c>
      <c r="AO2">
        <v>7</v>
      </c>
      <c r="AP2">
        <v>7</v>
      </c>
      <c r="AQ2">
        <v>7</v>
      </c>
      <c r="AR2">
        <v>7</v>
      </c>
      <c r="AS2">
        <v>7</v>
      </c>
      <c r="AT2">
        <v>7</v>
      </c>
      <c r="BG2">
        <v>16</v>
      </c>
      <c r="BH2">
        <v>16</v>
      </c>
      <c r="BI2">
        <v>16</v>
      </c>
      <c r="BJ2">
        <v>16</v>
      </c>
      <c r="BK2">
        <v>16</v>
      </c>
    </row>
    <row r="3" spans="1:66" x14ac:dyDescent="0.25">
      <c r="A3" s="1"/>
    </row>
    <row r="4" spans="1:66" ht="15.75" thickBot="1" x14ac:dyDescent="0.3"/>
    <row r="5" spans="1:66" x14ac:dyDescent="0.25">
      <c r="A5" s="2" t="s">
        <v>17</v>
      </c>
      <c r="B5" s="2" t="s">
        <v>18</v>
      </c>
      <c r="C5" s="2" t="s">
        <v>19</v>
      </c>
      <c r="D5" s="2" t="s">
        <v>20</v>
      </c>
      <c r="E5" s="2" t="s">
        <v>21</v>
      </c>
      <c r="F5" s="3" t="s">
        <v>22</v>
      </c>
      <c r="G5" s="4" t="s">
        <v>0</v>
      </c>
      <c r="H5" s="5" t="s">
        <v>1</v>
      </c>
      <c r="I5" s="5" t="s">
        <v>2</v>
      </c>
      <c r="J5" s="5" t="s">
        <v>3</v>
      </c>
      <c r="K5" s="6" t="s">
        <v>4</v>
      </c>
      <c r="L5" s="4" t="s">
        <v>5</v>
      </c>
      <c r="M5" s="5" t="s">
        <v>6</v>
      </c>
      <c r="N5" s="5" t="s">
        <v>7</v>
      </c>
      <c r="O5" s="5" t="s">
        <v>8</v>
      </c>
      <c r="P5" s="5" t="s">
        <v>11</v>
      </c>
      <c r="Q5" s="5" t="s">
        <v>13</v>
      </c>
      <c r="R5" s="5" t="s">
        <v>9</v>
      </c>
      <c r="S5" s="5" t="s">
        <v>10</v>
      </c>
      <c r="T5" s="5" t="s">
        <v>14</v>
      </c>
      <c r="U5" s="6" t="s">
        <v>12</v>
      </c>
      <c r="V5" s="2" t="s">
        <v>23</v>
      </c>
      <c r="W5" s="2" t="s">
        <v>24</v>
      </c>
      <c r="X5" s="2" t="s">
        <v>25</v>
      </c>
      <c r="Y5" s="2" t="s">
        <v>26</v>
      </c>
      <c r="Z5" s="2" t="s">
        <v>27</v>
      </c>
      <c r="AA5" s="2" t="s">
        <v>28</v>
      </c>
      <c r="AB5" s="2" t="s">
        <v>29</v>
      </c>
      <c r="AC5" s="2" t="s">
        <v>30</v>
      </c>
      <c r="AD5" s="2" t="s">
        <v>31</v>
      </c>
      <c r="AE5" s="2" t="s">
        <v>32</v>
      </c>
      <c r="AF5" s="2" t="s">
        <v>33</v>
      </c>
      <c r="AG5" s="2" t="s">
        <v>34</v>
      </c>
      <c r="AH5" s="2" t="s">
        <v>35</v>
      </c>
      <c r="AI5" s="2" t="s">
        <v>36</v>
      </c>
      <c r="AJ5" s="2" t="s">
        <v>37</v>
      </c>
      <c r="AK5" s="2" t="s">
        <v>5</v>
      </c>
      <c r="AL5" s="2" t="s">
        <v>6</v>
      </c>
      <c r="AM5" s="2" t="s">
        <v>7</v>
      </c>
      <c r="AN5" s="2" t="s">
        <v>8</v>
      </c>
      <c r="AO5" s="2" t="s">
        <v>11</v>
      </c>
      <c r="AP5" s="2" t="s">
        <v>13</v>
      </c>
      <c r="AQ5" s="2" t="s">
        <v>9</v>
      </c>
      <c r="AR5" s="2" t="s">
        <v>10</v>
      </c>
      <c r="AS5" s="2" t="s">
        <v>14</v>
      </c>
      <c r="AT5" s="2" t="s">
        <v>12</v>
      </c>
      <c r="BG5" s="2" t="s">
        <v>86</v>
      </c>
      <c r="BH5" s="2" t="s">
        <v>87</v>
      </c>
      <c r="BI5" s="2" t="s">
        <v>88</v>
      </c>
      <c r="BJ5" s="2" t="s">
        <v>89</v>
      </c>
      <c r="BK5" s="2" t="s">
        <v>90</v>
      </c>
    </row>
    <row r="6" spans="1:66" x14ac:dyDescent="0.25">
      <c r="A6" s="2"/>
      <c r="B6" s="2"/>
      <c r="C6" s="2"/>
      <c r="D6" s="2"/>
      <c r="E6" s="2"/>
      <c r="F6" s="7" t="s">
        <v>38</v>
      </c>
      <c r="G6" s="8" t="s">
        <v>39</v>
      </c>
      <c r="H6" s="2" t="s">
        <v>39</v>
      </c>
      <c r="I6" s="2" t="s">
        <v>39</v>
      </c>
      <c r="J6" s="2" t="s">
        <v>39</v>
      </c>
      <c r="K6" s="9" t="s">
        <v>39</v>
      </c>
      <c r="L6" s="8" t="s">
        <v>39</v>
      </c>
      <c r="M6" s="2" t="s">
        <v>39</v>
      </c>
      <c r="N6" s="2" t="s">
        <v>39</v>
      </c>
      <c r="O6" s="2" t="s">
        <v>39</v>
      </c>
      <c r="P6" s="2" t="s">
        <v>39</v>
      </c>
      <c r="Q6" s="2" t="s">
        <v>39</v>
      </c>
      <c r="R6" s="2" t="s">
        <v>39</v>
      </c>
      <c r="S6" s="2" t="s">
        <v>39</v>
      </c>
      <c r="T6" s="2" t="s">
        <v>39</v>
      </c>
      <c r="U6" s="9" t="s">
        <v>39</v>
      </c>
      <c r="V6" s="2" t="s">
        <v>39</v>
      </c>
      <c r="W6" s="2" t="s">
        <v>39</v>
      </c>
      <c r="X6" s="2" t="s">
        <v>39</v>
      </c>
      <c r="Y6" s="2" t="s">
        <v>39</v>
      </c>
      <c r="Z6" s="2" t="s">
        <v>39</v>
      </c>
      <c r="AA6" s="2" t="s">
        <v>39</v>
      </c>
      <c r="AB6" s="2" t="s">
        <v>39</v>
      </c>
      <c r="AC6" s="2" t="s">
        <v>39</v>
      </c>
      <c r="AD6" s="2" t="s">
        <v>39</v>
      </c>
      <c r="AE6" s="2" t="s">
        <v>39</v>
      </c>
      <c r="AF6" s="2" t="s">
        <v>39</v>
      </c>
      <c r="AG6" s="2" t="s">
        <v>39</v>
      </c>
      <c r="AH6" s="2" t="s">
        <v>39</v>
      </c>
      <c r="AI6" s="2" t="s">
        <v>39</v>
      </c>
      <c r="AJ6" s="2" t="s">
        <v>39</v>
      </c>
      <c r="AK6" s="2" t="s">
        <v>39</v>
      </c>
      <c r="AL6" s="2" t="s">
        <v>39</v>
      </c>
      <c r="AM6" s="2" t="s">
        <v>39</v>
      </c>
      <c r="AN6" s="2" t="s">
        <v>39</v>
      </c>
      <c r="AO6" s="2" t="s">
        <v>39</v>
      </c>
      <c r="AP6" s="2" t="s">
        <v>39</v>
      </c>
      <c r="AQ6" s="2" t="s">
        <v>39</v>
      </c>
      <c r="AR6" s="2" t="s">
        <v>39</v>
      </c>
      <c r="AS6" s="2" t="s">
        <v>39</v>
      </c>
      <c r="AT6" s="2" t="s">
        <v>39</v>
      </c>
      <c r="BG6" s="2" t="s">
        <v>39</v>
      </c>
      <c r="BH6" s="2" t="s">
        <v>39</v>
      </c>
      <c r="BI6" s="2" t="s">
        <v>39</v>
      </c>
      <c r="BJ6" s="2" t="s">
        <v>39</v>
      </c>
      <c r="BK6" s="2" t="s">
        <v>39</v>
      </c>
    </row>
    <row r="7" spans="1:66" x14ac:dyDescent="0.25">
      <c r="A7" t="s">
        <v>68</v>
      </c>
      <c r="B7" t="str" cm="1">
        <f t="array" aca="1" ref="B7" ca="1">LEFT(INDIRECT(ADDRESS(B$1,B$2,1,1,$A7)),FIND("-",INDIRECT(ADDRESS(B$1,B$2,1,1,$A7)))-1)</f>
        <v>P509</v>
      </c>
      <c r="C7" t="str" cm="1">
        <f t="array" aca="1" ref="C7" ca="1">RIGHT(INDIRECT(ADDRESS(B$1,B$2,1,1,$A7)),LEN(INDIRECT(ADDRESS(B$1,B$2,1,1,$A7)))-FIND("-",INDIRECT(ADDRESS(B$1,B$2,1,1,$A7))))</f>
        <v>south</v>
      </c>
      <c r="D7" s="10" cm="1">
        <f t="array" aca="1" ref="D7" ca="1">DATE(MID(INDIRECT(ADDRESS(D$1,D$2,1,1,$A7)),1,4),MID(INDIRECT(ADDRESS(D$1,D$2,1,1,$A7)),5,2),MID(INDIRECT(ADDRESS(D$1,D$2,1,1,$A7)),7,2))+TIME(MID(INDIRECT(ADDRESS(D$1,D$2,1,1,$A7)),10,2),MID(INDIRECT(ADDRESS(D$1,D$2,1,1,$A7)),12,2),0)</f>
        <v>44260.563194444447</v>
      </c>
      <c r="E7" cm="1">
        <f t="array" aca="1" ref="E7" ca="1">INDIRECT(ADDRESS(E$1,E$2,1,1,$A7))</f>
        <v>0</v>
      </c>
      <c r="F7" s="11" cm="1">
        <f t="array" aca="1" ref="F7" ca="1">VALUE(SUBSTITUTE(INDIRECT(ADDRESS(F$1,F$2,1,1,$A7)),"┬░C",""))</f>
        <v>19.2</v>
      </c>
      <c r="G7" s="12" cm="1">
        <f t="array" aca="1" ref="G7" ca="1">INDIRECT(ADDRESS(G$1,G$2,1,1,$A7))</f>
        <v>25.3996</v>
      </c>
      <c r="H7" cm="1">
        <f t="array" aca="1" ref="H7" ca="1">INDIRECT(ADDRESS(H$1,H$2,1,1,$A7))</f>
        <v>25.403700000000001</v>
      </c>
      <c r="I7" cm="1">
        <f t="array" aca="1" ref="I7" ca="1">INDIRECT(ADDRESS(I$1,I$2,1,1,$A7))</f>
        <v>25.403099999999998</v>
      </c>
      <c r="J7" cm="1">
        <f t="array" aca="1" ref="J7" ca="1">INDIRECT(ADDRESS(J$1,J$2,1,1,$A7))</f>
        <v>25.404699999999998</v>
      </c>
      <c r="K7" s="13" cm="1">
        <f t="array" aca="1" ref="K7" ca="1">INDIRECT(ADDRESS(K$1,K$2,1,1,$A7))</f>
        <v>25.403500000000001</v>
      </c>
      <c r="L7" s="14" cm="1">
        <f t="array" aca="1" ref="L7" ca="1">SQRT(SUMSQ(Y7:AA7-V7:X7))</f>
        <v>72.87994626953288</v>
      </c>
      <c r="M7" s="15" cm="1">
        <f t="array" aca="1" ref="M7" ca="1">SQRT(SUMSQ(AB7:AD7-V7:X7))</f>
        <v>73.712292485446412</v>
      </c>
      <c r="N7" s="15" cm="1">
        <f t="array" aca="1" ref="N7" ca="1">SQRT(SUMSQ(AE7:AG7-V7:X7))</f>
        <v>72.341323913583437</v>
      </c>
      <c r="O7" s="15" cm="1">
        <f t="array" aca="1" ref="O7" ca="1">SQRT(SUMSQ(AH7:AJ7-V7:X7))</f>
        <v>71.963356443192666</v>
      </c>
      <c r="P7" s="15" cm="1">
        <f t="array" aca="1" ref="P7" ca="1">SQRT(SUMSQ(AB7:AD7-Y7:AA7))</f>
        <v>125.93290014293325</v>
      </c>
      <c r="Q7" s="15" cm="1">
        <f t="array" aca="1" ref="Q7" ca="1">SQRT(SUMSQ(AE7:AG7-Y7:AA7))</f>
        <v>145.21835589986549</v>
      </c>
      <c r="R7" s="15" cm="1">
        <f t="array" aca="1" ref="R7" ca="1">SQRT(SUMSQ(AH7:AJ7-Y7:AA7))</f>
        <v>74.989421944564953</v>
      </c>
      <c r="S7" s="15" cm="1">
        <f t="array" aca="1" ref="S7" ca="1">SQRT(SUMSQ(AE7:AG7-AB7:AD7))</f>
        <v>73.984364546639171</v>
      </c>
      <c r="T7" s="15" cm="1">
        <f t="array" aca="1" ref="T7" ca="1">SQRT(SUMSQ(AH7:AJ7-AB7:AD7))</f>
        <v>145.67220715678747</v>
      </c>
      <c r="U7" s="16" cm="1">
        <f t="array" aca="1" ref="U7" ca="1">SQRT(SUMSQ(AH7:AJ7-AE7:AG7))</f>
        <v>123.9258688258428</v>
      </c>
      <c r="V7" cm="1">
        <f t="array" aca="1" ref="V7" ca="1">INDIRECT(ADDRESS(V$1,V$2,1,1,$A7))</f>
        <v>0</v>
      </c>
      <c r="W7" cm="1">
        <f t="array" aca="1" ref="W7" ca="1">INDIRECT(ADDRESS(W$1,W$2,1,1,$A7))</f>
        <v>0</v>
      </c>
      <c r="X7" cm="1">
        <f t="array" aca="1" ref="X7" ca="1">INDIRECT(ADDRESS(X$1,X$2,1,1,$A7))</f>
        <v>0</v>
      </c>
      <c r="Y7" cm="1">
        <f t="array" aca="1" ref="Y7" ca="1">INDIRECT(ADDRESS(Y$1,Y$2,1,1,$A7))</f>
        <v>62.481999999999999</v>
      </c>
      <c r="Z7" cm="1">
        <f t="array" aca="1" ref="Z7" ca="1">INDIRECT(ADDRESS(Z$1,Z$2,1,1,$A7))</f>
        <v>37.516399999999997</v>
      </c>
      <c r="AA7" cm="1">
        <f t="array" aca="1" ref="AA7" ca="1">INDIRECT(ADDRESS(AA$1,AA$2,1,1,$A7))</f>
        <v>7.7299999999999994E-2</v>
      </c>
      <c r="AB7" cm="1">
        <f t="array" aca="1" ref="AB7" ca="1">INDIRECT(ADDRESS(AB$1,AB$2,1,1,$A7))</f>
        <v>-63.450899999999997</v>
      </c>
      <c r="AC7" cm="1">
        <f t="array" aca="1" ref="AC7" ca="1">INDIRECT(ADDRESS(AC$1,AC$2,1,1,$A7))</f>
        <v>37.516399999999997</v>
      </c>
      <c r="AD7" cm="1">
        <f t="array" aca="1" ref="AD7" ca="1">INDIRECT(ADDRESS(AD$1,AD$2,1,1,$A7))</f>
        <v>7.1300000000000002E-2</v>
      </c>
      <c r="AE7" cm="1">
        <f t="array" aca="1" ref="AE7" ca="1">INDIRECT(ADDRESS(AE$1,AE$2,1,1,$A7))</f>
        <v>-62.480499999999999</v>
      </c>
      <c r="AF7" cm="1">
        <f t="array" aca="1" ref="AF7" ca="1">INDIRECT(ADDRESS(AF$1,AF$2,1,1,$A7))</f>
        <v>-36.461599999999997</v>
      </c>
      <c r="AG7" cm="1">
        <f t="array" aca="1" ref="AG7" ca="1">INDIRECT(ADDRESS(AG$1,AG$2,1,1,$A7))</f>
        <v>7.7399999999999997E-2</v>
      </c>
      <c r="AH7" cm="1">
        <f t="array" aca="1" ref="AH7" ca="1">INDIRECT(ADDRESS(AH$1,AH$2,1,1,$A7))</f>
        <v>61.441299999999998</v>
      </c>
      <c r="AI7" cm="1">
        <f t="array" aca="1" ref="AI7" ca="1">INDIRECT(ADDRESS(AI$1,AI$2,1,1,$A7))</f>
        <v>-37.465800000000002</v>
      </c>
      <c r="AJ7" cm="1">
        <f t="array" aca="1" ref="AJ7" ca="1">INDIRECT(ADDRESS(AJ$1,AJ$2,1,1,$A7))</f>
        <v>7.1800000000000003E-2</v>
      </c>
      <c r="AK7" s="15" cm="1">
        <f t="array" aca="1" ref="AK7" ca="1">INDIRECT(ADDRESS(AK$1,AK$2,1,1,$A7))</f>
        <v>72.879900000000006</v>
      </c>
      <c r="AL7" s="15" cm="1">
        <f t="array" aca="1" ref="AL7" ca="1">INDIRECT(ADDRESS(AL$1,AL$2,1,1,$A7))</f>
        <v>73.712299999999999</v>
      </c>
      <c r="AM7" s="15" cm="1">
        <f t="array" aca="1" ref="AM7" ca="1">INDIRECT(ADDRESS(AM$1,AM$2,1,1,$A7))</f>
        <v>72.341300000000004</v>
      </c>
      <c r="AN7" s="15" cm="1">
        <f t="array" aca="1" ref="AN7" ca="1">INDIRECT(ADDRESS(AN$1,AN$2,1,1,$A7))</f>
        <v>71.963300000000004</v>
      </c>
      <c r="AO7" s="15" cm="1">
        <f t="array" aca="1" ref="AO7" ca="1">INDIRECT(ADDRESS(AO$1,AO$2,1,1,$A7))</f>
        <v>125.9329</v>
      </c>
      <c r="AP7" s="15" cm="1">
        <f t="array" aca="1" ref="AP7" ca="1">INDIRECT(ADDRESS(AP$1,AP$2,1,1,$A7))</f>
        <v>145.2183</v>
      </c>
      <c r="AQ7" s="15" cm="1">
        <f t="array" aca="1" ref="AQ7" ca="1">INDIRECT(ADDRESS(AQ$1,AQ$2,1,1,$A7))</f>
        <v>74.989500000000007</v>
      </c>
      <c r="AR7" s="15" cm="1">
        <f t="array" aca="1" ref="AR7" ca="1">INDIRECT(ADDRESS(AR$1,AR$2,1,1,$A7))</f>
        <v>73.984399999999994</v>
      </c>
      <c r="AS7" s="15" cm="1">
        <f t="array" aca="1" ref="AS7" ca="1">INDIRECT(ADDRESS(AS$1,AS$2,1,1,$A7))</f>
        <v>145.6722</v>
      </c>
      <c r="AT7" s="15" cm="1">
        <f t="array" aca="1" ref="AT7" ca="1">INDIRECT(ADDRESS(AT$1,AT$2,1,1,$A7))</f>
        <v>123.9258</v>
      </c>
      <c r="AV7" s="15">
        <f t="shared" ref="AV7:AV42" ca="1" si="0">AK7-L7</f>
        <v>-4.6269532873566277E-5</v>
      </c>
      <c r="AW7" s="15">
        <f t="shared" ref="AW7:AW42" ca="1" si="1">AL7-M7</f>
        <v>7.5145535873843983E-6</v>
      </c>
      <c r="AX7" s="15">
        <f t="shared" ref="AX7:AX42" ca="1" si="2">AM7-N7</f>
        <v>-2.3913583433454733E-5</v>
      </c>
      <c r="AY7" s="15">
        <f t="shared" ref="AY7:AY42" ca="1" si="3">AN7-O7</f>
        <v>-5.6443192661959074E-5</v>
      </c>
      <c r="AZ7" s="15">
        <f t="shared" ref="AZ7:AZ42" ca="1" si="4">AO7-P7</f>
        <v>-1.4293324568370736E-7</v>
      </c>
      <c r="BA7" s="15">
        <f t="shared" ref="BA7:BA42" ca="1" si="5">AP7-Q7</f>
        <v>-5.5899865486708222E-5</v>
      </c>
      <c r="BB7" s="15">
        <f t="shared" ref="BB7:BB42" ca="1" si="6">AQ7-R7</f>
        <v>7.8055435054125155E-5</v>
      </c>
      <c r="BC7" s="15">
        <f t="shared" ref="BC7:BC42" ca="1" si="7">AR7-S7</f>
        <v>3.5453360823112234E-5</v>
      </c>
      <c r="BD7" s="15">
        <f t="shared" ref="BD7:BD42" ca="1" si="8">AS7-T7</f>
        <v>-7.1567874613265303E-6</v>
      </c>
      <c r="BE7" s="15">
        <f t="shared" ref="BE7:BE42" ca="1" si="9">AT7-U7</f>
        <v>-6.8825842802766601E-5</v>
      </c>
      <c r="BG7" s="15" cm="1">
        <f t="array" aca="1" ref="BG7" ca="1">INDIRECT(ADDRESS(BG$1,BG$2,1,1,$A7))</f>
        <v>6.3E-3</v>
      </c>
      <c r="BH7" s="15" cm="1">
        <f t="array" aca="1" ref="BH7" ca="1">INDIRECT(ADDRESS(BH$1,BH$2,1,1,$A7))</f>
        <v>9.9000000000000008E-3</v>
      </c>
      <c r="BI7" s="15" cm="1">
        <f t="array" aca="1" ref="BI7" ca="1">INDIRECT(ADDRESS(BI$1,BI$2,1,1,$A7))</f>
        <v>7.7999999999999996E-3</v>
      </c>
      <c r="BJ7" s="15" cm="1">
        <f t="array" aca="1" ref="BJ7" ca="1">INDIRECT(ADDRESS(BJ$1,BJ$2,1,1,$A7))</f>
        <v>7.7999999999999996E-3</v>
      </c>
      <c r="BK7" s="15" cm="1">
        <f t="array" aca="1" ref="BK7" ca="1">INDIRECT(ADDRESS(BK$1,BK$2,1,1,$A7))</f>
        <v>1.3599999999999999E-2</v>
      </c>
      <c r="BN7" s="31"/>
    </row>
    <row r="8" spans="1:66" x14ac:dyDescent="0.25">
      <c r="A8" t="s">
        <v>71</v>
      </c>
      <c r="B8" t="str" cm="1">
        <f t="array" aca="1" ref="B8" ca="1">LEFT(INDIRECT(ADDRESS(B$1,B$2,1,1,$A8)),FIND("-",INDIRECT(ADDRESS(B$1,B$2,1,1,$A8)))-1)</f>
        <v>P509</v>
      </c>
      <c r="C8" t="str" cm="1">
        <f t="array" aca="1" ref="C8" ca="1">RIGHT(INDIRECT(ADDRESS(B$1,B$2,1,1,$A8)),LEN(INDIRECT(ADDRESS(B$1,B$2,1,1,$A8)))-FIND("-",INDIRECT(ADDRESS(B$1,B$2,1,1,$A8))))</f>
        <v>south</v>
      </c>
      <c r="D8" s="10" cm="1">
        <f t="array" aca="1" ref="D8" ca="1">DATE(MID(INDIRECT(ADDRESS(D$1,D$2,1,1,$A8)),1,4),MID(INDIRECT(ADDRESS(D$1,D$2,1,1,$A8)),5,2),MID(INDIRECT(ADDRESS(D$1,D$2,1,1,$A8)),7,2))+TIME(MID(INDIRECT(ADDRESS(D$1,D$2,1,1,$A8)),10,2),MID(INDIRECT(ADDRESS(D$1,D$2,1,1,$A8)),12,2),0)</f>
        <v>44260.565972222219</v>
      </c>
      <c r="E8" cm="1">
        <f t="array" aca="1" ref="E8" ca="1">INDIRECT(ADDRESS(E$1,E$2,1,1,$A8))</f>
        <v>0</v>
      </c>
      <c r="F8" s="11" cm="1">
        <f t="array" aca="1" ref="F8" ca="1">VALUE(SUBSTITUTE(INDIRECT(ADDRESS(F$1,F$2,1,1,$A8)),"┬░C",""))</f>
        <v>19.2</v>
      </c>
      <c r="G8" s="12" cm="1">
        <f t="array" aca="1" ref="G8" ca="1">INDIRECT(ADDRESS(G$1,G$2,1,1,$A8))</f>
        <v>25.4</v>
      </c>
      <c r="H8" cm="1">
        <f t="array" aca="1" ref="H8" ca="1">INDIRECT(ADDRESS(H$1,H$2,1,1,$A8))</f>
        <v>25.403199999999998</v>
      </c>
      <c r="I8" cm="1">
        <f t="array" aca="1" ref="I8" ca="1">INDIRECT(ADDRESS(I$1,I$2,1,1,$A8))</f>
        <v>25.403400000000001</v>
      </c>
      <c r="J8" cm="1">
        <f t="array" aca="1" ref="J8" ca="1">INDIRECT(ADDRESS(J$1,J$2,1,1,$A8))</f>
        <v>25.4054</v>
      </c>
      <c r="K8" s="13" cm="1">
        <f t="array" aca="1" ref="K8" ca="1">INDIRECT(ADDRESS(K$1,K$2,1,1,$A8))</f>
        <v>25.403700000000001</v>
      </c>
      <c r="L8" s="14" cm="1">
        <f t="array" aca="1" ref="L8" ca="1">SQRT(SUMSQ(Y8:AA8-V8:X8))</f>
        <v>72.879980448405718</v>
      </c>
      <c r="M8" s="15" cm="1">
        <f t="array" aca="1" ref="M8" ca="1">SQRT(SUMSQ(AB8:AD8-V8:X8))</f>
        <v>73.711555660154133</v>
      </c>
      <c r="N8" s="15" cm="1">
        <f t="array" aca="1" ref="N8" ca="1">SQRT(SUMSQ(AE8:AG8-V8:X8))</f>
        <v>72.341914415987077</v>
      </c>
      <c r="O8" s="15" cm="1">
        <f t="array" aca="1" ref="O8" ca="1">SQRT(SUMSQ(AH8:AJ8-V8:X8))</f>
        <v>71.965019215379911</v>
      </c>
      <c r="P8" s="15" cm="1">
        <f t="array" aca="1" ref="P8" ca="1">SQRT(SUMSQ(AB8:AD8-Y8:AA8))</f>
        <v>125.93280020582405</v>
      </c>
      <c r="Q8" s="15" cm="1">
        <f t="array" aca="1" ref="Q8" ca="1">SQRT(SUMSQ(AE8:AG8-Y8:AA8))</f>
        <v>145.2189899275229</v>
      </c>
      <c r="R8" s="15" cm="1">
        <f t="array" aca="1" ref="R8" ca="1">SQRT(SUMSQ(AH8:AJ8-Y8:AA8))</f>
        <v>74.989708142051072</v>
      </c>
      <c r="S8" s="15" cm="1">
        <f t="array" aca="1" ref="S8" ca="1">SQRT(SUMSQ(AE8:AG8-AB8:AD8))</f>
        <v>73.984756753604316</v>
      </c>
      <c r="T8" s="15" cm="1">
        <f t="array" aca="1" ref="T8" ca="1">SQRT(SUMSQ(AH8:AJ8-AB8:AD8))</f>
        <v>145.6731331924662</v>
      </c>
      <c r="U8" s="16" cm="1">
        <f t="array" aca="1" ref="U8" ca="1">SQRT(SUMSQ(AH8:AJ8-AE8:AG8))</f>
        <v>123.92736802635649</v>
      </c>
      <c r="V8" cm="1">
        <f t="array" aca="1" ref="V8" ca="1">INDIRECT(ADDRESS(V$1,V$2,1,1,$A8))</f>
        <v>0</v>
      </c>
      <c r="W8" cm="1">
        <f t="array" aca="1" ref="W8" ca="1">INDIRECT(ADDRESS(W$1,W$2,1,1,$A8))</f>
        <v>0</v>
      </c>
      <c r="X8" cm="1">
        <f t="array" aca="1" ref="X8" ca="1">INDIRECT(ADDRESS(X$1,X$2,1,1,$A8))</f>
        <v>0</v>
      </c>
      <c r="Y8" cm="1">
        <f t="array" aca="1" ref="Y8" ca="1">INDIRECT(ADDRESS(Y$1,Y$2,1,1,$A8))</f>
        <v>62.482399999999998</v>
      </c>
      <c r="Z8" cm="1">
        <f t="array" aca="1" ref="Z8" ca="1">INDIRECT(ADDRESS(Z$1,Z$2,1,1,$A8))</f>
        <v>37.515799999999999</v>
      </c>
      <c r="AA8" cm="1">
        <f t="array" aca="1" ref="AA8" ca="1">INDIRECT(ADDRESS(AA$1,AA$2,1,1,$A8))</f>
        <v>7.7399999999999997E-2</v>
      </c>
      <c r="AB8" cm="1">
        <f t="array" aca="1" ref="AB8" ca="1">INDIRECT(ADDRESS(AB$1,AB$2,1,1,$A8))</f>
        <v>-63.450400000000002</v>
      </c>
      <c r="AC8" cm="1">
        <f t="array" aca="1" ref="AC8" ca="1">INDIRECT(ADDRESS(AC$1,AC$2,1,1,$A8))</f>
        <v>37.515799999999999</v>
      </c>
      <c r="AD8" cm="1">
        <f t="array" aca="1" ref="AD8" ca="1">INDIRECT(ADDRESS(AD$1,AD$2,1,1,$A8))</f>
        <v>7.0199999999999999E-2</v>
      </c>
      <c r="AE8" cm="1">
        <f t="array" aca="1" ref="AE8" ca="1">INDIRECT(ADDRESS(AE$1,AE$2,1,1,$A8))</f>
        <v>-62.480600000000003</v>
      </c>
      <c r="AF8" cm="1">
        <f t="array" aca="1" ref="AF8" ca="1">INDIRECT(ADDRESS(AF$1,AF$2,1,1,$A8))</f>
        <v>-36.462600000000002</v>
      </c>
      <c r="AG8" cm="1">
        <f t="array" aca="1" ref="AG8" ca="1">INDIRECT(ADDRESS(AG$1,AG$2,1,1,$A8))</f>
        <v>7.7499999999999999E-2</v>
      </c>
      <c r="AH8" cm="1">
        <f t="array" aca="1" ref="AH8" ca="1">INDIRECT(ADDRESS(AH$1,AH$2,1,1,$A8))</f>
        <v>61.442700000000002</v>
      </c>
      <c r="AI8" cm="1">
        <f t="array" aca="1" ref="AI8" ca="1">INDIRECT(ADDRESS(AI$1,AI$2,1,1,$A8))</f>
        <v>-37.466700000000003</v>
      </c>
      <c r="AJ8" cm="1">
        <f t="array" aca="1" ref="AJ8" ca="1">INDIRECT(ADDRESS(AJ$1,AJ$2,1,1,$A8))</f>
        <v>7.0699999999999999E-2</v>
      </c>
      <c r="AK8" s="15" cm="1">
        <f t="array" aca="1" ref="AK8" ca="1">INDIRECT(ADDRESS(AK$1,AK$2,1,1,$A8))</f>
        <v>72.88</v>
      </c>
      <c r="AL8" s="15" cm="1">
        <f t="array" aca="1" ref="AL8" ca="1">INDIRECT(ADDRESS(AL$1,AL$2,1,1,$A8))</f>
        <v>73.711600000000004</v>
      </c>
      <c r="AM8" s="15" cm="1">
        <f t="array" aca="1" ref="AM8" ca="1">INDIRECT(ADDRESS(AM$1,AM$2,1,1,$A8))</f>
        <v>72.341899999999995</v>
      </c>
      <c r="AN8" s="15" cm="1">
        <f t="array" aca="1" ref="AN8" ca="1">INDIRECT(ADDRESS(AN$1,AN$2,1,1,$A8))</f>
        <v>71.965000000000003</v>
      </c>
      <c r="AO8" s="15" cm="1">
        <f t="array" aca="1" ref="AO8" ca="1">INDIRECT(ADDRESS(AO$1,AO$2,1,1,$A8))</f>
        <v>125.9329</v>
      </c>
      <c r="AP8" s="15" cm="1">
        <f t="array" aca="1" ref="AP8" ca="1">INDIRECT(ADDRESS(AP$1,AP$2,1,1,$A8))</f>
        <v>145.2191</v>
      </c>
      <c r="AQ8" s="15" cm="1">
        <f t="array" aca="1" ref="AQ8" ca="1">INDIRECT(ADDRESS(AQ$1,AQ$2,1,1,$A8))</f>
        <v>74.989699999999999</v>
      </c>
      <c r="AR8" s="15" cm="1">
        <f t="array" aca="1" ref="AR8" ca="1">INDIRECT(ADDRESS(AR$1,AR$2,1,1,$A8))</f>
        <v>73.984700000000004</v>
      </c>
      <c r="AS8" s="15" cm="1">
        <f t="array" aca="1" ref="AS8" ca="1">INDIRECT(ADDRESS(AS$1,AS$2,1,1,$A8))</f>
        <v>145.67310000000001</v>
      </c>
      <c r="AT8" s="15" cm="1">
        <f t="array" aca="1" ref="AT8" ca="1">INDIRECT(ADDRESS(AT$1,AT$2,1,1,$A8))</f>
        <v>123.92740000000001</v>
      </c>
      <c r="AV8" s="15">
        <f t="shared" ca="1" si="0"/>
        <v>1.9551594277800177E-5</v>
      </c>
      <c r="AW8" s="15">
        <f t="shared" ca="1" si="1"/>
        <v>4.4339845871377292E-5</v>
      </c>
      <c r="AX8" s="15">
        <f t="shared" ca="1" si="2"/>
        <v>-1.4415987081406456E-5</v>
      </c>
      <c r="AY8" s="15">
        <f t="shared" ca="1" si="3"/>
        <v>-1.9215379907677743E-5</v>
      </c>
      <c r="AZ8" s="15">
        <f t="shared" ca="1" si="4"/>
        <v>9.979417595218365E-5</v>
      </c>
      <c r="BA8" s="15">
        <f t="shared" ca="1" si="5"/>
        <v>1.100724770992656E-4</v>
      </c>
      <c r="BB8" s="15">
        <f t="shared" ca="1" si="6"/>
        <v>-8.1420510724683481E-6</v>
      </c>
      <c r="BC8" s="15">
        <f t="shared" ca="1" si="7"/>
        <v>-5.6753604312120842E-5</v>
      </c>
      <c r="BD8" s="15">
        <f t="shared" ca="1" si="8"/>
        <v>-3.3192466190712366E-5</v>
      </c>
      <c r="BE8" s="15">
        <f t="shared" ca="1" si="9"/>
        <v>3.1973643515925687E-5</v>
      </c>
      <c r="BG8" s="15" cm="1">
        <f t="array" aca="1" ref="BG8" ca="1">INDIRECT(ADDRESS(BG$1,BG$2,1,1,$A8))</f>
        <v>1.1599999999999999E-2</v>
      </c>
      <c r="BH8" s="15" cm="1">
        <f t="array" aca="1" ref="BH8" ca="1">INDIRECT(ADDRESS(BH$1,BH$2,1,1,$A8))</f>
        <v>1.66E-2</v>
      </c>
      <c r="BI8" s="15" cm="1">
        <f t="array" aca="1" ref="BI8" ca="1">INDIRECT(ADDRESS(BI$1,BI$2,1,1,$A8))</f>
        <v>1.7399999999999999E-2</v>
      </c>
      <c r="BJ8" s="15" cm="1">
        <f t="array" aca="1" ref="BJ8" ca="1">INDIRECT(ADDRESS(BJ$1,BJ$2,1,1,$A8))</f>
        <v>1.6E-2</v>
      </c>
      <c r="BK8" s="15" cm="1">
        <f t="array" aca="1" ref="BK8" ca="1">INDIRECT(ADDRESS(BK$1,BK$2,1,1,$A8))</f>
        <v>5.8999999999999999E-3</v>
      </c>
      <c r="BN8" s="32"/>
    </row>
    <row r="9" spans="1:66" x14ac:dyDescent="0.25">
      <c r="A9" t="s">
        <v>74</v>
      </c>
      <c r="B9" t="str" cm="1">
        <f t="array" aca="1" ref="B9" ca="1">LEFT(INDIRECT(ADDRESS(B$1,B$2,1,1,$A9)),FIND("-",INDIRECT(ADDRESS(B$1,B$2,1,1,$A9)))-1)</f>
        <v>P509</v>
      </c>
      <c r="C9" t="str" cm="1">
        <f t="array" aca="1" ref="C9" ca="1">RIGHT(INDIRECT(ADDRESS(B$1,B$2,1,1,$A9)),LEN(INDIRECT(ADDRESS(B$1,B$2,1,1,$A9)))-FIND("-",INDIRECT(ADDRESS(B$1,B$2,1,1,$A9))))</f>
        <v>south</v>
      </c>
      <c r="D9" s="10" cm="1">
        <f t="array" aca="1" ref="D9" ca="1">DATE(MID(INDIRECT(ADDRESS(D$1,D$2,1,1,$A9)),1,4),MID(INDIRECT(ADDRESS(D$1,D$2,1,1,$A9)),5,2),MID(INDIRECT(ADDRESS(D$1,D$2,1,1,$A9)),7,2))+TIME(MID(INDIRECT(ADDRESS(D$1,D$2,1,1,$A9)),10,2),MID(INDIRECT(ADDRESS(D$1,D$2,1,1,$A9)),12,2),0)</f>
        <v>44260.568055555559</v>
      </c>
      <c r="E9" cm="1">
        <f t="array" aca="1" ref="E9" ca="1">INDIRECT(ADDRESS(E$1,E$2,1,1,$A9))</f>
        <v>0</v>
      </c>
      <c r="F9" s="11" cm="1">
        <f t="array" aca="1" ref="F9" ca="1">VALUE(SUBSTITUTE(INDIRECT(ADDRESS(F$1,F$2,1,1,$A9)),"┬░C",""))</f>
        <v>19.2</v>
      </c>
      <c r="G9" s="12" cm="1">
        <f t="array" aca="1" ref="G9" ca="1">INDIRECT(ADDRESS(G$1,G$2,1,1,$A9))</f>
        <v>25.399799999999999</v>
      </c>
      <c r="H9" cm="1">
        <f t="array" aca="1" ref="H9" ca="1">INDIRECT(ADDRESS(H$1,H$2,1,1,$A9))</f>
        <v>25.402899999999999</v>
      </c>
      <c r="I9" cm="1">
        <f t="array" aca="1" ref="I9" ca="1">INDIRECT(ADDRESS(I$1,I$2,1,1,$A9))</f>
        <v>25.403300000000002</v>
      </c>
      <c r="J9" cm="1">
        <f t="array" aca="1" ref="J9" ca="1">INDIRECT(ADDRESS(J$1,J$2,1,1,$A9))</f>
        <v>25.4053</v>
      </c>
      <c r="K9" s="13" cm="1">
        <f t="array" aca="1" ref="K9" ca="1">INDIRECT(ADDRESS(K$1,K$2,1,1,$A9))</f>
        <v>25.403400000000001</v>
      </c>
      <c r="L9" s="14" cm="1">
        <f t="array" aca="1" ref="L9" ca="1">SQRT(SUMSQ(Y9:AA9-V9:X9))</f>
        <v>72.880511643442787</v>
      </c>
      <c r="M9" s="15" cm="1">
        <f t="array" aca="1" ref="M9" ca="1">SQRT(SUMSQ(AB9:AD9-V9:X9))</f>
        <v>73.711313325431945</v>
      </c>
      <c r="N9" s="15" cm="1">
        <f t="array" aca="1" ref="N9" ca="1">SQRT(SUMSQ(AE9:AG9-V9:X9))</f>
        <v>72.34129497161355</v>
      </c>
      <c r="O9" s="15" cm="1">
        <f t="array" aca="1" ref="O9" ca="1">SQRT(SUMSQ(AH9:AJ9-V9:X9))</f>
        <v>71.965086045039925</v>
      </c>
      <c r="P9" s="15" cm="1">
        <f t="array" aca="1" ref="P9" ca="1">SQRT(SUMSQ(AB9:AD9-Y9:AA9))</f>
        <v>125.93290017294925</v>
      </c>
      <c r="Q9" s="15" cm="1">
        <f t="array" aca="1" ref="Q9" ca="1">SQRT(SUMSQ(AE9:AG9-Y9:AA9))</f>
        <v>145.21890387611387</v>
      </c>
      <c r="R9" s="15" cm="1">
        <f t="array" aca="1" ref="R9" ca="1">SQRT(SUMSQ(AH9:AJ9-Y9:AA9))</f>
        <v>74.989712250814776</v>
      </c>
      <c r="S9" s="15" cm="1">
        <f t="array" aca="1" ref="S9" ca="1">SQRT(SUMSQ(AE9:AG9-AB9:AD9))</f>
        <v>73.984759318727257</v>
      </c>
      <c r="T9" s="15" cm="1">
        <f t="array" aca="1" ref="T9" ca="1">SQRT(SUMSQ(AH9:AJ9-AB9:AD9))</f>
        <v>145.67296172217408</v>
      </c>
      <c r="U9" s="16" cm="1">
        <f t="array" aca="1" ref="U9" ca="1">SQRT(SUMSQ(AH9:AJ9-AE9:AG9))</f>
        <v>123.92696800801671</v>
      </c>
      <c r="V9" cm="1">
        <f t="array" aca="1" ref="V9" ca="1">INDIRECT(ADDRESS(V$1,V$2,1,1,$A9))</f>
        <v>0</v>
      </c>
      <c r="W9" cm="1">
        <f t="array" aca="1" ref="W9" ca="1">INDIRECT(ADDRESS(W$1,W$2,1,1,$A9))</f>
        <v>0</v>
      </c>
      <c r="X9" cm="1">
        <f t="array" aca="1" ref="X9" ca="1">INDIRECT(ADDRESS(X$1,X$2,1,1,$A9))</f>
        <v>0</v>
      </c>
      <c r="Y9" cm="1">
        <f t="array" aca="1" ref="Y9" ca="1">INDIRECT(ADDRESS(Y$1,Y$2,1,1,$A9))</f>
        <v>62.482900000000001</v>
      </c>
      <c r="Z9" cm="1">
        <f t="array" aca="1" ref="Z9" ca="1">INDIRECT(ADDRESS(Z$1,Z$2,1,1,$A9))</f>
        <v>37.515999999999998</v>
      </c>
      <c r="AA9" cm="1">
        <f t="array" aca="1" ref="AA9" ca="1">INDIRECT(ADDRESS(AA$1,AA$2,1,1,$A9))</f>
        <v>7.6999999999999999E-2</v>
      </c>
      <c r="AB9" cm="1">
        <f t="array" aca="1" ref="AB9" ca="1">INDIRECT(ADDRESS(AB$1,AB$2,1,1,$A9))</f>
        <v>-63.45</v>
      </c>
      <c r="AC9" cm="1">
        <f t="array" aca="1" ref="AC9" ca="1">INDIRECT(ADDRESS(AC$1,AC$2,1,1,$A9))</f>
        <v>37.515999999999998</v>
      </c>
      <c r="AD9" cm="1">
        <f t="array" aca="1" ref="AD9" ca="1">INDIRECT(ADDRESS(AD$1,AD$2,1,1,$A9))</f>
        <v>7.0400000000000004E-2</v>
      </c>
      <c r="AE9" cm="1">
        <f t="array" aca="1" ref="AE9" ca="1">INDIRECT(ADDRESS(AE$1,AE$2,1,1,$A9))</f>
        <v>-62.48</v>
      </c>
      <c r="AF9" cm="1">
        <f t="array" aca="1" ref="AF9" ca="1">INDIRECT(ADDRESS(AF$1,AF$2,1,1,$A9))</f>
        <v>-36.462400000000002</v>
      </c>
      <c r="AG9" cm="1">
        <f t="array" aca="1" ref="AG9" ca="1">INDIRECT(ADDRESS(AG$1,AG$2,1,1,$A9))</f>
        <v>7.7100000000000002E-2</v>
      </c>
      <c r="AH9" cm="1">
        <f t="array" aca="1" ref="AH9" ca="1">INDIRECT(ADDRESS(AH$1,AH$2,1,1,$A9))</f>
        <v>61.442900000000002</v>
      </c>
      <c r="AI9" cm="1">
        <f t="array" aca="1" ref="AI9" ca="1">INDIRECT(ADDRESS(AI$1,AI$2,1,1,$A9))</f>
        <v>-37.466500000000003</v>
      </c>
      <c r="AJ9" cm="1">
        <f t="array" aca="1" ref="AJ9" ca="1">INDIRECT(ADDRESS(AJ$1,AJ$2,1,1,$A9))</f>
        <v>7.0900000000000005E-2</v>
      </c>
      <c r="AK9" s="15" cm="1">
        <f t="array" aca="1" ref="AK9" ca="1">INDIRECT(ADDRESS(AK$1,AK$2,1,1,$A9))</f>
        <v>72.880499999999998</v>
      </c>
      <c r="AL9" s="15" cm="1">
        <f t="array" aca="1" ref="AL9" ca="1">INDIRECT(ADDRESS(AL$1,AL$2,1,1,$A9))</f>
        <v>73.711399999999998</v>
      </c>
      <c r="AM9" s="15" cm="1">
        <f t="array" aca="1" ref="AM9" ca="1">INDIRECT(ADDRESS(AM$1,AM$2,1,1,$A9))</f>
        <v>72.341300000000004</v>
      </c>
      <c r="AN9" s="15" cm="1">
        <f t="array" aca="1" ref="AN9" ca="1">INDIRECT(ADDRESS(AN$1,AN$2,1,1,$A9))</f>
        <v>71.965100000000007</v>
      </c>
      <c r="AO9" s="15" cm="1">
        <f t="array" aca="1" ref="AO9" ca="1">INDIRECT(ADDRESS(AO$1,AO$2,1,1,$A9))</f>
        <v>125.9329</v>
      </c>
      <c r="AP9" s="15" cm="1">
        <f t="array" aca="1" ref="AP9" ca="1">INDIRECT(ADDRESS(AP$1,AP$2,1,1,$A9))</f>
        <v>145.21889999999999</v>
      </c>
      <c r="AQ9" s="15" cm="1">
        <f t="array" aca="1" ref="AQ9" ca="1">INDIRECT(ADDRESS(AQ$1,AQ$2,1,1,$A9))</f>
        <v>74.989800000000002</v>
      </c>
      <c r="AR9" s="15" cm="1">
        <f t="array" aca="1" ref="AR9" ca="1">INDIRECT(ADDRESS(AR$1,AR$2,1,1,$A9))</f>
        <v>73.984800000000007</v>
      </c>
      <c r="AS9" s="15" cm="1">
        <f t="array" aca="1" ref="AS9" ca="1">INDIRECT(ADDRESS(AS$1,AS$2,1,1,$A9))</f>
        <v>145.673</v>
      </c>
      <c r="AT9" s="15" cm="1">
        <f t="array" aca="1" ref="AT9" ca="1">INDIRECT(ADDRESS(AT$1,AT$2,1,1,$A9))</f>
        <v>123.92700000000001</v>
      </c>
      <c r="AV9" s="15">
        <f t="shared" ca="1" si="0"/>
        <v>-1.1643442789477376E-5</v>
      </c>
      <c r="AW9" s="15">
        <f t="shared" ca="1" si="1"/>
        <v>8.6674568052558243E-5</v>
      </c>
      <c r="AX9" s="15">
        <f t="shared" ca="1" si="2"/>
        <v>5.0283864538869238E-6</v>
      </c>
      <c r="AY9" s="15">
        <f t="shared" ca="1" si="3"/>
        <v>1.3954960081719037E-5</v>
      </c>
      <c r="AZ9" s="15">
        <f t="shared" ca="1" si="4"/>
        <v>-1.7294924248290044E-7</v>
      </c>
      <c r="BA9" s="15">
        <f t="shared" ca="1" si="5"/>
        <v>-3.8761138796417072E-6</v>
      </c>
      <c r="BB9" s="15">
        <f t="shared" ca="1" si="6"/>
        <v>8.7749185226471127E-5</v>
      </c>
      <c r="BC9" s="15">
        <f t="shared" ca="1" si="7"/>
        <v>4.0681272750475728E-5</v>
      </c>
      <c r="BD9" s="15">
        <f t="shared" ca="1" si="8"/>
        <v>3.8277825922250486E-5</v>
      </c>
      <c r="BE9" s="15">
        <f t="shared" ca="1" si="9"/>
        <v>3.1991983291845827E-5</v>
      </c>
      <c r="BG9" s="15" cm="1">
        <f t="array" aca="1" ref="BG9" ca="1">INDIRECT(ADDRESS(BG$1,BG$2,1,1,$A9))</f>
        <v>6.3E-3</v>
      </c>
      <c r="BH9" s="15" cm="1">
        <f t="array" aca="1" ref="BH9" ca="1">INDIRECT(ADDRESS(BH$1,BH$2,1,1,$A9))</f>
        <v>0.01</v>
      </c>
      <c r="BI9" s="15" cm="1">
        <f t="array" aca="1" ref="BI9" ca="1">INDIRECT(ADDRESS(BI$1,BI$2,1,1,$A9))</f>
        <v>8.3999999999999995E-3</v>
      </c>
      <c r="BJ9" s="15" cm="1">
        <f t="array" aca="1" ref="BJ9" ca="1">INDIRECT(ADDRESS(BJ$1,BJ$2,1,1,$A9))</f>
        <v>8.0000000000000002E-3</v>
      </c>
      <c r="BK9" s="15" cm="1">
        <f t="array" aca="1" ref="BK9" ca="1">INDIRECT(ADDRESS(BK$1,BK$2,1,1,$A9))</f>
        <v>6.4000000000000003E-3</v>
      </c>
      <c r="BN9" s="32"/>
    </row>
    <row r="10" spans="1:66" x14ac:dyDescent="0.25">
      <c r="A10" t="s">
        <v>77</v>
      </c>
      <c r="B10" t="str" cm="1">
        <f t="array" aca="1" ref="B10" ca="1">LEFT(INDIRECT(ADDRESS(B$1,B$2,1,1,$A10)),FIND("-",INDIRECT(ADDRESS(B$1,B$2,1,1,$A10)))-1)</f>
        <v>P509</v>
      </c>
      <c r="C10" t="str" cm="1">
        <f t="array" aca="1" ref="C10" ca="1">RIGHT(INDIRECT(ADDRESS(B$1,B$2,1,1,$A10)),LEN(INDIRECT(ADDRESS(B$1,B$2,1,1,$A10)))-FIND("-",INDIRECT(ADDRESS(B$1,B$2,1,1,$A10))))</f>
        <v>south</v>
      </c>
      <c r="D10" s="10" cm="1">
        <f t="array" aca="1" ref="D10" ca="1">DATE(MID(INDIRECT(ADDRESS(D$1,D$2,1,1,$A10)),1,4),MID(INDIRECT(ADDRESS(D$1,D$2,1,1,$A10)),5,2),MID(INDIRECT(ADDRESS(D$1,D$2,1,1,$A10)),7,2))+TIME(MID(INDIRECT(ADDRESS(D$1,D$2,1,1,$A10)),10,2),MID(INDIRECT(ADDRESS(D$1,D$2,1,1,$A10)),12,2),0)</f>
        <v>44260.570138888892</v>
      </c>
      <c r="E10" cm="1">
        <f t="array" aca="1" ref="E10" ca="1">INDIRECT(ADDRESS(E$1,E$2,1,1,$A10))</f>
        <v>0</v>
      </c>
      <c r="F10" s="11" cm="1">
        <f t="array" aca="1" ref="F10" ca="1">VALUE(SUBSTITUTE(INDIRECT(ADDRESS(F$1,F$2,1,1,$A10)),"┬░C",""))</f>
        <v>19.2</v>
      </c>
      <c r="G10" s="12" cm="1">
        <f t="array" aca="1" ref="G10" ca="1">INDIRECT(ADDRESS(G$1,G$2,1,1,$A10))</f>
        <v>25.3996</v>
      </c>
      <c r="H10" cm="1">
        <f t="array" aca="1" ref="H10" ca="1">INDIRECT(ADDRESS(H$1,H$2,1,1,$A10))</f>
        <v>25.402999999999999</v>
      </c>
      <c r="I10" cm="1">
        <f t="array" aca="1" ref="I10" ca="1">INDIRECT(ADDRESS(I$1,I$2,1,1,$A10))</f>
        <v>25.403099999999998</v>
      </c>
      <c r="J10" cm="1">
        <f t="array" aca="1" ref="J10" ca="1">INDIRECT(ADDRESS(J$1,J$2,1,1,$A10))</f>
        <v>25.404800000000002</v>
      </c>
      <c r="K10" s="13" cm="1">
        <f t="array" aca="1" ref="K10" ca="1">INDIRECT(ADDRESS(K$1,K$2,1,1,$A10))</f>
        <v>25.403400000000001</v>
      </c>
      <c r="L10" s="14" cm="1">
        <f t="array" aca="1" ref="L10" ca="1">SQRT(SUMSQ(Y10:AA10-V10:X10))</f>
        <v>72.880374434068329</v>
      </c>
      <c r="M10" s="15" cm="1">
        <f t="array" aca="1" ref="M10" ca="1">SQRT(SUMSQ(AB10:AD10-V10:X10))</f>
        <v>73.711692921204843</v>
      </c>
      <c r="N10" s="15" cm="1">
        <f t="array" aca="1" ref="N10" ca="1">SQRT(SUMSQ(AE10:AG10-V10:X10))</f>
        <v>72.34140286799807</v>
      </c>
      <c r="O10" s="15" cm="1">
        <f t="array" aca="1" ref="O10" ca="1">SQRT(SUMSQ(AH10:AJ10-V10:X10))</f>
        <v>71.964346779360127</v>
      </c>
      <c r="P10" s="15" cm="1">
        <f t="array" aca="1" ref="P10" ca="1">SQRT(SUMSQ(AB10:AD10-Y10:AA10))</f>
        <v>125.93330016774753</v>
      </c>
      <c r="Q10" s="15" cm="1">
        <f t="array" aca="1" ref="Q10" ca="1">SQRT(SUMSQ(AE10:AG10-Y10:AA10))</f>
        <v>145.21887220888337</v>
      </c>
      <c r="R10" s="15" cm="1">
        <f t="array" aca="1" ref="R10" ca="1">SQRT(SUMSQ(AH10:AJ10-Y10:AA10))</f>
        <v>74.989017866684989</v>
      </c>
      <c r="S10" s="15" cm="1">
        <f t="array" aca="1" ref="S10" ca="1">SQRT(SUMSQ(AE10:AG10-AB10:AD10))</f>
        <v>73.984361966566979</v>
      </c>
      <c r="T10" s="15" cm="1">
        <f t="array" aca="1" ref="T10" ca="1">SQRT(SUMSQ(AH10:AJ10-AB10:AD10))</f>
        <v>145.67260141086931</v>
      </c>
      <c r="U10" s="16" cm="1">
        <f t="array" aca="1" ref="U10" ca="1">SQRT(SUMSQ(AH10:AJ10-AE10:AG10))</f>
        <v>123.92676558423526</v>
      </c>
      <c r="V10" cm="1">
        <f t="array" aca="1" ref="V10" ca="1">INDIRECT(ADDRESS(V$1,V$2,1,1,$A10))</f>
        <v>0</v>
      </c>
      <c r="W10" cm="1">
        <f t="array" aca="1" ref="W10" ca="1">INDIRECT(ADDRESS(W$1,W$2,1,1,$A10))</f>
        <v>0</v>
      </c>
      <c r="X10" cm="1">
        <f t="array" aca="1" ref="X10" ca="1">INDIRECT(ADDRESS(X$1,X$2,1,1,$A10))</f>
        <v>0</v>
      </c>
      <c r="Y10" cm="1">
        <f t="array" aca="1" ref="Y10" ca="1">INDIRECT(ADDRESS(Y$1,Y$2,1,1,$A10))</f>
        <v>62.482799999999997</v>
      </c>
      <c r="Z10" cm="1">
        <f t="array" aca="1" ref="Z10" ca="1">INDIRECT(ADDRESS(Z$1,Z$2,1,1,$A10))</f>
        <v>37.515900000000002</v>
      </c>
      <c r="AA10" cm="1">
        <f t="array" aca="1" ref="AA10" ca="1">INDIRECT(ADDRESS(AA$1,AA$2,1,1,$A10))</f>
        <v>7.6999999999999999E-2</v>
      </c>
      <c r="AB10" cm="1">
        <f t="array" aca="1" ref="AB10" ca="1">INDIRECT(ADDRESS(AB$1,AB$2,1,1,$A10))</f>
        <v>-63.450499999999998</v>
      </c>
      <c r="AC10" cm="1">
        <f t="array" aca="1" ref="AC10" ca="1">INDIRECT(ADDRESS(AC$1,AC$2,1,1,$A10))</f>
        <v>37.515900000000002</v>
      </c>
      <c r="AD10" cm="1">
        <f t="array" aca="1" ref="AD10" ca="1">INDIRECT(ADDRESS(AD$1,AD$2,1,1,$A10))</f>
        <v>7.0499999999999993E-2</v>
      </c>
      <c r="AE10" cm="1">
        <f t="array" aca="1" ref="AE10" ca="1">INDIRECT(ADDRESS(AE$1,AE$2,1,1,$A10))</f>
        <v>-62.4803</v>
      </c>
      <c r="AF10" cm="1">
        <f t="array" aca="1" ref="AF10" ca="1">INDIRECT(ADDRESS(AF$1,AF$2,1,1,$A10))</f>
        <v>-36.4621</v>
      </c>
      <c r="AG10" cm="1">
        <f t="array" aca="1" ref="AG10" ca="1">INDIRECT(ADDRESS(AG$1,AG$2,1,1,$A10))</f>
        <v>7.7100000000000002E-2</v>
      </c>
      <c r="AH10" cm="1">
        <f t="array" aca="1" ref="AH10" ca="1">INDIRECT(ADDRESS(AH$1,AH$2,1,1,$A10))</f>
        <v>61.442399999999999</v>
      </c>
      <c r="AI10" cm="1">
        <f t="array" aca="1" ref="AI10" ca="1">INDIRECT(ADDRESS(AI$1,AI$2,1,1,$A10))</f>
        <v>-37.465899999999998</v>
      </c>
      <c r="AJ10" cm="1">
        <f t="array" aca="1" ref="AJ10" ca="1">INDIRECT(ADDRESS(AJ$1,AJ$2,1,1,$A10))</f>
        <v>7.0900000000000005E-2</v>
      </c>
      <c r="AK10" s="15" cm="1">
        <f t="array" aca="1" ref="AK10" ca="1">INDIRECT(ADDRESS(AK$1,AK$2,1,1,$A10))</f>
        <v>72.880399999999995</v>
      </c>
      <c r="AL10" s="15" cm="1">
        <f t="array" aca="1" ref="AL10" ca="1">INDIRECT(ADDRESS(AL$1,AL$2,1,1,$A10))</f>
        <v>73.711699999999993</v>
      </c>
      <c r="AM10" s="15" cm="1">
        <f t="array" aca="1" ref="AM10" ca="1">INDIRECT(ADDRESS(AM$1,AM$2,1,1,$A10))</f>
        <v>72.341399999999993</v>
      </c>
      <c r="AN10" s="15" cm="1">
        <f t="array" aca="1" ref="AN10" ca="1">INDIRECT(ADDRESS(AN$1,AN$2,1,1,$A10))</f>
        <v>71.964299999999994</v>
      </c>
      <c r="AO10" s="15" cm="1">
        <f t="array" aca="1" ref="AO10" ca="1">INDIRECT(ADDRESS(AO$1,AO$2,1,1,$A10))</f>
        <v>125.9333</v>
      </c>
      <c r="AP10" s="15" cm="1">
        <f t="array" aca="1" ref="AP10" ca="1">INDIRECT(ADDRESS(AP$1,AP$2,1,1,$A10))</f>
        <v>145.21879999999999</v>
      </c>
      <c r="AQ10" s="15" cm="1">
        <f t="array" aca="1" ref="AQ10" ca="1">INDIRECT(ADDRESS(AQ$1,AQ$2,1,1,$A10))</f>
        <v>74.989000000000004</v>
      </c>
      <c r="AR10" s="15" cm="1">
        <f t="array" aca="1" ref="AR10" ca="1">INDIRECT(ADDRESS(AR$1,AR$2,1,1,$A10))</f>
        <v>73.984399999999994</v>
      </c>
      <c r="AS10" s="15" cm="1">
        <f t="array" aca="1" ref="AS10" ca="1">INDIRECT(ADDRESS(AS$1,AS$2,1,1,$A10))</f>
        <v>145.67259999999999</v>
      </c>
      <c r="AT10" s="15" cm="1">
        <f t="array" aca="1" ref="AT10" ca="1">INDIRECT(ADDRESS(AT$1,AT$2,1,1,$A10))</f>
        <v>123.9267</v>
      </c>
      <c r="AV10" s="15">
        <f t="shared" ca="1" si="0"/>
        <v>2.5565931665028074E-5</v>
      </c>
      <c r="AW10" s="15">
        <f t="shared" ca="1" si="1"/>
        <v>7.0787951500506097E-6</v>
      </c>
      <c r="AX10" s="15">
        <f t="shared" ca="1" si="2"/>
        <v>-2.8679980772494673E-6</v>
      </c>
      <c r="AY10" s="15">
        <f t="shared" ca="1" si="3"/>
        <v>-4.6779360133086811E-5</v>
      </c>
      <c r="AZ10" s="15">
        <f t="shared" ca="1" si="4"/>
        <v>-1.6774752964465733E-7</v>
      </c>
      <c r="BA10" s="15">
        <f t="shared" ca="1" si="5"/>
        <v>-7.2208883381108535E-5</v>
      </c>
      <c r="BB10" s="15">
        <f t="shared" ca="1" si="6"/>
        <v>-1.7866684984824133E-5</v>
      </c>
      <c r="BC10" s="15">
        <f t="shared" ca="1" si="7"/>
        <v>3.8033433014561524E-5</v>
      </c>
      <c r="BD10" s="15">
        <f t="shared" ca="1" si="8"/>
        <v>-1.4108693164871511E-6</v>
      </c>
      <c r="BE10" s="15">
        <f t="shared" ca="1" si="9"/>
        <v>-6.5584235258597801E-5</v>
      </c>
      <c r="BG10" s="15" cm="1">
        <f t="array" aca="1" ref="BG10" ca="1">INDIRECT(ADDRESS(BG$1,BG$2,1,1,$A10))</f>
        <v>7.1999999999999998E-3</v>
      </c>
      <c r="BH10" s="15" cm="1">
        <f t="array" aca="1" ref="BH10" ca="1">INDIRECT(ADDRESS(BH$1,BH$2,1,1,$A10))</f>
        <v>8.0999999999999996E-3</v>
      </c>
      <c r="BI10" s="15" cm="1">
        <f t="array" aca="1" ref="BI10" ca="1">INDIRECT(ADDRESS(BI$1,BI$2,1,1,$A10))</f>
        <v>5.5999999999999999E-3</v>
      </c>
      <c r="BJ10" s="15" cm="1">
        <f t="array" aca="1" ref="BJ10" ca="1">INDIRECT(ADDRESS(BJ$1,BJ$2,1,1,$A10))</f>
        <v>7.7999999999999996E-3</v>
      </c>
      <c r="BK10" s="15" cm="1">
        <f t="array" aca="1" ref="BK10" ca="1">INDIRECT(ADDRESS(BK$1,BK$2,1,1,$A10))</f>
        <v>6.1000000000000004E-3</v>
      </c>
      <c r="BN10" s="32"/>
    </row>
    <row r="11" spans="1:66" x14ac:dyDescent="0.25">
      <c r="A11" t="s">
        <v>80</v>
      </c>
      <c r="B11" t="str" cm="1">
        <f t="array" aca="1" ref="B11" ca="1">LEFT(INDIRECT(ADDRESS(B$1,B$2,1,1,$A11)),FIND("-",INDIRECT(ADDRESS(B$1,B$2,1,1,$A11)))-1)</f>
        <v>P509</v>
      </c>
      <c r="C11" t="str" cm="1">
        <f t="array" aca="1" ref="C11" ca="1">RIGHT(INDIRECT(ADDRESS(B$1,B$2,1,1,$A11)),LEN(INDIRECT(ADDRESS(B$1,B$2,1,1,$A11)))-FIND("-",INDIRECT(ADDRESS(B$1,B$2,1,1,$A11))))</f>
        <v>south</v>
      </c>
      <c r="D11" s="10" cm="1">
        <f t="array" aca="1" ref="D11" ca="1">DATE(MID(INDIRECT(ADDRESS(D$1,D$2,1,1,$A11)),1,4),MID(INDIRECT(ADDRESS(D$1,D$2,1,1,$A11)),5,2),MID(INDIRECT(ADDRESS(D$1,D$2,1,1,$A11)),7,2))+TIME(MID(INDIRECT(ADDRESS(D$1,D$2,1,1,$A11)),10,2),MID(INDIRECT(ADDRESS(D$1,D$2,1,1,$A11)),12,2),0)</f>
        <v>44260.572916666664</v>
      </c>
      <c r="E11" cm="1">
        <f t="array" aca="1" ref="E11" ca="1">INDIRECT(ADDRESS(E$1,E$2,1,1,$A11))</f>
        <v>0</v>
      </c>
      <c r="F11" s="11" cm="1">
        <f t="array" aca="1" ref="F11" ca="1">VALUE(SUBSTITUTE(INDIRECT(ADDRESS(F$1,F$2,1,1,$A11)),"┬░C",""))</f>
        <v>19.2</v>
      </c>
      <c r="G11" s="12" cm="1">
        <f t="array" aca="1" ref="G11" ca="1">INDIRECT(ADDRESS(G$1,G$2,1,1,$A11))</f>
        <v>25.400099999999998</v>
      </c>
      <c r="H11" cm="1">
        <f t="array" aca="1" ref="H11" ca="1">INDIRECT(ADDRESS(H$1,H$2,1,1,$A11))</f>
        <v>25.403199999999998</v>
      </c>
      <c r="I11" cm="1">
        <f t="array" aca="1" ref="I11" ca="1">INDIRECT(ADDRESS(I$1,I$2,1,1,$A11))</f>
        <v>25.4026</v>
      </c>
      <c r="J11" cm="1">
        <f t="array" aca="1" ref="J11" ca="1">INDIRECT(ADDRESS(J$1,J$2,1,1,$A11))</f>
        <v>25.405000000000001</v>
      </c>
      <c r="K11" s="13" cm="1">
        <f t="array" aca="1" ref="K11" ca="1">INDIRECT(ADDRESS(K$1,K$2,1,1,$A11))</f>
        <v>25.403099999999998</v>
      </c>
      <c r="L11" s="14" cm="1">
        <f t="array" aca="1" ref="L11" ca="1">SQRT(SUMSQ(Y11:AA11-V11:X11))</f>
        <v>72.8801344845768</v>
      </c>
      <c r="M11" s="15" cm="1">
        <f t="array" aca="1" ref="M11" ca="1">SQRT(SUMSQ(AB11:AD11-V11:X11))</f>
        <v>73.71136865273904</v>
      </c>
      <c r="N11" s="15" cm="1">
        <f t="array" aca="1" ref="N11" ca="1">SQRT(SUMSQ(AE11:AG11-V11:X11))</f>
        <v>72.341237694830738</v>
      </c>
      <c r="O11" s="15" cm="1">
        <f t="array" aca="1" ref="O11" ca="1">SQRT(SUMSQ(AH11:AJ11-V11:X11))</f>
        <v>71.964949197856029</v>
      </c>
      <c r="P11" s="15" cm="1">
        <f t="array" aca="1" ref="P11" ca="1">SQRT(SUMSQ(AB11:AD11-Y11:AA11))</f>
        <v>125.93300014773729</v>
      </c>
      <c r="Q11" s="15" cm="1">
        <f t="array" aca="1" ref="Q11" ca="1">SQRT(SUMSQ(AE11:AG11-Y11:AA11))</f>
        <v>145.21847361933675</v>
      </c>
      <c r="R11" s="15" cm="1">
        <f t="array" aca="1" ref="R11" ca="1">SQRT(SUMSQ(AH11:AJ11-Y11:AA11))</f>
        <v>74.989210880632683</v>
      </c>
      <c r="S11" s="15" cm="1">
        <f t="array" aca="1" ref="S11" ca="1">SQRT(SUMSQ(AE11:AG11-AB11:AD11))</f>
        <v>73.984767144054715</v>
      </c>
      <c r="T11" s="15" cm="1">
        <f t="array" aca="1" ref="T11" ca="1">SQRT(SUMSQ(AH11:AJ11-AB11:AD11))</f>
        <v>145.67287582721087</v>
      </c>
      <c r="U11" s="16" cm="1">
        <f t="array" aca="1" ref="U11" ca="1">SQRT(SUMSQ(AH11:AJ11-AE11:AG11))</f>
        <v>123.92656395159999</v>
      </c>
      <c r="V11" cm="1">
        <f t="array" aca="1" ref="V11" ca="1">INDIRECT(ADDRESS(V$1,V$2,1,1,$A11))</f>
        <v>0</v>
      </c>
      <c r="W11" cm="1">
        <f t="array" aca="1" ref="W11" ca="1">INDIRECT(ADDRESS(W$1,W$2,1,1,$A11))</f>
        <v>0</v>
      </c>
      <c r="X11" cm="1">
        <f t="array" aca="1" ref="X11" ca="1">INDIRECT(ADDRESS(X$1,X$2,1,1,$A11))</f>
        <v>0</v>
      </c>
      <c r="Y11" cm="1">
        <f t="array" aca="1" ref="Y11" ca="1">INDIRECT(ADDRESS(Y$1,Y$2,1,1,$A11))</f>
        <v>62.482700000000001</v>
      </c>
      <c r="Z11" cm="1">
        <f t="array" aca="1" ref="Z11" ca="1">INDIRECT(ADDRESS(Z$1,Z$2,1,1,$A11))</f>
        <v>37.515599999999999</v>
      </c>
      <c r="AA11" cm="1">
        <f t="array" aca="1" ref="AA11" ca="1">INDIRECT(ADDRESS(AA$1,AA$2,1,1,$A11))</f>
        <v>7.7200000000000005E-2</v>
      </c>
      <c r="AB11" cm="1">
        <f t="array" aca="1" ref="AB11" ca="1">INDIRECT(ADDRESS(AB$1,AB$2,1,1,$A11))</f>
        <v>-63.450299999999999</v>
      </c>
      <c r="AC11" cm="1">
        <f t="array" aca="1" ref="AC11" ca="1">INDIRECT(ADDRESS(AC$1,AC$2,1,1,$A11))</f>
        <v>37.515599999999999</v>
      </c>
      <c r="AD11" cm="1">
        <f t="array" aca="1" ref="AD11" ca="1">INDIRECT(ADDRESS(AD$1,AD$2,1,1,$A11))</f>
        <v>7.1099999999999997E-2</v>
      </c>
      <c r="AE11" cm="1">
        <f t="array" aca="1" ref="AE11" ca="1">INDIRECT(ADDRESS(AE$1,AE$2,1,1,$A11))</f>
        <v>-62.479700000000001</v>
      </c>
      <c r="AF11" cm="1">
        <f t="array" aca="1" ref="AF11" ca="1">INDIRECT(ADDRESS(AF$1,AF$2,1,1,$A11))</f>
        <v>-36.462800000000001</v>
      </c>
      <c r="AG11" cm="1">
        <f t="array" aca="1" ref="AG11" ca="1">INDIRECT(ADDRESS(AG$1,AG$2,1,1,$A11))</f>
        <v>7.7299999999999994E-2</v>
      </c>
      <c r="AH11" cm="1">
        <f t="array" aca="1" ref="AH11" ca="1">INDIRECT(ADDRESS(AH$1,AH$2,1,1,$A11))</f>
        <v>61.442799999999998</v>
      </c>
      <c r="AI11" cm="1">
        <f t="array" aca="1" ref="AI11" ca="1">INDIRECT(ADDRESS(AI$1,AI$2,1,1,$A11))</f>
        <v>-37.4664</v>
      </c>
      <c r="AJ11" cm="1">
        <f t="array" aca="1" ref="AJ11" ca="1">INDIRECT(ADDRESS(AJ$1,AJ$2,1,1,$A11))</f>
        <v>7.1499999999999994E-2</v>
      </c>
      <c r="AK11" s="15" cm="1">
        <f t="array" aca="1" ref="AK11" ca="1">INDIRECT(ADDRESS(AK$1,AK$2,1,1,$A11))</f>
        <v>72.880099999999999</v>
      </c>
      <c r="AL11" s="15" cm="1">
        <f t="array" aca="1" ref="AL11" ca="1">INDIRECT(ADDRESS(AL$1,AL$2,1,1,$A11))</f>
        <v>73.711299999999994</v>
      </c>
      <c r="AM11" s="15" cm="1">
        <f t="array" aca="1" ref="AM11" ca="1">INDIRECT(ADDRESS(AM$1,AM$2,1,1,$A11))</f>
        <v>72.341200000000001</v>
      </c>
      <c r="AN11" s="15" cm="1">
        <f t="array" aca="1" ref="AN11" ca="1">INDIRECT(ADDRESS(AN$1,AN$2,1,1,$A11))</f>
        <v>71.965000000000003</v>
      </c>
      <c r="AO11" s="15" cm="1">
        <f t="array" aca="1" ref="AO11" ca="1">INDIRECT(ADDRESS(AO$1,AO$2,1,1,$A11))</f>
        <v>125.9329</v>
      </c>
      <c r="AP11" s="15" cm="1">
        <f t="array" aca="1" ref="AP11" ca="1">INDIRECT(ADDRESS(AP$1,AP$2,1,1,$A11))</f>
        <v>145.2184</v>
      </c>
      <c r="AQ11" s="15" cm="1">
        <f t="array" aca="1" ref="AQ11" ca="1">INDIRECT(ADDRESS(AQ$1,AQ$2,1,1,$A11))</f>
        <v>74.989199999999997</v>
      </c>
      <c r="AR11" s="15" cm="1">
        <f t="array" aca="1" ref="AR11" ca="1">INDIRECT(ADDRESS(AR$1,AR$2,1,1,$A11))</f>
        <v>73.984800000000007</v>
      </c>
      <c r="AS11" s="15" cm="1">
        <f t="array" aca="1" ref="AS11" ca="1">INDIRECT(ADDRESS(AS$1,AS$2,1,1,$A11))</f>
        <v>145.6729</v>
      </c>
      <c r="AT11" s="15" cm="1">
        <f t="array" aca="1" ref="AT11" ca="1">INDIRECT(ADDRESS(AT$1,AT$2,1,1,$A11))</f>
        <v>123.92659999999999</v>
      </c>
      <c r="AV11" s="15">
        <f t="shared" ca="1" si="0"/>
        <v>-3.4484576801219191E-5</v>
      </c>
      <c r="AW11" s="15">
        <f t="shared" ca="1" si="1"/>
        <v>-6.8652739045660383E-5</v>
      </c>
      <c r="AX11" s="15">
        <f t="shared" ca="1" si="2"/>
        <v>-3.7694830737677876E-5</v>
      </c>
      <c r="AY11" s="15">
        <f t="shared" ca="1" si="3"/>
        <v>5.0802143974237879E-5</v>
      </c>
      <c r="AZ11" s="15">
        <f t="shared" ca="1" si="4"/>
        <v>-1.0014773728528326E-4</v>
      </c>
      <c r="BA11" s="15">
        <f t="shared" ca="1" si="5"/>
        <v>-7.3619336745878172E-5</v>
      </c>
      <c r="BB11" s="15">
        <f t="shared" ca="1" si="6"/>
        <v>-1.0880632686394165E-5</v>
      </c>
      <c r="BC11" s="15">
        <f t="shared" ca="1" si="7"/>
        <v>3.2855945292453725E-5</v>
      </c>
      <c r="BD11" s="15">
        <f t="shared" ca="1" si="8"/>
        <v>2.4172789125032068E-5</v>
      </c>
      <c r="BE11" s="15">
        <f t="shared" ca="1" si="9"/>
        <v>3.6048400005483927E-5</v>
      </c>
      <c r="BG11" s="15" cm="1">
        <f t="array" aca="1" ref="BG11" ca="1">INDIRECT(ADDRESS(BG$1,BG$2,1,1,$A11))</f>
        <v>3.8999999999999998E-3</v>
      </c>
      <c r="BH11" s="15" cm="1">
        <f t="array" aca="1" ref="BH11" ca="1">INDIRECT(ADDRESS(BH$1,BH$2,1,1,$A11))</f>
        <v>9.5999999999999992E-3</v>
      </c>
      <c r="BI11" s="15" cm="1">
        <f t="array" aca="1" ref="BI11" ca="1">INDIRECT(ADDRESS(BI$1,BI$2,1,1,$A11))</f>
        <v>4.4000000000000003E-3</v>
      </c>
      <c r="BJ11" s="15" cm="1">
        <f t="array" aca="1" ref="BJ11" ca="1">INDIRECT(ADDRESS(BJ$1,BJ$2,1,1,$A11))</f>
        <v>7.1999999999999998E-3</v>
      </c>
      <c r="BK11" s="15" cm="1">
        <f t="array" aca="1" ref="BK11" ca="1">INDIRECT(ADDRESS(BK$1,BK$2,1,1,$A11))</f>
        <v>5.4999999999999997E-3</v>
      </c>
      <c r="BN11" s="32"/>
    </row>
    <row r="12" spans="1:66" x14ac:dyDescent="0.25">
      <c r="A12" t="s">
        <v>83</v>
      </c>
      <c r="B12" t="str" cm="1">
        <f t="array" aca="1" ref="B12" ca="1">LEFT(INDIRECT(ADDRESS(B$1,B$2,1,1,$A12)),FIND("-",INDIRECT(ADDRESS(B$1,B$2,1,1,$A12)))-1)</f>
        <v>P509</v>
      </c>
      <c r="C12" t="str" cm="1">
        <f t="array" aca="1" ref="C12" ca="1">RIGHT(INDIRECT(ADDRESS(B$1,B$2,1,1,$A12)),LEN(INDIRECT(ADDRESS(B$1,B$2,1,1,$A12)))-FIND("-",INDIRECT(ADDRESS(B$1,B$2,1,1,$A12))))</f>
        <v>south</v>
      </c>
      <c r="D12" s="10" cm="1">
        <f t="array" aca="1" ref="D12" ca="1">DATE(MID(INDIRECT(ADDRESS(D$1,D$2,1,1,$A12)),1,4),MID(INDIRECT(ADDRESS(D$1,D$2,1,1,$A12)),5,2),MID(INDIRECT(ADDRESS(D$1,D$2,1,1,$A12)),7,2))+TIME(MID(INDIRECT(ADDRESS(D$1,D$2,1,1,$A12)),10,2),MID(INDIRECT(ADDRESS(D$1,D$2,1,1,$A12)),12,2),0)</f>
        <v>44260.574999999997</v>
      </c>
      <c r="E12" cm="1">
        <f t="array" aca="1" ref="E12" ca="1">INDIRECT(ADDRESS(E$1,E$2,1,1,$A12))</f>
        <v>0</v>
      </c>
      <c r="F12" s="11" cm="1">
        <f t="array" aca="1" ref="F12" ca="1">VALUE(SUBSTITUTE(INDIRECT(ADDRESS(F$1,F$2,1,1,$A12)),"┬░C",""))</f>
        <v>19.2</v>
      </c>
      <c r="G12" s="12" cm="1">
        <f t="array" aca="1" ref="G12" ca="1">INDIRECT(ADDRESS(G$1,G$2,1,1,$A12))</f>
        <v>25.399699999999999</v>
      </c>
      <c r="H12" cm="1">
        <f t="array" aca="1" ref="H12" ca="1">INDIRECT(ADDRESS(H$1,H$2,1,1,$A12))</f>
        <v>25.403700000000001</v>
      </c>
      <c r="I12" cm="1">
        <f t="array" aca="1" ref="I12" ca="1">INDIRECT(ADDRESS(I$1,I$2,1,1,$A12))</f>
        <v>25.4024</v>
      </c>
      <c r="J12" cm="1">
        <f t="array" aca="1" ref="J12" ca="1">INDIRECT(ADDRESS(J$1,J$2,1,1,$A12))</f>
        <v>25.404499999999999</v>
      </c>
      <c r="K12" s="13" cm="1">
        <f t="array" aca="1" ref="K12" ca="1">INDIRECT(ADDRESS(K$1,K$2,1,1,$A12))</f>
        <v>25.403199999999998</v>
      </c>
      <c r="L12" s="14" cm="1">
        <f t="array" aca="1" ref="L12" ca="1">SQRT(SUMSQ(Y12:AA12-V12:X12))</f>
        <v>72.880014387690679</v>
      </c>
      <c r="M12" s="15" cm="1">
        <f t="array" aca="1" ref="M12" ca="1">SQRT(SUMSQ(AB12:AD12-V12:X12))</f>
        <v>73.711849848786187</v>
      </c>
      <c r="N12" s="15" cm="1">
        <f t="array" aca="1" ref="N12" ca="1">SQRT(SUMSQ(AE12:AG12-V12:X12))</f>
        <v>72.341705286715481</v>
      </c>
      <c r="O12" s="15" cm="1">
        <f t="array" aca="1" ref="O12" ca="1">SQRT(SUMSQ(AH12:AJ12-V12:X12))</f>
        <v>71.964901311264228</v>
      </c>
      <c r="P12" s="15" cm="1">
        <f t="array" aca="1" ref="P12" ca="1">SQRT(SUMSQ(AB12:AD12-Y12:AA12))</f>
        <v>125.93330014773694</v>
      </c>
      <c r="Q12" s="15" cm="1">
        <f t="array" aca="1" ref="Q12" ca="1">SQRT(SUMSQ(AE12:AG12-Y12:AA12))</f>
        <v>145.21881782468827</v>
      </c>
      <c r="R12" s="15" cm="1">
        <f t="array" aca="1" ref="R12" ca="1">SQRT(SUMSQ(AH12:AJ12-Y12:AA12))</f>
        <v>74.989712211809433</v>
      </c>
      <c r="S12" s="15" cm="1">
        <f t="array" aca="1" ref="S12" ca="1">SQRT(SUMSQ(AE12:AG12-AB12:AD12))</f>
        <v>73.984765823918096</v>
      </c>
      <c r="T12" s="15" cm="1">
        <f t="array" aca="1" ref="T12" ca="1">SQRT(SUMSQ(AH12:AJ12-AB12:AD12))</f>
        <v>145.67330466283107</v>
      </c>
      <c r="U12" s="16" cm="1">
        <f t="array" aca="1" ref="U12" ca="1">SQRT(SUMSQ(AH12:AJ12-AE12:AG12))</f>
        <v>123.92686798273407</v>
      </c>
      <c r="V12" cm="1">
        <f t="array" aca="1" ref="V12" ca="1">INDIRECT(ADDRESS(V$1,V$2,1,1,$A12))</f>
        <v>0</v>
      </c>
      <c r="W12" cm="1">
        <f t="array" aca="1" ref="W12" ca="1">INDIRECT(ADDRESS(W$1,W$2,1,1,$A12))</f>
        <v>0</v>
      </c>
      <c r="X12" cm="1">
        <f t="array" aca="1" ref="X12" ca="1">INDIRECT(ADDRESS(X$1,X$2,1,1,$A12))</f>
        <v>0</v>
      </c>
      <c r="Y12" cm="1">
        <f t="array" aca="1" ref="Y12" ca="1">INDIRECT(ADDRESS(Y$1,Y$2,1,1,$A12))</f>
        <v>62.482500000000002</v>
      </c>
      <c r="Z12" cm="1">
        <f t="array" aca="1" ref="Z12" ca="1">INDIRECT(ADDRESS(Z$1,Z$2,1,1,$A12))</f>
        <v>37.515700000000002</v>
      </c>
      <c r="AA12" cm="1">
        <f t="array" aca="1" ref="AA12" ca="1">INDIRECT(ADDRESS(AA$1,AA$2,1,1,$A12))</f>
        <v>7.7100000000000002E-2</v>
      </c>
      <c r="AB12" cm="1">
        <f t="array" aca="1" ref="AB12" ca="1">INDIRECT(ADDRESS(AB$1,AB$2,1,1,$A12))</f>
        <v>-63.450800000000001</v>
      </c>
      <c r="AC12" cm="1">
        <f t="array" aca="1" ref="AC12" ca="1">INDIRECT(ADDRESS(AC$1,AC$2,1,1,$A12))</f>
        <v>37.515700000000002</v>
      </c>
      <c r="AD12" cm="1">
        <f t="array" aca="1" ref="AD12" ca="1">INDIRECT(ADDRESS(AD$1,AD$2,1,1,$A12))</f>
        <v>7.0999999999999994E-2</v>
      </c>
      <c r="AE12" cm="1">
        <f t="array" aca="1" ref="AE12" ca="1">INDIRECT(ADDRESS(AE$1,AE$2,1,1,$A12))</f>
        <v>-62.4803</v>
      </c>
      <c r="AF12" cm="1">
        <f t="array" aca="1" ref="AF12" ca="1">INDIRECT(ADDRESS(AF$1,AF$2,1,1,$A12))</f>
        <v>-36.462699999999998</v>
      </c>
      <c r="AG12" cm="1">
        <f t="array" aca="1" ref="AG12" ca="1">INDIRECT(ADDRESS(AG$1,AG$2,1,1,$A12))</f>
        <v>7.7100000000000002E-2</v>
      </c>
      <c r="AH12" cm="1">
        <f t="array" aca="1" ref="AH12" ca="1">INDIRECT(ADDRESS(AH$1,AH$2,1,1,$A12))</f>
        <v>61.442500000000003</v>
      </c>
      <c r="AI12" cm="1">
        <f t="array" aca="1" ref="AI12" ca="1">INDIRECT(ADDRESS(AI$1,AI$2,1,1,$A12))</f>
        <v>-37.466799999999999</v>
      </c>
      <c r="AJ12" cm="1">
        <f t="array" aca="1" ref="AJ12" ca="1">INDIRECT(ADDRESS(AJ$1,AJ$2,1,1,$A12))</f>
        <v>7.1499999999999994E-2</v>
      </c>
      <c r="AK12" s="15" cm="1">
        <f t="array" aca="1" ref="AK12" ca="1">INDIRECT(ADDRESS(AK$1,AK$2,1,1,$A12))</f>
        <v>72.88</v>
      </c>
      <c r="AL12" s="15" cm="1">
        <f t="array" aca="1" ref="AL12" ca="1">INDIRECT(ADDRESS(AL$1,AL$2,1,1,$A12))</f>
        <v>73.7119</v>
      </c>
      <c r="AM12" s="15" cm="1">
        <f t="array" aca="1" ref="AM12" ca="1">INDIRECT(ADDRESS(AM$1,AM$2,1,1,$A12))</f>
        <v>72.341700000000003</v>
      </c>
      <c r="AN12" s="15" cm="1">
        <f t="array" aca="1" ref="AN12" ca="1">INDIRECT(ADDRESS(AN$1,AN$2,1,1,$A12))</f>
        <v>71.9649</v>
      </c>
      <c r="AO12" s="15" cm="1">
        <f t="array" aca="1" ref="AO12" ca="1">INDIRECT(ADDRESS(AO$1,AO$2,1,1,$A12))</f>
        <v>125.9333</v>
      </c>
      <c r="AP12" s="15" cm="1">
        <f t="array" aca="1" ref="AP12" ca="1">INDIRECT(ADDRESS(AP$1,AP$2,1,1,$A12))</f>
        <v>145.21879999999999</v>
      </c>
      <c r="AQ12" s="15" cm="1">
        <f t="array" aca="1" ref="AQ12" ca="1">INDIRECT(ADDRESS(AQ$1,AQ$2,1,1,$A12))</f>
        <v>74.989699999999999</v>
      </c>
      <c r="AR12" s="15" cm="1">
        <f t="array" aca="1" ref="AR12" ca="1">INDIRECT(ADDRESS(AR$1,AR$2,1,1,$A12))</f>
        <v>73.984800000000007</v>
      </c>
      <c r="AS12" s="15" cm="1">
        <f t="array" aca="1" ref="AS12" ca="1">INDIRECT(ADDRESS(AS$1,AS$2,1,1,$A12))</f>
        <v>145.67330000000001</v>
      </c>
      <c r="AT12" s="15" cm="1">
        <f t="array" aca="1" ref="AT12" ca="1">INDIRECT(ADDRESS(AT$1,AT$2,1,1,$A12))</f>
        <v>123.9268</v>
      </c>
      <c r="AV12" s="15">
        <f t="shared" ca="1" si="0"/>
        <v>-1.4387690683292931E-5</v>
      </c>
      <c r="AW12" s="15">
        <f t="shared" ca="1" si="1"/>
        <v>5.01512138129101E-5</v>
      </c>
      <c r="AX12" s="15">
        <f t="shared" ca="1" si="2"/>
        <v>-5.2867154778368786E-6</v>
      </c>
      <c r="AY12" s="15">
        <f t="shared" ca="1" si="3"/>
        <v>-1.3112642278656494E-6</v>
      </c>
      <c r="AZ12" s="15">
        <f t="shared" ca="1" si="4"/>
        <v>-1.4773694090308709E-7</v>
      </c>
      <c r="BA12" s="15">
        <f t="shared" ca="1" si="5"/>
        <v>-1.7824688285372758E-5</v>
      </c>
      <c r="BB12" s="15">
        <f t="shared" ca="1" si="6"/>
        <v>-1.2211809433892995E-5</v>
      </c>
      <c r="BC12" s="15">
        <f t="shared" ca="1" si="7"/>
        <v>3.4176081911141409E-5</v>
      </c>
      <c r="BD12" s="15">
        <f t="shared" ca="1" si="8"/>
        <v>-4.6628310599317047E-6</v>
      </c>
      <c r="BE12" s="15">
        <f t="shared" ca="1" si="9"/>
        <v>-6.7982734066163175E-5</v>
      </c>
      <c r="BG12" s="15" cm="1">
        <f t="array" aca="1" ref="BG12" ca="1">INDIRECT(ADDRESS(BG$1,BG$2,1,1,$A12))</f>
        <v>5.1000000000000004E-3</v>
      </c>
      <c r="BH12" s="15" cm="1">
        <f t="array" aca="1" ref="BH12" ca="1">INDIRECT(ADDRESS(BH$1,BH$2,1,1,$A12))</f>
        <v>9.7000000000000003E-3</v>
      </c>
      <c r="BI12" s="15" cm="1">
        <f t="array" aca="1" ref="BI12" ca="1">INDIRECT(ADDRESS(BI$1,BI$2,1,1,$A12))</f>
        <v>6.4999999999999997E-3</v>
      </c>
      <c r="BJ12" s="15" cm="1">
        <f t="array" aca="1" ref="BJ12" ca="1">INDIRECT(ADDRESS(BJ$1,BJ$2,1,1,$A12))</f>
        <v>7.3000000000000001E-3</v>
      </c>
      <c r="BK12" s="15" cm="1">
        <f t="array" aca="1" ref="BK12" ca="1">INDIRECT(ADDRESS(BK$1,BK$2,1,1,$A12))</f>
        <v>6.4000000000000003E-3</v>
      </c>
      <c r="BN12" s="32"/>
    </row>
    <row r="13" spans="1:66" x14ac:dyDescent="0.25">
      <c r="A13" t="s">
        <v>50</v>
      </c>
      <c r="B13" t="str" cm="1">
        <f t="array" aca="1" ref="B13" ca="1">LEFT(INDIRECT(ADDRESS(B$1,B$2,1,1,$A13)),FIND("-",INDIRECT(ADDRESS(B$1,B$2,1,1,$A13)))-1)</f>
        <v>P509</v>
      </c>
      <c r="C13" t="str" cm="1">
        <f t="array" aca="1" ref="C13" ca="1">RIGHT(INDIRECT(ADDRESS(B$1,B$2,1,1,$A13)),LEN(INDIRECT(ADDRESS(B$1,B$2,1,1,$A13)))-FIND("-",INDIRECT(ADDRESS(B$1,B$2,1,1,$A13))))</f>
        <v>east</v>
      </c>
      <c r="D13" s="10" cm="1">
        <f t="array" aca="1" ref="D13" ca="1">DATE(MID(INDIRECT(ADDRESS(D$1,D$2,1,1,$A13)),1,4),MID(INDIRECT(ADDRESS(D$1,D$2,1,1,$A13)),5,2),MID(INDIRECT(ADDRESS(D$1,D$2,1,1,$A13)),7,2))+TIME(MID(INDIRECT(ADDRESS(D$1,D$2,1,1,$A13)),10,2),MID(INDIRECT(ADDRESS(D$1,D$2,1,1,$A13)),12,2),0)</f>
        <v>44260.539583333331</v>
      </c>
      <c r="E13" cm="1">
        <f t="array" aca="1" ref="E13" ca="1">INDIRECT(ADDRESS(E$1,E$2,1,1,$A13))</f>
        <v>0</v>
      </c>
      <c r="F13" s="11" cm="1">
        <f t="array" aca="1" ref="F13" ca="1">VALUE(SUBSTITUTE(INDIRECT(ADDRESS(F$1,F$2,1,1,$A13)),"┬░C",""))</f>
        <v>19.100000000000001</v>
      </c>
      <c r="G13" s="12" cm="1">
        <f t="array" aca="1" ref="G13" ca="1">INDIRECT(ADDRESS(G$1,G$2,1,1,$A13))</f>
        <v>25.399799999999999</v>
      </c>
      <c r="H13" cm="1">
        <f t="array" aca="1" ref="H13" ca="1">INDIRECT(ADDRESS(H$1,H$2,1,1,$A13))</f>
        <v>25.402899999999999</v>
      </c>
      <c r="I13" cm="1">
        <f t="array" aca="1" ref="I13" ca="1">INDIRECT(ADDRESS(I$1,I$2,1,1,$A13))</f>
        <v>25.4039</v>
      </c>
      <c r="J13" cm="1">
        <f t="array" aca="1" ref="J13" ca="1">INDIRECT(ADDRESS(J$1,J$2,1,1,$A13))</f>
        <v>25.404800000000002</v>
      </c>
      <c r="K13" s="13" cm="1">
        <f t="array" aca="1" ref="K13" ca="1">INDIRECT(ADDRESS(K$1,K$2,1,1,$A13))</f>
        <v>25.4024</v>
      </c>
      <c r="L13" s="14" cm="1">
        <f t="array" aca="1" ref="L13" ca="1">SQRT(SUMSQ(Y13:AA13-V13:X13))</f>
        <v>72.881523058591469</v>
      </c>
      <c r="M13" s="15" cm="1">
        <f t="array" aca="1" ref="M13" ca="1">SQRT(SUMSQ(AB13:AD13-V13:X13))</f>
        <v>73.712075807088766</v>
      </c>
      <c r="N13" s="15" cm="1">
        <f t="array" aca="1" ref="N13" ca="1">SQRT(SUMSQ(AE13:AG13-V13:X13))</f>
        <v>72.342640668833752</v>
      </c>
      <c r="O13" s="15" cm="1">
        <f t="array" aca="1" ref="O13" ca="1">SQRT(SUMSQ(AH13:AJ13-V13:X13))</f>
        <v>71.964019443399636</v>
      </c>
      <c r="P13" s="15" cm="1">
        <f t="array" aca="1" ref="P13" ca="1">SQRT(SUMSQ(AB13:AD13-Y13:AA13))</f>
        <v>125.93580018902487</v>
      </c>
      <c r="Q13" s="15" cm="1">
        <f t="array" aca="1" ref="Q13" ca="1">SQRT(SUMSQ(AE13:AG13-Y13:AA13))</f>
        <v>145.22125690290662</v>
      </c>
      <c r="R13" s="15" cm="1">
        <f t="array" aca="1" ref="R13" ca="1">SQRT(SUMSQ(AH13:AJ13-Y13:AA13))</f>
        <v>74.988144371960558</v>
      </c>
      <c r="S13" s="15" cm="1">
        <f t="array" aca="1" ref="S13" ca="1">SQRT(SUMSQ(AE13:AG13-AB13:AD13))</f>
        <v>73.982947706684413</v>
      </c>
      <c r="T13" s="15" cm="1">
        <f t="array" aca="1" ref="T13" ca="1">SQRT(SUMSQ(AH13:AJ13-AB13:AD13))</f>
        <v>145.67265257151047</v>
      </c>
      <c r="U13" s="16" cm="1">
        <f t="array" aca="1" ref="U13" ca="1">SQRT(SUMSQ(AH13:AJ13-AE13:AG13))</f>
        <v>123.9284696000479</v>
      </c>
      <c r="V13" cm="1">
        <f t="array" aca="1" ref="V13" ca="1">INDIRECT(ADDRESS(V$1,V$2,1,1,$A13))</f>
        <v>0</v>
      </c>
      <c r="W13" cm="1">
        <f t="array" aca="1" ref="W13" ca="1">INDIRECT(ADDRESS(W$1,W$2,1,1,$A13))</f>
        <v>0</v>
      </c>
      <c r="X13" cm="1">
        <f t="array" aca="1" ref="X13" ca="1">INDIRECT(ADDRESS(X$1,X$2,1,1,$A13))</f>
        <v>0</v>
      </c>
      <c r="Y13" cm="1">
        <f t="array" aca="1" ref="Y13" ca="1">INDIRECT(ADDRESS(Y$1,Y$2,1,1,$A13))</f>
        <v>62.484499999999997</v>
      </c>
      <c r="Z13" cm="1">
        <f t="array" aca="1" ref="Z13" ca="1">INDIRECT(ADDRESS(Z$1,Z$2,1,1,$A13))</f>
        <v>37.515300000000003</v>
      </c>
      <c r="AA13" cm="1">
        <f t="array" aca="1" ref="AA13" ca="1">INDIRECT(ADDRESS(AA$1,AA$2,1,1,$A13))</f>
        <v>7.6999999999999999E-2</v>
      </c>
      <c r="AB13" cm="1">
        <f t="array" aca="1" ref="AB13" ca="1">INDIRECT(ADDRESS(AB$1,AB$2,1,1,$A13))</f>
        <v>-63.451300000000003</v>
      </c>
      <c r="AC13" cm="1">
        <f t="array" aca="1" ref="AC13" ca="1">INDIRECT(ADDRESS(AC$1,AC$2,1,1,$A13))</f>
        <v>37.515300000000003</v>
      </c>
      <c r="AD13" cm="1">
        <f t="array" aca="1" ref="AD13" ca="1">INDIRECT(ADDRESS(AD$1,AD$2,1,1,$A13))</f>
        <v>7.0099999999999996E-2</v>
      </c>
      <c r="AE13" cm="1">
        <f t="array" aca="1" ref="AE13" ca="1">INDIRECT(ADDRESS(AE$1,AE$2,1,1,$A13))</f>
        <v>-62.482199999999999</v>
      </c>
      <c r="AF13" cm="1">
        <f t="array" aca="1" ref="AF13" ca="1">INDIRECT(ADDRESS(AF$1,AF$2,1,1,$A13))</f>
        <v>-36.461300000000001</v>
      </c>
      <c r="AG13" cm="1">
        <f t="array" aca="1" ref="AG13" ca="1">INDIRECT(ADDRESS(AG$1,AG$2,1,1,$A13))</f>
        <v>7.7100000000000002E-2</v>
      </c>
      <c r="AH13" cm="1">
        <f t="array" aca="1" ref="AH13" ca="1">INDIRECT(ADDRESS(AH$1,AH$2,1,1,$A13))</f>
        <v>61.4422</v>
      </c>
      <c r="AI13" cm="1">
        <f t="array" aca="1" ref="AI13" ca="1">INDIRECT(ADDRESS(AI$1,AI$2,1,1,$A13))</f>
        <v>-37.465600000000002</v>
      </c>
      <c r="AJ13" cm="1">
        <f t="array" aca="1" ref="AJ13" ca="1">INDIRECT(ADDRESS(AJ$1,AJ$2,1,1,$A13))</f>
        <v>7.0499999999999993E-2</v>
      </c>
      <c r="AK13" s="15" cm="1">
        <f t="array" aca="1" ref="AK13" ca="1">INDIRECT(ADDRESS(AK$1,AK$2,1,1,$A13))</f>
        <v>72.881500000000003</v>
      </c>
      <c r="AL13" s="15" cm="1">
        <f t="array" aca="1" ref="AL13" ca="1">INDIRECT(ADDRESS(AL$1,AL$2,1,1,$A13))</f>
        <v>73.712000000000003</v>
      </c>
      <c r="AM13" s="15" cm="1">
        <f t="array" aca="1" ref="AM13" ca="1">INDIRECT(ADDRESS(AM$1,AM$2,1,1,$A13))</f>
        <v>72.342600000000004</v>
      </c>
      <c r="AN13" s="15" cm="1">
        <f t="array" aca="1" ref="AN13" ca="1">INDIRECT(ADDRESS(AN$1,AN$2,1,1,$A13))</f>
        <v>71.963999999999999</v>
      </c>
      <c r="AO13" s="15" cm="1">
        <f t="array" aca="1" ref="AO13" ca="1">INDIRECT(ADDRESS(AO$1,AO$2,1,1,$A13))</f>
        <v>125.9357</v>
      </c>
      <c r="AP13" s="15" cm="1">
        <f t="array" aca="1" ref="AP13" ca="1">INDIRECT(ADDRESS(AP$1,AP$2,1,1,$A13))</f>
        <v>145.22120000000001</v>
      </c>
      <c r="AQ13" s="15" cm="1">
        <f t="array" aca="1" ref="AQ13" ca="1">INDIRECT(ADDRESS(AQ$1,AQ$2,1,1,$A13))</f>
        <v>74.988100000000003</v>
      </c>
      <c r="AR13" s="15" cm="1">
        <f t="array" aca="1" ref="AR13" ca="1">INDIRECT(ADDRESS(AR$1,AR$2,1,1,$A13))</f>
        <v>73.982900000000001</v>
      </c>
      <c r="AS13" s="15" cm="1">
        <f t="array" aca="1" ref="AS13" ca="1">INDIRECT(ADDRESS(AS$1,AS$2,1,1,$A13))</f>
        <v>145.67259999999999</v>
      </c>
      <c r="AT13" s="15" cm="1">
        <f t="array" aca="1" ref="AT13" ca="1">INDIRECT(ADDRESS(AT$1,AT$2,1,1,$A13))</f>
        <v>123.9284</v>
      </c>
      <c r="AV13" s="15">
        <f t="shared" ca="1" si="0"/>
        <v>-2.3058591466451617E-5</v>
      </c>
      <c r="AW13" s="15">
        <f t="shared" ca="1" si="1"/>
        <v>-7.5807088762758212E-5</v>
      </c>
      <c r="AX13" s="15">
        <f t="shared" ca="1" si="2"/>
        <v>-4.0668833747758981E-5</v>
      </c>
      <c r="AY13" s="15">
        <f t="shared" ca="1" si="3"/>
        <v>-1.9443399636998038E-5</v>
      </c>
      <c r="AZ13" s="15">
        <f t="shared" ca="1" si="4"/>
        <v>-1.001890248772952E-4</v>
      </c>
      <c r="BA13" s="15">
        <f t="shared" ca="1" si="5"/>
        <v>-5.6902906607092518E-5</v>
      </c>
      <c r="BB13" s="15">
        <f t="shared" ca="1" si="6"/>
        <v>-4.4371960555622536E-5</v>
      </c>
      <c r="BC13" s="15">
        <f t="shared" ca="1" si="7"/>
        <v>-4.7706684412673894E-5</v>
      </c>
      <c r="BD13" s="15">
        <f t="shared" ca="1" si="8"/>
        <v>-5.2571510479992867E-5</v>
      </c>
      <c r="BE13" s="15">
        <f t="shared" ca="1" si="9"/>
        <v>-6.9600047908124907E-5</v>
      </c>
      <c r="BG13" s="15" cm="1">
        <f t="array" aca="1" ref="BG13" ca="1">INDIRECT(ADDRESS(BG$1,BG$2,1,1,$A13))</f>
        <v>0.01</v>
      </c>
      <c r="BH13" s="15" cm="1">
        <f t="array" aca="1" ref="BH13" ca="1">INDIRECT(ADDRESS(BH$1,BH$2,1,1,$A13))</f>
        <v>1.17E-2</v>
      </c>
      <c r="BI13" s="15" cm="1">
        <f t="array" aca="1" ref="BI13" ca="1">INDIRECT(ADDRESS(BI$1,BI$2,1,1,$A13))</f>
        <v>9.2999999999999992E-3</v>
      </c>
      <c r="BJ13" s="15" cm="1">
        <f t="array" aca="1" ref="BJ13" ca="1">INDIRECT(ADDRESS(BJ$1,BJ$2,1,1,$A13))</f>
        <v>1.2800000000000001E-2</v>
      </c>
      <c r="BK13" s="15" cm="1">
        <f t="array" aca="1" ref="BK13" ca="1">INDIRECT(ADDRESS(BK$1,BK$2,1,1,$A13))</f>
        <v>5.0000000000000001E-3</v>
      </c>
      <c r="BN13" s="32"/>
    </row>
    <row r="14" spans="1:66" x14ac:dyDescent="0.25">
      <c r="A14" t="s">
        <v>53</v>
      </c>
      <c r="B14" t="str" cm="1">
        <f t="array" aca="1" ref="B14" ca="1">LEFT(INDIRECT(ADDRESS(B$1,B$2,1,1,$A14)),FIND("-",INDIRECT(ADDRESS(B$1,B$2,1,1,$A14)))-1)</f>
        <v>P509</v>
      </c>
      <c r="C14" t="str" cm="1">
        <f t="array" aca="1" ref="C14" ca="1">RIGHT(INDIRECT(ADDRESS(B$1,B$2,1,1,$A14)),LEN(INDIRECT(ADDRESS(B$1,B$2,1,1,$A14)))-FIND("-",INDIRECT(ADDRESS(B$1,B$2,1,1,$A14))))</f>
        <v>east</v>
      </c>
      <c r="D14" s="10" cm="1">
        <f t="array" aca="1" ref="D14" ca="1">DATE(MID(INDIRECT(ADDRESS(D$1,D$2,1,1,$A14)),1,4),MID(INDIRECT(ADDRESS(D$1,D$2,1,1,$A14)),5,2),MID(INDIRECT(ADDRESS(D$1,D$2,1,1,$A14)),7,2))+TIME(MID(INDIRECT(ADDRESS(D$1,D$2,1,1,$A14)),10,2),MID(INDIRECT(ADDRESS(D$1,D$2,1,1,$A14)),12,2),0)</f>
        <v>44260.542361111111</v>
      </c>
      <c r="E14" cm="1">
        <f t="array" aca="1" ref="E14" ca="1">INDIRECT(ADDRESS(E$1,E$2,1,1,$A14))</f>
        <v>0</v>
      </c>
      <c r="F14" s="11" cm="1">
        <f t="array" aca="1" ref="F14" ca="1">VALUE(SUBSTITUTE(INDIRECT(ADDRESS(F$1,F$2,1,1,$A14)),"┬░C",""))</f>
        <v>19.100000000000001</v>
      </c>
      <c r="G14" s="12" cm="1">
        <f t="array" aca="1" ref="G14" ca="1">INDIRECT(ADDRESS(G$1,G$2,1,1,$A14))</f>
        <v>25.3993</v>
      </c>
      <c r="H14" cm="1">
        <f t="array" aca="1" ref="H14" ca="1">INDIRECT(ADDRESS(H$1,H$2,1,1,$A14))</f>
        <v>25.4025</v>
      </c>
      <c r="I14" cm="1">
        <f t="array" aca="1" ref="I14" ca="1">INDIRECT(ADDRESS(I$1,I$2,1,1,$A14))</f>
        <v>25.402999999999999</v>
      </c>
      <c r="J14" cm="1">
        <f t="array" aca="1" ref="J14" ca="1">INDIRECT(ADDRESS(J$1,J$2,1,1,$A14))</f>
        <v>25.404499999999999</v>
      </c>
      <c r="K14" s="13" cm="1">
        <f t="array" aca="1" ref="K14" ca="1">INDIRECT(ADDRESS(K$1,K$2,1,1,$A14))</f>
        <v>25.4024</v>
      </c>
      <c r="L14" s="14" cm="1">
        <f t="array" aca="1" ref="L14" ca="1">SQRT(SUMSQ(Y14:AA14-V14:X14))</f>
        <v>72.881471333185914</v>
      </c>
      <c r="M14" s="15" cm="1">
        <f t="array" aca="1" ref="M14" ca="1">SQRT(SUMSQ(AB14:AD14-V14:X14))</f>
        <v>73.711849560433635</v>
      </c>
      <c r="N14" s="15" cm="1">
        <f t="array" aca="1" ref="N14" ca="1">SQRT(SUMSQ(AE14:AG14-V14:X14))</f>
        <v>72.342388467205026</v>
      </c>
      <c r="O14" s="15" cm="1">
        <f t="array" aca="1" ref="O14" ca="1">SQRT(SUMSQ(AH14:AJ14-V14:X14))</f>
        <v>71.964413611590004</v>
      </c>
      <c r="P14" s="15" cm="1">
        <f t="array" aca="1" ref="P14" ca="1">SQRT(SUMSQ(AB14:AD14-Y14:AA14))</f>
        <v>125.93500013820622</v>
      </c>
      <c r="Q14" s="15" cm="1">
        <f t="array" aca="1" ref="Q14" ca="1">SQRT(SUMSQ(AE14:AG14-Y14:AA14))</f>
        <v>145.22095673073497</v>
      </c>
      <c r="R14" s="15" cm="1">
        <f t="array" aca="1" ref="R14" ca="1">SQRT(SUMSQ(AH14:AJ14-Y14:AA14))</f>
        <v>74.988634517305371</v>
      </c>
      <c r="S14" s="15" cm="1">
        <f t="array" aca="1" ref="S14" ca="1">SQRT(SUMSQ(AE14:AG14-AB14:AD14))</f>
        <v>73.984050144473713</v>
      </c>
      <c r="T14" s="15" cm="1">
        <f t="array" aca="1" ref="T14" ca="1">SQRT(SUMSQ(AH14:AJ14-AB14:AD14))</f>
        <v>145.67282419751461</v>
      </c>
      <c r="U14" s="16" cm="1">
        <f t="array" aca="1" ref="U14" ca="1">SQRT(SUMSQ(AH14:AJ14-AE14:AG14))</f>
        <v>123.92816469979695</v>
      </c>
      <c r="V14" cm="1">
        <f t="array" aca="1" ref="V14" ca="1">INDIRECT(ADDRESS(V$1,V$2,1,1,$A14))</f>
        <v>0</v>
      </c>
      <c r="W14" cm="1">
        <f t="array" aca="1" ref="W14" ca="1">INDIRECT(ADDRESS(W$1,W$2,1,1,$A14))</f>
        <v>0</v>
      </c>
      <c r="X14" cm="1">
        <f t="array" aca="1" ref="X14" ca="1">INDIRECT(ADDRESS(X$1,X$2,1,1,$A14))</f>
        <v>0</v>
      </c>
      <c r="Y14" cm="1">
        <f t="array" aca="1" ref="Y14" ca="1">INDIRECT(ADDRESS(Y$1,Y$2,1,1,$A14))</f>
        <v>62.484200000000001</v>
      </c>
      <c r="Z14" cm="1">
        <f t="array" aca="1" ref="Z14" ca="1">INDIRECT(ADDRESS(Z$1,Z$2,1,1,$A14))</f>
        <v>37.515700000000002</v>
      </c>
      <c r="AA14" cm="1">
        <f t="array" aca="1" ref="AA14" ca="1">INDIRECT(ADDRESS(AA$1,AA$2,1,1,$A14))</f>
        <v>7.6600000000000001E-2</v>
      </c>
      <c r="AB14" cm="1">
        <f t="array" aca="1" ref="AB14" ca="1">INDIRECT(ADDRESS(AB$1,AB$2,1,1,$A14))</f>
        <v>-63.450800000000001</v>
      </c>
      <c r="AC14" cm="1">
        <f t="array" aca="1" ref="AC14" ca="1">INDIRECT(ADDRESS(AC$1,AC$2,1,1,$A14))</f>
        <v>37.515700000000002</v>
      </c>
      <c r="AD14" cm="1">
        <f t="array" aca="1" ref="AD14" ca="1">INDIRECT(ADDRESS(AD$1,AD$2,1,1,$A14))</f>
        <v>7.0699999999999999E-2</v>
      </c>
      <c r="AE14" cm="1">
        <f t="array" aca="1" ref="AE14" ca="1">INDIRECT(ADDRESS(AE$1,AE$2,1,1,$A14))</f>
        <v>-62.481499999999997</v>
      </c>
      <c r="AF14" cm="1">
        <f t="array" aca="1" ref="AF14" ca="1">INDIRECT(ADDRESS(AF$1,AF$2,1,1,$A14))</f>
        <v>-36.462000000000003</v>
      </c>
      <c r="AG14" cm="1">
        <f t="array" aca="1" ref="AG14" ca="1">INDIRECT(ADDRESS(AG$1,AG$2,1,1,$A14))</f>
        <v>7.6700000000000004E-2</v>
      </c>
      <c r="AH14" cm="1">
        <f t="array" aca="1" ref="AH14" ca="1">INDIRECT(ADDRESS(AH$1,AH$2,1,1,$A14))</f>
        <v>61.442599999999999</v>
      </c>
      <c r="AI14" cm="1">
        <f t="array" aca="1" ref="AI14" ca="1">INDIRECT(ADDRESS(AI$1,AI$2,1,1,$A14))</f>
        <v>-37.465699999999998</v>
      </c>
      <c r="AJ14" cm="1">
        <f t="array" aca="1" ref="AJ14" ca="1">INDIRECT(ADDRESS(AJ$1,AJ$2,1,1,$A14))</f>
        <v>7.1099999999999997E-2</v>
      </c>
      <c r="AK14" s="15" cm="1">
        <f t="array" aca="1" ref="AK14" ca="1">INDIRECT(ADDRESS(AK$1,AK$2,1,1,$A14))</f>
        <v>72.881399999999999</v>
      </c>
      <c r="AL14" s="15" cm="1">
        <f t="array" aca="1" ref="AL14" ca="1">INDIRECT(ADDRESS(AL$1,AL$2,1,1,$A14))</f>
        <v>73.711799999999997</v>
      </c>
      <c r="AM14" s="15" cm="1">
        <f t="array" aca="1" ref="AM14" ca="1">INDIRECT(ADDRESS(AM$1,AM$2,1,1,$A14))</f>
        <v>72.342399999999998</v>
      </c>
      <c r="AN14" s="15" cm="1">
        <f t="array" aca="1" ref="AN14" ca="1">INDIRECT(ADDRESS(AN$1,AN$2,1,1,$A14))</f>
        <v>71.964399999999998</v>
      </c>
      <c r="AO14" s="15" cm="1">
        <f t="array" aca="1" ref="AO14" ca="1">INDIRECT(ADDRESS(AO$1,AO$2,1,1,$A14))</f>
        <v>125.935</v>
      </c>
      <c r="AP14" s="15" cm="1">
        <f t="array" aca="1" ref="AP14" ca="1">INDIRECT(ADDRESS(AP$1,AP$2,1,1,$A14))</f>
        <v>145.2209</v>
      </c>
      <c r="AQ14" s="15" cm="1">
        <f t="array" aca="1" ref="AQ14" ca="1">INDIRECT(ADDRESS(AQ$1,AQ$2,1,1,$A14))</f>
        <v>74.988600000000005</v>
      </c>
      <c r="AR14" s="15" cm="1">
        <f t="array" aca="1" ref="AR14" ca="1">INDIRECT(ADDRESS(AR$1,AR$2,1,1,$A14))</f>
        <v>73.983999999999995</v>
      </c>
      <c r="AS14" s="15" cm="1">
        <f t="array" aca="1" ref="AS14" ca="1">INDIRECT(ADDRESS(AS$1,AS$2,1,1,$A14))</f>
        <v>145.6728</v>
      </c>
      <c r="AT14" s="15" cm="1">
        <f t="array" aca="1" ref="AT14" ca="1">INDIRECT(ADDRESS(AT$1,AT$2,1,1,$A14))</f>
        <v>123.9282</v>
      </c>
      <c r="AV14" s="15">
        <f t="shared" ca="1" si="0"/>
        <v>-7.1333185914568276E-5</v>
      </c>
      <c r="AW14" s="15">
        <f t="shared" ca="1" si="1"/>
        <v>-4.9560433637907408E-5</v>
      </c>
      <c r="AX14" s="15">
        <f t="shared" ca="1" si="2"/>
        <v>1.1532794971458316E-5</v>
      </c>
      <c r="AY14" s="15">
        <f t="shared" ca="1" si="3"/>
        <v>-1.3611590006235019E-5</v>
      </c>
      <c r="AZ14" s="15">
        <f t="shared" ca="1" si="4"/>
        <v>-1.3820621802551614E-7</v>
      </c>
      <c r="BA14" s="15">
        <f t="shared" ca="1" si="5"/>
        <v>-5.6730734968368779E-5</v>
      </c>
      <c r="BB14" s="15">
        <f t="shared" ca="1" si="6"/>
        <v>-3.4517305365966422E-5</v>
      </c>
      <c r="BC14" s="15">
        <f t="shared" ca="1" si="7"/>
        <v>-5.0144473718205518E-5</v>
      </c>
      <c r="BD14" s="15">
        <f t="shared" ca="1" si="8"/>
        <v>-2.4197514619572758E-5</v>
      </c>
      <c r="BE14" s="15">
        <f t="shared" ca="1" si="9"/>
        <v>3.530020305220205E-5</v>
      </c>
      <c r="BG14" s="15" cm="1">
        <f t="array" aca="1" ref="BG14" ca="1">INDIRECT(ADDRESS(BG$1,BG$2,1,1,$A14))</f>
        <v>4.7999999999999996E-3</v>
      </c>
      <c r="BH14" s="15" cm="1">
        <f t="array" aca="1" ref="BH14" ca="1">INDIRECT(ADDRESS(BH$1,BH$2,1,1,$A14))</f>
        <v>4.7000000000000002E-3</v>
      </c>
      <c r="BI14" s="15" cm="1">
        <f t="array" aca="1" ref="BI14" ca="1">INDIRECT(ADDRESS(BI$1,BI$2,1,1,$A14))</f>
        <v>8.8000000000000005E-3</v>
      </c>
      <c r="BJ14" s="15" cm="1">
        <f t="array" aca="1" ref="BJ14" ca="1">INDIRECT(ADDRESS(BJ$1,BJ$2,1,1,$A14))</f>
        <v>6.4000000000000003E-3</v>
      </c>
      <c r="BK14" s="15" cm="1">
        <f t="array" aca="1" ref="BK14" ca="1">INDIRECT(ADDRESS(BK$1,BK$2,1,1,$A14))</f>
        <v>6.8999999999999999E-3</v>
      </c>
      <c r="BN14" s="32"/>
    </row>
    <row r="15" spans="1:66" x14ac:dyDescent="0.25">
      <c r="A15" t="s">
        <v>56</v>
      </c>
      <c r="B15" t="str" cm="1">
        <f t="array" aca="1" ref="B15" ca="1">LEFT(INDIRECT(ADDRESS(B$1,B$2,1,1,$A15)),FIND("-",INDIRECT(ADDRESS(B$1,B$2,1,1,$A15)))-1)</f>
        <v>P509</v>
      </c>
      <c r="C15" t="str" cm="1">
        <f t="array" aca="1" ref="C15" ca="1">RIGHT(INDIRECT(ADDRESS(B$1,B$2,1,1,$A15)),LEN(INDIRECT(ADDRESS(B$1,B$2,1,1,$A15)))-FIND("-",INDIRECT(ADDRESS(B$1,B$2,1,1,$A15))))</f>
        <v>east</v>
      </c>
      <c r="D15" s="10" cm="1">
        <f t="array" aca="1" ref="D15" ca="1">DATE(MID(INDIRECT(ADDRESS(D$1,D$2,1,1,$A15)),1,4),MID(INDIRECT(ADDRESS(D$1,D$2,1,1,$A15)),5,2),MID(INDIRECT(ADDRESS(D$1,D$2,1,1,$A15)),7,2))+TIME(MID(INDIRECT(ADDRESS(D$1,D$2,1,1,$A15)),10,2),MID(INDIRECT(ADDRESS(D$1,D$2,1,1,$A15)),12,2),0)</f>
        <v>44260.544444444444</v>
      </c>
      <c r="E15" cm="1">
        <f t="array" aca="1" ref="E15" ca="1">INDIRECT(ADDRESS(E$1,E$2,1,1,$A15))</f>
        <v>0</v>
      </c>
      <c r="F15" s="11" cm="1">
        <f t="array" aca="1" ref="F15" ca="1">VALUE(SUBSTITUTE(INDIRECT(ADDRESS(F$1,F$2,1,1,$A15)),"┬░C",""))</f>
        <v>19.100000000000001</v>
      </c>
      <c r="G15" s="12" cm="1">
        <f t="array" aca="1" ref="G15" ca="1">INDIRECT(ADDRESS(G$1,G$2,1,1,$A15))</f>
        <v>25.399899999999999</v>
      </c>
      <c r="H15" cm="1">
        <f t="array" aca="1" ref="H15" ca="1">INDIRECT(ADDRESS(H$1,H$2,1,1,$A15))</f>
        <v>25.402899999999999</v>
      </c>
      <c r="I15" cm="1">
        <f t="array" aca="1" ref="I15" ca="1">INDIRECT(ADDRESS(I$1,I$2,1,1,$A15))</f>
        <v>25.402799999999999</v>
      </c>
      <c r="J15" cm="1">
        <f t="array" aca="1" ref="J15" ca="1">INDIRECT(ADDRESS(J$1,J$2,1,1,$A15))</f>
        <v>25.405100000000001</v>
      </c>
      <c r="K15" s="13" cm="1">
        <f t="array" aca="1" ref="K15" ca="1">INDIRECT(ADDRESS(K$1,K$2,1,1,$A15))</f>
        <v>25.402200000000001</v>
      </c>
      <c r="L15" s="14" cm="1">
        <f t="array" aca="1" ref="L15" ca="1">SQRT(SUMSQ(Y15:AA15-V15:X15))</f>
        <v>72.881266598626013</v>
      </c>
      <c r="M15" s="15" cm="1">
        <f t="array" aca="1" ref="M15" ca="1">SQRT(SUMSQ(AB15:AD15-V15:X15))</f>
        <v>73.71164665566765</v>
      </c>
      <c r="N15" s="15" cm="1">
        <f t="array" aca="1" ref="N15" ca="1">SQRT(SUMSQ(AE15:AG15-V15:X15))</f>
        <v>72.342979685799506</v>
      </c>
      <c r="O15" s="15" cm="1">
        <f t="array" aca="1" ref="O15" ca="1">SQRT(SUMSQ(AH15:AJ15-V15:X15))</f>
        <v>71.964566321905949</v>
      </c>
      <c r="P15" s="15" cm="1">
        <f t="array" aca="1" ref="P15" ca="1">SQRT(SUMSQ(AB15:AD15-Y15:AA15))</f>
        <v>125.9350001575813</v>
      </c>
      <c r="Q15" s="15" cm="1">
        <f t="array" aca="1" ref="Q15" ca="1">SQRT(SUMSQ(AE15:AG15-Y15:AA15))</f>
        <v>145.22133950167242</v>
      </c>
      <c r="R15" s="15" cm="1">
        <f t="array" aca="1" ref="R15" ca="1">SQRT(SUMSQ(AH15:AJ15-Y15:AA15))</f>
        <v>74.988030439130753</v>
      </c>
      <c r="S15" s="15" cm="1">
        <f t="array" aca="1" ref="S15" ca="1">SQRT(SUMSQ(AE15:AG15-AB15:AD15))</f>
        <v>73.98343974397244</v>
      </c>
      <c r="T15" s="15" cm="1">
        <f t="array" aca="1" ref="T15" ca="1">SQRT(SUMSQ(AH15:AJ15-AB15:AD15))</f>
        <v>145.67277257088915</v>
      </c>
      <c r="U15" s="16" cm="1">
        <f t="array" aca="1" ref="U15" ca="1">SQRT(SUMSQ(AH15:AJ15-AE15:AG15))</f>
        <v>123.92926467763779</v>
      </c>
      <c r="V15" cm="1">
        <f t="array" aca="1" ref="V15" ca="1">INDIRECT(ADDRESS(V$1,V$2,1,1,$A15))</f>
        <v>0</v>
      </c>
      <c r="W15" cm="1">
        <f t="array" aca="1" ref="W15" ca="1">INDIRECT(ADDRESS(W$1,W$2,1,1,$A15))</f>
        <v>0</v>
      </c>
      <c r="X15" cm="1">
        <f t="array" aca="1" ref="X15" ca="1">INDIRECT(ADDRESS(X$1,X$2,1,1,$A15))</f>
        <v>0</v>
      </c>
      <c r="Y15" cm="1">
        <f t="array" aca="1" ref="Y15" ca="1">INDIRECT(ADDRESS(Y$1,Y$2,1,1,$A15))</f>
        <v>62.484200000000001</v>
      </c>
      <c r="Z15" cm="1">
        <f t="array" aca="1" ref="Z15" ca="1">INDIRECT(ADDRESS(Z$1,Z$2,1,1,$A15))</f>
        <v>37.515300000000003</v>
      </c>
      <c r="AA15" cm="1">
        <f t="array" aca="1" ref="AA15" ca="1">INDIRECT(ADDRESS(AA$1,AA$2,1,1,$A15))</f>
        <v>7.7700000000000005E-2</v>
      </c>
      <c r="AB15" cm="1">
        <f t="array" aca="1" ref="AB15" ca="1">INDIRECT(ADDRESS(AB$1,AB$2,1,1,$A15))</f>
        <v>-63.450800000000001</v>
      </c>
      <c r="AC15" cm="1">
        <f t="array" aca="1" ref="AC15" ca="1">INDIRECT(ADDRESS(AC$1,AC$2,1,1,$A15))</f>
        <v>37.515300000000003</v>
      </c>
      <c r="AD15" cm="1">
        <f t="array" aca="1" ref="AD15" ca="1">INDIRECT(ADDRESS(AD$1,AD$2,1,1,$A15))</f>
        <v>7.1400000000000005E-2</v>
      </c>
      <c r="AE15" cm="1">
        <f t="array" aca="1" ref="AE15" ca="1">INDIRECT(ADDRESS(AE$1,AE$2,1,1,$A15))</f>
        <v>-62.482300000000002</v>
      </c>
      <c r="AF15" cm="1">
        <f t="array" aca="1" ref="AF15" ca="1">INDIRECT(ADDRESS(AF$1,AF$2,1,1,$A15))</f>
        <v>-36.461799999999997</v>
      </c>
      <c r="AG15" cm="1">
        <f t="array" aca="1" ref="AG15" ca="1">INDIRECT(ADDRESS(AG$1,AG$2,1,1,$A15))</f>
        <v>7.7700000000000005E-2</v>
      </c>
      <c r="AH15" cm="1">
        <f t="array" aca="1" ref="AH15" ca="1">INDIRECT(ADDRESS(AH$1,AH$2,1,1,$A15))</f>
        <v>61.442900000000002</v>
      </c>
      <c r="AI15" cm="1">
        <f t="array" aca="1" ref="AI15" ca="1">INDIRECT(ADDRESS(AI$1,AI$2,1,1,$A15))</f>
        <v>-37.465499999999999</v>
      </c>
      <c r="AJ15" cm="1">
        <f t="array" aca="1" ref="AJ15" ca="1">INDIRECT(ADDRESS(AJ$1,AJ$2,1,1,$A15))</f>
        <v>7.1800000000000003E-2</v>
      </c>
      <c r="AK15" s="15" cm="1">
        <f t="array" aca="1" ref="AK15" ca="1">INDIRECT(ADDRESS(AK$1,AK$2,1,1,$A15))</f>
        <v>72.881200000000007</v>
      </c>
      <c r="AL15" s="15" cm="1">
        <f t="array" aca="1" ref="AL15" ca="1">INDIRECT(ADDRESS(AL$1,AL$2,1,1,$A15))</f>
        <v>73.711600000000004</v>
      </c>
      <c r="AM15" s="15" cm="1">
        <f t="array" aca="1" ref="AM15" ca="1">INDIRECT(ADDRESS(AM$1,AM$2,1,1,$A15))</f>
        <v>72.3429</v>
      </c>
      <c r="AN15" s="15" cm="1">
        <f t="array" aca="1" ref="AN15" ca="1">INDIRECT(ADDRESS(AN$1,AN$2,1,1,$A15))</f>
        <v>71.964600000000004</v>
      </c>
      <c r="AO15" s="15" cm="1">
        <f t="array" aca="1" ref="AO15" ca="1">INDIRECT(ADDRESS(AO$1,AO$2,1,1,$A15))</f>
        <v>125.935</v>
      </c>
      <c r="AP15" s="15" cm="1">
        <f t="array" aca="1" ref="AP15" ca="1">INDIRECT(ADDRESS(AP$1,AP$2,1,1,$A15))</f>
        <v>145.22130000000001</v>
      </c>
      <c r="AQ15" s="15" cm="1">
        <f t="array" aca="1" ref="AQ15" ca="1">INDIRECT(ADDRESS(AQ$1,AQ$2,1,1,$A15))</f>
        <v>74.988</v>
      </c>
      <c r="AR15" s="15" cm="1">
        <f t="array" aca="1" ref="AR15" ca="1">INDIRECT(ADDRESS(AR$1,AR$2,1,1,$A15))</f>
        <v>73.983400000000003</v>
      </c>
      <c r="AS15" s="15" cm="1">
        <f t="array" aca="1" ref="AS15" ca="1">INDIRECT(ADDRESS(AS$1,AS$2,1,1,$A15))</f>
        <v>145.6728</v>
      </c>
      <c r="AT15" s="15" cm="1">
        <f t="array" aca="1" ref="AT15" ca="1">INDIRECT(ADDRESS(AT$1,AT$2,1,1,$A15))</f>
        <v>123.9293</v>
      </c>
      <c r="AV15" s="15">
        <f t="shared" ca="1" si="0"/>
        <v>-6.6598626005998085E-5</v>
      </c>
      <c r="AW15" s="15">
        <f t="shared" ca="1" si="1"/>
        <v>-4.6655667645723042E-5</v>
      </c>
      <c r="AX15" s="15">
        <f t="shared" ca="1" si="2"/>
        <v>-7.9685799505568866E-5</v>
      </c>
      <c r="AY15" s="15">
        <f t="shared" ca="1" si="3"/>
        <v>3.3678094055744623E-5</v>
      </c>
      <c r="AZ15" s="15">
        <f t="shared" ca="1" si="4"/>
        <v>-1.5758129734422255E-7</v>
      </c>
      <c r="BA15" s="15">
        <f t="shared" ca="1" si="5"/>
        <v>-3.9501672404185229E-5</v>
      </c>
      <c r="BB15" s="15">
        <f t="shared" ca="1" si="6"/>
        <v>-3.0439130753734389E-5</v>
      </c>
      <c r="BC15" s="15">
        <f t="shared" ca="1" si="7"/>
        <v>-3.9743972436667718E-5</v>
      </c>
      <c r="BD15" s="15">
        <f t="shared" ca="1" si="8"/>
        <v>2.7429110843968374E-5</v>
      </c>
      <c r="BE15" s="15">
        <f t="shared" ca="1" si="9"/>
        <v>3.5322362208489722E-5</v>
      </c>
      <c r="BG15" s="15" cm="1">
        <f t="array" aca="1" ref="BG15" ca="1">INDIRECT(ADDRESS(BG$1,BG$2,1,1,$A15))</f>
        <v>5.3E-3</v>
      </c>
      <c r="BH15" s="15" cm="1">
        <f t="array" aca="1" ref="BH15" ca="1">INDIRECT(ADDRESS(BH$1,BH$2,1,1,$A15))</f>
        <v>4.1000000000000003E-3</v>
      </c>
      <c r="BI15" s="15" cm="1">
        <f t="array" aca="1" ref="BI15" ca="1">INDIRECT(ADDRESS(BI$1,BI$2,1,1,$A15))</f>
        <v>4.3E-3</v>
      </c>
      <c r="BJ15" s="15" cm="1">
        <f t="array" aca="1" ref="BJ15" ca="1">INDIRECT(ADDRESS(BJ$1,BJ$2,1,1,$A15))</f>
        <v>6.1999999999999998E-3</v>
      </c>
      <c r="BK15" s="15" cm="1">
        <f t="array" aca="1" ref="BK15" ca="1">INDIRECT(ADDRESS(BK$1,BK$2,1,1,$A15))</f>
        <v>6.4000000000000003E-3</v>
      </c>
      <c r="BN15" s="32"/>
    </row>
    <row r="16" spans="1:66" x14ac:dyDescent="0.25">
      <c r="A16" t="s">
        <v>59</v>
      </c>
      <c r="B16" t="str" cm="1">
        <f t="array" aca="1" ref="B16" ca="1">LEFT(INDIRECT(ADDRESS(B$1,B$2,1,1,$A16)),FIND("-",INDIRECT(ADDRESS(B$1,B$2,1,1,$A16)))-1)</f>
        <v>P509</v>
      </c>
      <c r="C16" t="str" cm="1">
        <f t="array" aca="1" ref="C16" ca="1">RIGHT(INDIRECT(ADDRESS(B$1,B$2,1,1,$A16)),LEN(INDIRECT(ADDRESS(B$1,B$2,1,1,$A16)))-FIND("-",INDIRECT(ADDRESS(B$1,B$2,1,1,$A16))))</f>
        <v>east</v>
      </c>
      <c r="D16" s="10" cm="1">
        <f t="array" aca="1" ref="D16" ca="1">DATE(MID(INDIRECT(ADDRESS(D$1,D$2,1,1,$A16)),1,4),MID(INDIRECT(ADDRESS(D$1,D$2,1,1,$A16)),5,2),MID(INDIRECT(ADDRESS(D$1,D$2,1,1,$A16)),7,2))+TIME(MID(INDIRECT(ADDRESS(D$1,D$2,1,1,$A16)),10,2),MID(INDIRECT(ADDRESS(D$1,D$2,1,1,$A16)),12,2),0)</f>
        <v>44260.547222222223</v>
      </c>
      <c r="E16" cm="1">
        <f t="array" aca="1" ref="E16" ca="1">INDIRECT(ADDRESS(E$1,E$2,1,1,$A16))</f>
        <v>0</v>
      </c>
      <c r="F16" s="11" cm="1">
        <f t="array" aca="1" ref="F16" ca="1">VALUE(SUBSTITUTE(INDIRECT(ADDRESS(F$1,F$2,1,1,$A16)),"┬░C",""))</f>
        <v>19.100000000000001</v>
      </c>
      <c r="G16" s="12" cm="1">
        <f t="array" aca="1" ref="G16" ca="1">INDIRECT(ADDRESS(G$1,G$2,1,1,$A16))</f>
        <v>25.399799999999999</v>
      </c>
      <c r="H16" cm="1">
        <f t="array" aca="1" ref="H16" ca="1">INDIRECT(ADDRESS(H$1,H$2,1,1,$A16))</f>
        <v>25.402100000000001</v>
      </c>
      <c r="I16" cm="1">
        <f t="array" aca="1" ref="I16" ca="1">INDIRECT(ADDRESS(I$1,I$2,1,1,$A16))</f>
        <v>25.403300000000002</v>
      </c>
      <c r="J16" cm="1">
        <f t="array" aca="1" ref="J16" ca="1">INDIRECT(ADDRESS(J$1,J$2,1,1,$A16))</f>
        <v>25.404599999999999</v>
      </c>
      <c r="K16" s="13" cm="1">
        <f t="array" aca="1" ref="K16" ca="1">INDIRECT(ADDRESS(K$1,K$2,1,1,$A16))</f>
        <v>25.4023</v>
      </c>
      <c r="L16" s="14" cm="1">
        <f t="array" aca="1" ref="L16" ca="1">SQRT(SUMSQ(Y16:AA16-V16:X16))</f>
        <v>72.88107780885241</v>
      </c>
      <c r="M16" s="15" cm="1">
        <f t="array" aca="1" ref="M16" ca="1">SQRT(SUMSQ(AB16:AD16-V16:X16))</f>
        <v>73.712233023969631</v>
      </c>
      <c r="N16" s="15" cm="1">
        <f t="array" aca="1" ref="N16" ca="1">SQRT(SUMSQ(AE16:AG16-V16:X16))</f>
        <v>72.342878883411871</v>
      </c>
      <c r="O16" s="15" cm="1">
        <f t="array" aca="1" ref="O16" ca="1">SQRT(SUMSQ(AH16:AJ16-V16:X16))</f>
        <v>71.964076466942871</v>
      </c>
      <c r="P16" s="15" cm="1">
        <f t="array" aca="1" ref="P16" ca="1">SQRT(SUMSQ(AB16:AD16-Y16:AA16))</f>
        <v>125.93570017822587</v>
      </c>
      <c r="Q16" s="15" cm="1">
        <f t="array" aca="1" ref="Q16" ca="1">SQRT(SUMSQ(AE16:AG16-Y16:AA16))</f>
        <v>145.22104968584958</v>
      </c>
      <c r="R16" s="15" cm="1">
        <f t="array" aca="1" ref="R16" ca="1">SQRT(SUMSQ(AH16:AJ16-Y16:AA16))</f>
        <v>74.988542926369774</v>
      </c>
      <c r="S16" s="15" cm="1">
        <f t="array" aca="1" ref="S16" ca="1">SQRT(SUMSQ(AE16:AG16-AB16:AD16))</f>
        <v>73.983050299511177</v>
      </c>
      <c r="T16" s="15" cm="1">
        <f t="array" aca="1" ref="T16" ca="1">SQRT(SUMSQ(AH16:AJ16-AB16:AD16))</f>
        <v>145.67285846066176</v>
      </c>
      <c r="U16" s="16" cm="1">
        <f t="array" aca="1" ref="U16" ca="1">SQRT(SUMSQ(AH16:AJ16-AE16:AG16))</f>
        <v>123.92827202765315</v>
      </c>
      <c r="V16" cm="1">
        <f t="array" aca="1" ref="V16" ca="1">INDIRECT(ADDRESS(V$1,V$2,1,1,$A16))</f>
        <v>0</v>
      </c>
      <c r="W16" cm="1">
        <f t="array" aca="1" ref="W16" ca="1">INDIRECT(ADDRESS(W$1,W$2,1,1,$A16))</f>
        <v>0</v>
      </c>
      <c r="X16" cm="1">
        <f t="array" aca="1" ref="X16" ca="1">INDIRECT(ADDRESS(X$1,X$2,1,1,$A16))</f>
        <v>0</v>
      </c>
      <c r="Y16" cm="1">
        <f t="array" aca="1" ref="Y16" ca="1">INDIRECT(ADDRESS(Y$1,Y$2,1,1,$A16))</f>
        <v>62.484099999999998</v>
      </c>
      <c r="Z16" cm="1">
        <f t="array" aca="1" ref="Z16" ca="1">INDIRECT(ADDRESS(Z$1,Z$2,1,1,$A16))</f>
        <v>37.515099999999997</v>
      </c>
      <c r="AA16" cm="1">
        <f t="array" aca="1" ref="AA16" ca="1">INDIRECT(ADDRESS(AA$1,AA$2,1,1,$A16))</f>
        <v>7.7600000000000002E-2</v>
      </c>
      <c r="AB16" cm="1">
        <f t="array" aca="1" ref="AB16" ca="1">INDIRECT(ADDRESS(AB$1,AB$2,1,1,$A16))</f>
        <v>-63.451599999999999</v>
      </c>
      <c r="AC16" cm="1">
        <f t="array" aca="1" ref="AC16" ca="1">INDIRECT(ADDRESS(AC$1,AC$2,1,1,$A16))</f>
        <v>37.515099999999997</v>
      </c>
      <c r="AD16" cm="1">
        <f t="array" aca="1" ref="AD16" ca="1">INDIRECT(ADDRESS(AD$1,AD$2,1,1,$A16))</f>
        <v>7.0900000000000005E-2</v>
      </c>
      <c r="AE16" cm="1">
        <f t="array" aca="1" ref="AE16" ca="1">INDIRECT(ADDRESS(AE$1,AE$2,1,1,$A16))</f>
        <v>-62.482300000000002</v>
      </c>
      <c r="AF16" cm="1">
        <f t="array" aca="1" ref="AF16" ca="1">INDIRECT(ADDRESS(AF$1,AF$2,1,1,$A16))</f>
        <v>-36.461599999999997</v>
      </c>
      <c r="AG16" cm="1">
        <f t="array" aca="1" ref="AG16" ca="1">INDIRECT(ADDRESS(AG$1,AG$2,1,1,$A16))</f>
        <v>7.7700000000000005E-2</v>
      </c>
      <c r="AH16" cm="1">
        <f t="array" aca="1" ref="AH16" ca="1">INDIRECT(ADDRESS(AH$1,AH$2,1,1,$A16))</f>
        <v>61.441899999999997</v>
      </c>
      <c r="AI16" cm="1">
        <f t="array" aca="1" ref="AI16" ca="1">INDIRECT(ADDRESS(AI$1,AI$2,1,1,$A16))</f>
        <v>-37.466200000000001</v>
      </c>
      <c r="AJ16" cm="1">
        <f t="array" aca="1" ref="AJ16" ca="1">INDIRECT(ADDRESS(AJ$1,AJ$2,1,1,$A16))</f>
        <v>7.1300000000000002E-2</v>
      </c>
      <c r="AK16" s="15" cm="1">
        <f t="array" aca="1" ref="AK16" ca="1">INDIRECT(ADDRESS(AK$1,AK$2,1,1,$A16))</f>
        <v>72.881</v>
      </c>
      <c r="AL16" s="15" cm="1">
        <f t="array" aca="1" ref="AL16" ca="1">INDIRECT(ADDRESS(AL$1,AL$2,1,1,$A16))</f>
        <v>73.712299999999999</v>
      </c>
      <c r="AM16" s="15" cm="1">
        <f t="array" aca="1" ref="AM16" ca="1">INDIRECT(ADDRESS(AM$1,AM$2,1,1,$A16))</f>
        <v>72.3429</v>
      </c>
      <c r="AN16" s="15" cm="1">
        <f t="array" aca="1" ref="AN16" ca="1">INDIRECT(ADDRESS(AN$1,AN$2,1,1,$A16))</f>
        <v>71.964100000000002</v>
      </c>
      <c r="AO16" s="15" cm="1">
        <f t="array" aca="1" ref="AO16" ca="1">INDIRECT(ADDRESS(AO$1,AO$2,1,1,$A16))</f>
        <v>125.9357</v>
      </c>
      <c r="AP16" s="15" cm="1">
        <f t="array" aca="1" ref="AP16" ca="1">INDIRECT(ADDRESS(AP$1,AP$2,1,1,$A16))</f>
        <v>145.221</v>
      </c>
      <c r="AQ16" s="15" cm="1">
        <f t="array" aca="1" ref="AQ16" ca="1">INDIRECT(ADDRESS(AQ$1,AQ$2,1,1,$A16))</f>
        <v>74.988500000000002</v>
      </c>
      <c r="AR16" s="15" cm="1">
        <f t="array" aca="1" ref="AR16" ca="1">INDIRECT(ADDRESS(AR$1,AR$2,1,1,$A16))</f>
        <v>73.983099999999993</v>
      </c>
      <c r="AS16" s="15" cm="1">
        <f t="array" aca="1" ref="AS16" ca="1">INDIRECT(ADDRESS(AS$1,AS$2,1,1,$A16))</f>
        <v>145.6729</v>
      </c>
      <c r="AT16" s="15" cm="1">
        <f t="array" aca="1" ref="AT16" ca="1">INDIRECT(ADDRESS(AT$1,AT$2,1,1,$A16))</f>
        <v>123.92829999999999</v>
      </c>
      <c r="AV16" s="15">
        <f t="shared" ca="1" si="0"/>
        <v>-7.7808852410043983E-5</v>
      </c>
      <c r="AW16" s="15">
        <f t="shared" ca="1" si="1"/>
        <v>6.6976030367982275E-5</v>
      </c>
      <c r="AX16" s="15">
        <f t="shared" ca="1" si="2"/>
        <v>2.1116588129643787E-5</v>
      </c>
      <c r="AY16" s="15">
        <f t="shared" ca="1" si="3"/>
        <v>2.3533057131430724E-5</v>
      </c>
      <c r="AZ16" s="15">
        <f t="shared" ca="1" si="4"/>
        <v>-1.782258749472021E-7</v>
      </c>
      <c r="BA16" s="15">
        <f t="shared" ca="1" si="5"/>
        <v>-4.9685849575098473E-5</v>
      </c>
      <c r="BB16" s="15">
        <f t="shared" ca="1" si="6"/>
        <v>-4.2926369772544604E-5</v>
      </c>
      <c r="BC16" s="15">
        <f t="shared" ca="1" si="7"/>
        <v>4.9700488816029065E-5</v>
      </c>
      <c r="BD16" s="15">
        <f t="shared" ca="1" si="8"/>
        <v>4.1539338241136647E-5</v>
      </c>
      <c r="BE16" s="15">
        <f t="shared" ca="1" si="9"/>
        <v>2.7972346842375373E-5</v>
      </c>
      <c r="BG16" s="15" cm="1">
        <f t="array" aca="1" ref="BG16" ca="1">INDIRECT(ADDRESS(BG$1,BG$2,1,1,$A16))</f>
        <v>5.4000000000000003E-3</v>
      </c>
      <c r="BH16" s="15" cm="1">
        <f t="array" aca="1" ref="BH16" ca="1">INDIRECT(ADDRESS(BH$1,BH$2,1,1,$A16))</f>
        <v>4.1999999999999997E-3</v>
      </c>
      <c r="BI16" s="15" cm="1">
        <f t="array" aca="1" ref="BI16" ca="1">INDIRECT(ADDRESS(BI$1,BI$2,1,1,$A16))</f>
        <v>4.1000000000000003E-3</v>
      </c>
      <c r="BJ16" s="15" cm="1">
        <f t="array" aca="1" ref="BJ16" ca="1">INDIRECT(ADDRESS(BJ$1,BJ$2,1,1,$A16))</f>
        <v>6.4999999999999997E-3</v>
      </c>
      <c r="BK16" s="15" cm="1">
        <f t="array" aca="1" ref="BK16" ca="1">INDIRECT(ADDRESS(BK$1,BK$2,1,1,$A16))</f>
        <v>5.4999999999999997E-3</v>
      </c>
      <c r="BN16" s="32"/>
    </row>
    <row r="17" spans="1:66" x14ac:dyDescent="0.25">
      <c r="A17" t="s">
        <v>62</v>
      </c>
      <c r="B17" t="str" cm="1">
        <f t="array" aca="1" ref="B17" ca="1">LEFT(INDIRECT(ADDRESS(B$1,B$2,1,1,$A17)),FIND("-",INDIRECT(ADDRESS(B$1,B$2,1,1,$A17)))-1)</f>
        <v>P509</v>
      </c>
      <c r="C17" t="str" cm="1">
        <f t="array" aca="1" ref="C17" ca="1">RIGHT(INDIRECT(ADDRESS(B$1,B$2,1,1,$A17)),LEN(INDIRECT(ADDRESS(B$1,B$2,1,1,$A17)))-FIND("-",INDIRECT(ADDRESS(B$1,B$2,1,1,$A17))))</f>
        <v>east</v>
      </c>
      <c r="D17" s="10" cm="1">
        <f t="array" aca="1" ref="D17" ca="1">DATE(MID(INDIRECT(ADDRESS(D$1,D$2,1,1,$A17)),1,4),MID(INDIRECT(ADDRESS(D$1,D$2,1,1,$A17)),5,2),MID(INDIRECT(ADDRESS(D$1,D$2,1,1,$A17)),7,2))+TIME(MID(INDIRECT(ADDRESS(D$1,D$2,1,1,$A17)),10,2),MID(INDIRECT(ADDRESS(D$1,D$2,1,1,$A17)),12,2),0)</f>
        <v>44260.549305555556</v>
      </c>
      <c r="E17" cm="1">
        <f t="array" aca="1" ref="E17" ca="1">INDIRECT(ADDRESS(E$1,E$2,1,1,$A17))</f>
        <v>0</v>
      </c>
      <c r="F17" s="11" cm="1">
        <f t="array" aca="1" ref="F17" ca="1">VALUE(SUBSTITUTE(INDIRECT(ADDRESS(F$1,F$2,1,1,$A17)),"┬░C",""))</f>
        <v>19.100000000000001</v>
      </c>
      <c r="G17" s="12" cm="1">
        <f t="array" aca="1" ref="G17" ca="1">INDIRECT(ADDRESS(G$1,G$2,1,1,$A17))</f>
        <v>25.400300000000001</v>
      </c>
      <c r="H17" cm="1">
        <f t="array" aca="1" ref="H17" ca="1">INDIRECT(ADDRESS(H$1,H$2,1,1,$A17))</f>
        <v>25.402000000000001</v>
      </c>
      <c r="I17" cm="1">
        <f t="array" aca="1" ref="I17" ca="1">INDIRECT(ADDRESS(I$1,I$2,1,1,$A17))</f>
        <v>25.402899999999999</v>
      </c>
      <c r="J17" cm="1">
        <f t="array" aca="1" ref="J17" ca="1">INDIRECT(ADDRESS(J$1,J$2,1,1,$A17))</f>
        <v>25.4041</v>
      </c>
      <c r="K17" s="13" cm="1">
        <f t="array" aca="1" ref="K17" ca="1">INDIRECT(ADDRESS(K$1,K$2,1,1,$A17))</f>
        <v>25.401900000000001</v>
      </c>
      <c r="L17" s="14" cm="1">
        <f t="array" aca="1" ref="L17" ca="1">SQRT(SUMSQ(Y17:AA17-V17:X17))</f>
        <v>72.880580725869635</v>
      </c>
      <c r="M17" s="15" cm="1">
        <f t="array" aca="1" ref="M17" ca="1">SQRT(SUMSQ(AB17:AD17-V17:X17))</f>
        <v>73.712421374826647</v>
      </c>
      <c r="N17" s="15" cm="1">
        <f t="array" aca="1" ref="N17" ca="1">SQRT(SUMSQ(AE17:AG17-V17:X17))</f>
        <v>72.343598813232958</v>
      </c>
      <c r="O17" s="15" cm="1">
        <f t="array" aca="1" ref="O17" ca="1">SQRT(SUMSQ(AH17:AJ17-V17:X17))</f>
        <v>71.964210330830426</v>
      </c>
      <c r="P17" s="15" cm="1">
        <f t="array" aca="1" ref="P17" ca="1">SQRT(SUMSQ(AB17:AD17-Y17:AA17))</f>
        <v>125.93510015758118</v>
      </c>
      <c r="Q17" s="15" cm="1">
        <f t="array" aca="1" ref="Q17" ca="1">SQRT(SUMSQ(AE17:AG17-Y17:AA17))</f>
        <v>145.22126927895241</v>
      </c>
      <c r="R17" s="15" cm="1">
        <f t="array" aca="1" ref="R17" ca="1">SQRT(SUMSQ(AH17:AJ17-Y17:AA17))</f>
        <v>74.988327625437805</v>
      </c>
      <c r="S17" s="15" cm="1">
        <f t="array" aca="1" ref="S17" ca="1">SQRT(SUMSQ(AE17:AG17-AB17:AD17))</f>
        <v>73.983643663244933</v>
      </c>
      <c r="T17" s="15" cm="1">
        <f t="array" aca="1" ref="T17" ca="1">SQRT(SUMSQ(AH17:AJ17-AB17:AD17))</f>
        <v>145.67318419482703</v>
      </c>
      <c r="U17" s="16" cm="1">
        <f t="array" aca="1" ref="U17" ca="1">SQRT(SUMSQ(AH17:AJ17-AE17:AG17))</f>
        <v>123.92926548757561</v>
      </c>
      <c r="V17" cm="1">
        <f t="array" aca="1" ref="V17" ca="1">INDIRECT(ADDRESS(V$1,V$2,1,1,$A17))</f>
        <v>0</v>
      </c>
      <c r="W17" cm="1">
        <f t="array" aca="1" ref="W17" ca="1">INDIRECT(ADDRESS(W$1,W$2,1,1,$A17))</f>
        <v>0</v>
      </c>
      <c r="X17" cm="1">
        <f t="array" aca="1" ref="X17" ca="1">INDIRECT(ADDRESS(X$1,X$2,1,1,$A17))</f>
        <v>0</v>
      </c>
      <c r="Y17" cm="1">
        <f t="array" aca="1" ref="Y17" ca="1">INDIRECT(ADDRESS(Y$1,Y$2,1,1,$A17))</f>
        <v>62.483400000000003</v>
      </c>
      <c r="Z17" cm="1">
        <f t="array" aca="1" ref="Z17" ca="1">INDIRECT(ADDRESS(Z$1,Z$2,1,1,$A17))</f>
        <v>37.515300000000003</v>
      </c>
      <c r="AA17" cm="1">
        <f t="array" aca="1" ref="AA17" ca="1">INDIRECT(ADDRESS(AA$1,AA$2,1,1,$A17))</f>
        <v>7.7700000000000005E-2</v>
      </c>
      <c r="AB17" cm="1">
        <f t="array" aca="1" ref="AB17" ca="1">INDIRECT(ADDRESS(AB$1,AB$2,1,1,$A17))</f>
        <v>-63.451700000000002</v>
      </c>
      <c r="AC17" cm="1">
        <f t="array" aca="1" ref="AC17" ca="1">INDIRECT(ADDRESS(AC$1,AC$2,1,1,$A17))</f>
        <v>37.515300000000003</v>
      </c>
      <c r="AD17" cm="1">
        <f t="array" aca="1" ref="AD17" ca="1">INDIRECT(ADDRESS(AD$1,AD$2,1,1,$A17))</f>
        <v>7.1400000000000005E-2</v>
      </c>
      <c r="AE17" cm="1">
        <f t="array" aca="1" ref="AE17" ca="1">INDIRECT(ADDRESS(AE$1,AE$2,1,1,$A17))</f>
        <v>-62.482900000000001</v>
      </c>
      <c r="AF17" cm="1">
        <f t="array" aca="1" ref="AF17" ca="1">INDIRECT(ADDRESS(AF$1,AF$2,1,1,$A17))</f>
        <v>-36.462000000000003</v>
      </c>
      <c r="AG17" cm="1">
        <f t="array" aca="1" ref="AG17" ca="1">INDIRECT(ADDRESS(AG$1,AG$2,1,1,$A17))</f>
        <v>7.7799999999999994E-2</v>
      </c>
      <c r="AH17" cm="1">
        <f t="array" aca="1" ref="AH17" ca="1">INDIRECT(ADDRESS(AH$1,AH$2,1,1,$A17))</f>
        <v>61.442300000000003</v>
      </c>
      <c r="AI17" cm="1">
        <f t="array" aca="1" ref="AI17" ca="1">INDIRECT(ADDRESS(AI$1,AI$2,1,1,$A17))</f>
        <v>-37.465800000000002</v>
      </c>
      <c r="AJ17" cm="1">
        <f t="array" aca="1" ref="AJ17" ca="1">INDIRECT(ADDRESS(AJ$1,AJ$2,1,1,$A17))</f>
        <v>7.1900000000000006E-2</v>
      </c>
      <c r="AK17" s="15" cm="1">
        <f t="array" aca="1" ref="AK17" ca="1">INDIRECT(ADDRESS(AK$1,AK$2,1,1,$A17))</f>
        <v>72.880600000000001</v>
      </c>
      <c r="AL17" s="15" cm="1">
        <f t="array" aca="1" ref="AL17" ca="1">INDIRECT(ADDRESS(AL$1,AL$2,1,1,$A17))</f>
        <v>73.712400000000002</v>
      </c>
      <c r="AM17" s="15" cm="1">
        <f t="array" aca="1" ref="AM17" ca="1">INDIRECT(ADDRESS(AM$1,AM$2,1,1,$A17))</f>
        <v>72.343599999999995</v>
      </c>
      <c r="AN17" s="15" cm="1">
        <f t="array" aca="1" ref="AN17" ca="1">INDIRECT(ADDRESS(AN$1,AN$2,1,1,$A17))</f>
        <v>71.964200000000005</v>
      </c>
      <c r="AO17" s="15" cm="1">
        <f t="array" aca="1" ref="AO17" ca="1">INDIRECT(ADDRESS(AO$1,AO$2,1,1,$A17))</f>
        <v>125.93510000000001</v>
      </c>
      <c r="AP17" s="15" cm="1">
        <f t="array" aca="1" ref="AP17" ca="1">INDIRECT(ADDRESS(AP$1,AP$2,1,1,$A17))</f>
        <v>145.22130000000001</v>
      </c>
      <c r="AQ17" s="15" cm="1">
        <f t="array" aca="1" ref="AQ17" ca="1">INDIRECT(ADDRESS(AQ$1,AQ$2,1,1,$A17))</f>
        <v>74.988399999999999</v>
      </c>
      <c r="AR17" s="15" cm="1">
        <f t="array" aca="1" ref="AR17" ca="1">INDIRECT(ADDRESS(AR$1,AR$2,1,1,$A17))</f>
        <v>73.983599999999996</v>
      </c>
      <c r="AS17" s="15" cm="1">
        <f t="array" aca="1" ref="AS17" ca="1">INDIRECT(ADDRESS(AS$1,AS$2,1,1,$A17))</f>
        <v>145.67320000000001</v>
      </c>
      <c r="AT17" s="15" cm="1">
        <f t="array" aca="1" ref="AT17" ca="1">INDIRECT(ADDRESS(AT$1,AT$2,1,1,$A17))</f>
        <v>123.9293</v>
      </c>
      <c r="AV17" s="15">
        <f t="shared" ca="1" si="0"/>
        <v>1.9274130366397912E-5</v>
      </c>
      <c r="AW17" s="15">
        <f t="shared" ca="1" si="1"/>
        <v>-2.1374826644660061E-5</v>
      </c>
      <c r="AX17" s="15">
        <f t="shared" ca="1" si="2"/>
        <v>1.1867670366427774E-6</v>
      </c>
      <c r="AY17" s="15">
        <f t="shared" ca="1" si="3"/>
        <v>-1.033083042045746E-5</v>
      </c>
      <c r="AZ17" s="15">
        <f t="shared" ca="1" si="4"/>
        <v>-1.5758116944653011E-7</v>
      </c>
      <c r="BA17" s="15">
        <f t="shared" ca="1" si="5"/>
        <v>3.0721047608039953E-5</v>
      </c>
      <c r="BB17" s="15">
        <f t="shared" ca="1" si="6"/>
        <v>7.2374562193999736E-5</v>
      </c>
      <c r="BC17" s="15">
        <f t="shared" ca="1" si="7"/>
        <v>-4.3663244937874879E-5</v>
      </c>
      <c r="BD17" s="15">
        <f t="shared" ca="1" si="8"/>
        <v>1.5805172978389237E-5</v>
      </c>
      <c r="BE17" s="15">
        <f t="shared" ca="1" si="9"/>
        <v>3.4512424392119101E-5</v>
      </c>
      <c r="BG17" s="15" cm="1">
        <f t="array" aca="1" ref="BG17" ca="1">INDIRECT(ADDRESS(BG$1,BG$2,1,1,$A17))</f>
        <v>1.0800000000000001E-2</v>
      </c>
      <c r="BH17" s="15" cm="1">
        <f t="array" aca="1" ref="BH17" ca="1">INDIRECT(ADDRESS(BH$1,BH$2,1,1,$A17))</f>
        <v>1.4200000000000001E-2</v>
      </c>
      <c r="BI17" s="15" cm="1">
        <f t="array" aca="1" ref="BI17" ca="1">INDIRECT(ADDRESS(BI$1,BI$2,1,1,$A17))</f>
        <v>1.2699999999999999E-2</v>
      </c>
      <c r="BJ17" s="15" cm="1">
        <f t="array" aca="1" ref="BJ17" ca="1">INDIRECT(ADDRESS(BJ$1,BJ$2,1,1,$A17))</f>
        <v>1.34E-2</v>
      </c>
      <c r="BK17" s="15" cm="1">
        <f t="array" aca="1" ref="BK17" ca="1">INDIRECT(ADDRESS(BK$1,BK$2,1,1,$A17))</f>
        <v>1.5100000000000001E-2</v>
      </c>
      <c r="BN17" s="32"/>
    </row>
    <row r="18" spans="1:66" x14ac:dyDescent="0.25">
      <c r="A18" t="s">
        <v>65</v>
      </c>
      <c r="B18" t="str" cm="1">
        <f t="array" aca="1" ref="B18" ca="1">LEFT(INDIRECT(ADDRESS(B$1,B$2,1,1,$A18)),FIND("-",INDIRECT(ADDRESS(B$1,B$2,1,1,$A18)))-1)</f>
        <v>P509</v>
      </c>
      <c r="C18" t="str" cm="1">
        <f t="array" aca="1" ref="C18" ca="1">RIGHT(INDIRECT(ADDRESS(B$1,B$2,1,1,$A18)),LEN(INDIRECT(ADDRESS(B$1,B$2,1,1,$A18)))-FIND("-",INDIRECT(ADDRESS(B$1,B$2,1,1,$A18))))</f>
        <v>east</v>
      </c>
      <c r="D18" s="10" cm="1">
        <f t="array" aca="1" ref="D18" ca="1">DATE(MID(INDIRECT(ADDRESS(D$1,D$2,1,1,$A18)),1,4),MID(INDIRECT(ADDRESS(D$1,D$2,1,1,$A18)),5,2),MID(INDIRECT(ADDRESS(D$1,D$2,1,1,$A18)),7,2))+TIME(MID(INDIRECT(ADDRESS(D$1,D$2,1,1,$A18)),10,2),MID(INDIRECT(ADDRESS(D$1,D$2,1,1,$A18)),12,2),0)</f>
        <v>44260.552083333336</v>
      </c>
      <c r="E18" cm="1">
        <f t="array" aca="1" ref="E18" ca="1">INDIRECT(ADDRESS(E$1,E$2,1,1,$A18))</f>
        <v>0</v>
      </c>
      <c r="F18" s="11" cm="1">
        <f t="array" aca="1" ref="F18" ca="1">VALUE(SUBSTITUTE(INDIRECT(ADDRESS(F$1,F$2,1,1,$A18)),"┬░C",""))</f>
        <v>19.100000000000001</v>
      </c>
      <c r="G18" s="12" cm="1">
        <f t="array" aca="1" ref="G18" ca="1">INDIRECT(ADDRESS(G$1,G$2,1,1,$A18))</f>
        <v>25.4</v>
      </c>
      <c r="H18" cm="1">
        <f t="array" aca="1" ref="H18" ca="1">INDIRECT(ADDRESS(H$1,H$2,1,1,$A18))</f>
        <v>25.401900000000001</v>
      </c>
      <c r="I18" cm="1">
        <f t="array" aca="1" ref="I18" ca="1">INDIRECT(ADDRESS(I$1,I$2,1,1,$A18))</f>
        <v>25.402799999999999</v>
      </c>
      <c r="J18" cm="1">
        <f t="array" aca="1" ref="J18" ca="1">INDIRECT(ADDRESS(J$1,J$2,1,1,$A18))</f>
        <v>25.404599999999999</v>
      </c>
      <c r="K18" s="13" cm="1">
        <f t="array" aca="1" ref="K18" ca="1">INDIRECT(ADDRESS(K$1,K$2,1,1,$A18))</f>
        <v>25.4026</v>
      </c>
      <c r="L18" s="14" cm="1">
        <f t="array" aca="1" ref="L18" ca="1">SQRT(SUMSQ(Y18:AA18-V18:X18))</f>
        <v>72.880975350292886</v>
      </c>
      <c r="M18" s="15" cm="1">
        <f t="array" aca="1" ref="M18" ca="1">SQRT(SUMSQ(AB18:AD18-V18:X18))</f>
        <v>73.711869323467852</v>
      </c>
      <c r="N18" s="15" cm="1">
        <f t="array" aca="1" ref="N18" ca="1">SQRT(SUMSQ(AE18:AG18-V18:X18))</f>
        <v>72.343289518586303</v>
      </c>
      <c r="O18" s="15" cm="1">
        <f t="array" aca="1" ref="O18" ca="1">SQRT(SUMSQ(AH18:AJ18-V18:X18))</f>
        <v>71.964191188187471</v>
      </c>
      <c r="P18" s="15" cm="1">
        <f t="array" aca="1" ref="P18" ca="1">SQRT(SUMSQ(AB18:AD18-Y18:AA18))</f>
        <v>125.93480018902638</v>
      </c>
      <c r="Q18" s="15" cm="1">
        <f t="array" aca="1" ref="Q18" ca="1">SQRT(SUMSQ(AE18:AG18-Y18:AA18))</f>
        <v>145.22135533130106</v>
      </c>
      <c r="R18" s="15" cm="1">
        <f t="array" aca="1" ref="R18" ca="1">SQRT(SUMSQ(AH18:AJ18-Y18:AA18))</f>
        <v>74.988231849537556</v>
      </c>
      <c r="S18" s="15" cm="1">
        <f t="array" aca="1" ref="S18" ca="1">SQRT(SUMSQ(AE18:AG18-AB18:AD18))</f>
        <v>73.983638480747885</v>
      </c>
      <c r="T18" s="15" cm="1">
        <f t="array" aca="1" ref="T18" ca="1">SQRT(SUMSQ(AH18:AJ18-AB18:AD18))</f>
        <v>145.6726183083492</v>
      </c>
      <c r="U18" s="16" cm="1">
        <f t="array" aca="1" ref="U18" ca="1">SQRT(SUMSQ(AH18:AJ18-AE18:AG18))</f>
        <v>123.92906471421463</v>
      </c>
      <c r="V18" cm="1">
        <f t="array" aca="1" ref="V18" ca="1">INDIRECT(ADDRESS(V$1,V$2,1,1,$A18))</f>
        <v>0</v>
      </c>
      <c r="W18" cm="1">
        <f t="array" aca="1" ref="W18" ca="1">INDIRECT(ADDRESS(W$1,W$2,1,1,$A18))</f>
        <v>0</v>
      </c>
      <c r="X18" cm="1">
        <f t="array" aca="1" ref="X18" ca="1">INDIRECT(ADDRESS(X$1,X$2,1,1,$A18))</f>
        <v>0</v>
      </c>
      <c r="Y18" cm="1">
        <f t="array" aca="1" ref="Y18" ca="1">INDIRECT(ADDRESS(Y$1,Y$2,1,1,$A18))</f>
        <v>62.483800000000002</v>
      </c>
      <c r="Z18" cm="1">
        <f t="array" aca="1" ref="Z18" ca="1">INDIRECT(ADDRESS(Z$1,Z$2,1,1,$A18))</f>
        <v>37.5154</v>
      </c>
      <c r="AA18" cm="1">
        <f t="array" aca="1" ref="AA18" ca="1">INDIRECT(ADDRESS(AA$1,AA$2,1,1,$A18))</f>
        <v>7.7899999999999997E-2</v>
      </c>
      <c r="AB18" cm="1">
        <f t="array" aca="1" ref="AB18" ca="1">INDIRECT(ADDRESS(AB$1,AB$2,1,1,$A18))</f>
        <v>-63.451000000000001</v>
      </c>
      <c r="AC18" cm="1">
        <f t="array" aca="1" ref="AC18" ca="1">INDIRECT(ADDRESS(AC$1,AC$2,1,1,$A18))</f>
        <v>37.5154</v>
      </c>
      <c r="AD18" cm="1">
        <f t="array" aca="1" ref="AD18" ca="1">INDIRECT(ADDRESS(AD$1,AD$2,1,1,$A18))</f>
        <v>7.0999999999999994E-2</v>
      </c>
      <c r="AE18" cm="1">
        <f t="array" aca="1" ref="AE18" ca="1">INDIRECT(ADDRESS(AE$1,AE$2,1,1,$A18))</f>
        <v>-62.482599999999998</v>
      </c>
      <c r="AF18" cm="1">
        <f t="array" aca="1" ref="AF18" ca="1">INDIRECT(ADDRESS(AF$1,AF$2,1,1,$A18))</f>
        <v>-36.4619</v>
      </c>
      <c r="AG18" cm="1">
        <f t="array" aca="1" ref="AG18" ca="1">INDIRECT(ADDRESS(AG$1,AG$2,1,1,$A18))</f>
        <v>7.8E-2</v>
      </c>
      <c r="AH18" cm="1">
        <f t="array" aca="1" ref="AH18" ca="1">INDIRECT(ADDRESS(AH$1,AH$2,1,1,$A18))</f>
        <v>61.442399999999999</v>
      </c>
      <c r="AI18" cm="1">
        <f t="array" aca="1" ref="AI18" ca="1">INDIRECT(ADDRESS(AI$1,AI$2,1,1,$A18))</f>
        <v>-37.465600000000002</v>
      </c>
      <c r="AJ18" cm="1">
        <f t="array" aca="1" ref="AJ18" ca="1">INDIRECT(ADDRESS(AJ$1,AJ$2,1,1,$A18))</f>
        <v>7.1499999999999994E-2</v>
      </c>
      <c r="AK18" s="15" cm="1">
        <f t="array" aca="1" ref="AK18" ca="1">INDIRECT(ADDRESS(AK$1,AK$2,1,1,$A18))</f>
        <v>72.881</v>
      </c>
      <c r="AL18" s="15" cm="1">
        <f t="array" aca="1" ref="AL18" ca="1">INDIRECT(ADDRESS(AL$1,AL$2,1,1,$A18))</f>
        <v>73.7119</v>
      </c>
      <c r="AM18" s="15" cm="1">
        <f t="array" aca="1" ref="AM18" ca="1">INDIRECT(ADDRESS(AM$1,AM$2,1,1,$A18))</f>
        <v>72.343299999999999</v>
      </c>
      <c r="AN18" s="15" cm="1">
        <f t="array" aca="1" ref="AN18" ca="1">INDIRECT(ADDRESS(AN$1,AN$2,1,1,$A18))</f>
        <v>71.964200000000005</v>
      </c>
      <c r="AO18" s="15" cm="1">
        <f t="array" aca="1" ref="AO18" ca="1">INDIRECT(ADDRESS(AO$1,AO$2,1,1,$A18))</f>
        <v>125.9348</v>
      </c>
      <c r="AP18" s="15" cm="1">
        <f t="array" aca="1" ref="AP18" ca="1">INDIRECT(ADDRESS(AP$1,AP$2,1,1,$A18))</f>
        <v>145.22139999999999</v>
      </c>
      <c r="AQ18" s="15" cm="1">
        <f t="array" aca="1" ref="AQ18" ca="1">INDIRECT(ADDRESS(AQ$1,AQ$2,1,1,$A18))</f>
        <v>74.988200000000006</v>
      </c>
      <c r="AR18" s="15" cm="1">
        <f t="array" aca="1" ref="AR18" ca="1">INDIRECT(ADDRESS(AR$1,AR$2,1,1,$A18))</f>
        <v>73.983699999999999</v>
      </c>
      <c r="AS18" s="15" cm="1">
        <f t="array" aca="1" ref="AS18" ca="1">INDIRECT(ADDRESS(AS$1,AS$2,1,1,$A18))</f>
        <v>145.67259999999999</v>
      </c>
      <c r="AT18" s="15" cm="1">
        <f t="array" aca="1" ref="AT18" ca="1">INDIRECT(ADDRESS(AT$1,AT$2,1,1,$A18))</f>
        <v>123.929</v>
      </c>
      <c r="AV18" s="15">
        <f t="shared" ca="1" si="0"/>
        <v>2.4649707114576813E-5</v>
      </c>
      <c r="AW18" s="15">
        <f t="shared" ca="1" si="1"/>
        <v>3.0676532148277147E-5</v>
      </c>
      <c r="AX18" s="15">
        <f t="shared" ca="1" si="2"/>
        <v>1.0481413696084019E-5</v>
      </c>
      <c r="AY18" s="15">
        <f t="shared" ca="1" si="3"/>
        <v>8.8118125347591558E-6</v>
      </c>
      <c r="AZ18" s="15">
        <f t="shared" ca="1" si="4"/>
        <v>-1.890263803261405E-7</v>
      </c>
      <c r="BA18" s="15">
        <f t="shared" ca="1" si="5"/>
        <v>4.4668698933492124E-5</v>
      </c>
      <c r="BB18" s="15">
        <f t="shared" ca="1" si="6"/>
        <v>-3.1849537549533125E-5</v>
      </c>
      <c r="BC18" s="15">
        <f t="shared" ca="1" si="7"/>
        <v>6.1519252113839684E-5</v>
      </c>
      <c r="BD18" s="15">
        <f t="shared" ca="1" si="8"/>
        <v>-1.8308349211793029E-5</v>
      </c>
      <c r="BE18" s="15">
        <f t="shared" ca="1" si="9"/>
        <v>-6.4714214630612332E-5</v>
      </c>
      <c r="BG18" s="15" cm="1">
        <f t="array" aca="1" ref="BG18" ca="1">INDIRECT(ADDRESS(BG$1,BG$2,1,1,$A18))</f>
        <v>2.01E-2</v>
      </c>
      <c r="BH18" s="15" cm="1">
        <f t="array" aca="1" ref="BH18" ca="1">INDIRECT(ADDRESS(BH$1,BH$2,1,1,$A18))</f>
        <v>1.8700000000000001E-2</v>
      </c>
      <c r="BI18" s="15" cm="1">
        <f t="array" aca="1" ref="BI18" ca="1">INDIRECT(ADDRESS(BI$1,BI$2,1,1,$A18))</f>
        <v>1.7899999999999999E-2</v>
      </c>
      <c r="BJ18" s="15" cm="1">
        <f t="array" aca="1" ref="BJ18" ca="1">INDIRECT(ADDRESS(BJ$1,BJ$2,1,1,$A18))</f>
        <v>1.83E-2</v>
      </c>
      <c r="BK18" s="15" cm="1">
        <f t="array" aca="1" ref="BK18" ca="1">INDIRECT(ADDRESS(BK$1,BK$2,1,1,$A18))</f>
        <v>2.0500000000000001E-2</v>
      </c>
      <c r="BN18" s="32"/>
    </row>
    <row r="19" spans="1:66" x14ac:dyDescent="0.25">
      <c r="A19" t="s">
        <v>69</v>
      </c>
      <c r="B19" t="str" cm="1">
        <f t="array" aca="1" ref="B19" ca="1">LEFT(INDIRECT(ADDRESS(B$1,B$2,1,1,$A19)),FIND("-",INDIRECT(ADDRESS(B$1,B$2,1,1,$A19)))-1)</f>
        <v>P509</v>
      </c>
      <c r="C19" t="str" cm="1">
        <f t="array" aca="1" ref="C19" ca="1">RIGHT(INDIRECT(ADDRESS(B$1,B$2,1,1,$A19)),LEN(INDIRECT(ADDRESS(B$1,B$2,1,1,$A19)))-FIND("-",INDIRECT(ADDRESS(B$1,B$2,1,1,$A19))))</f>
        <v>south</v>
      </c>
      <c r="D19" s="10" cm="1">
        <f t="array" aca="1" ref="D19" ca="1">DATE(MID(INDIRECT(ADDRESS(D$1,D$2,1,1,$A19)),1,4),MID(INDIRECT(ADDRESS(D$1,D$2,1,1,$A19)),5,2),MID(INDIRECT(ADDRESS(D$1,D$2,1,1,$A19)),7,2))+TIME(MID(INDIRECT(ADDRESS(D$1,D$2,1,1,$A19)),10,2),MID(INDIRECT(ADDRESS(D$1,D$2,1,1,$A19)),12,2),0)</f>
        <v>44260.593055555553</v>
      </c>
      <c r="E19" cm="1">
        <f t="array" aca="1" ref="E19" ca="1">INDIRECT(ADDRESS(E$1,E$2,1,1,$A19))</f>
        <v>0</v>
      </c>
      <c r="F19" s="11" cm="1">
        <f t="array" aca="1" ref="F19" ca="1">VALUE(SUBSTITUTE(INDIRECT(ADDRESS(F$1,F$2,1,1,$A19)),"┬░C",""))</f>
        <v>19.3</v>
      </c>
      <c r="G19" s="12" cm="1">
        <f t="array" aca="1" ref="G19" ca="1">INDIRECT(ADDRESS(G$1,G$2,1,1,$A19))</f>
        <v>25.3993</v>
      </c>
      <c r="H19" cm="1">
        <f t="array" aca="1" ref="H19" ca="1">INDIRECT(ADDRESS(H$1,H$2,1,1,$A19))</f>
        <v>25.403600000000001</v>
      </c>
      <c r="I19" cm="1">
        <f t="array" aca="1" ref="I19" ca="1">INDIRECT(ADDRESS(I$1,I$2,1,1,$A19))</f>
        <v>25.403199999999998</v>
      </c>
      <c r="J19" cm="1">
        <f t="array" aca="1" ref="J19" ca="1">INDIRECT(ADDRESS(J$1,J$2,1,1,$A19))</f>
        <v>25.404199999999999</v>
      </c>
      <c r="K19" s="13" cm="1">
        <f t="array" aca="1" ref="K19" ca="1">INDIRECT(ADDRESS(K$1,K$2,1,1,$A19))</f>
        <v>25.403400000000001</v>
      </c>
      <c r="L19" s="14" cm="1">
        <f t="array" aca="1" ref="L19" ca="1">SQRT(SUMSQ(Y19:AA19-V19:X19))</f>
        <v>72.879808378864439</v>
      </c>
      <c r="M19" s="15" cm="1">
        <f t="array" aca="1" ref="M19" ca="1">SQRT(SUMSQ(AB19:AD19-V19:X19))</f>
        <v>73.711043423560355</v>
      </c>
      <c r="N19" s="15" cm="1">
        <f t="array" aca="1" ref="N19" ca="1">SQRT(SUMSQ(AE19:AG19-V19:X19))</f>
        <v>72.341633357493393</v>
      </c>
      <c r="O19" s="15" cm="1">
        <f t="array" aca="1" ref="O19" ca="1">SQRT(SUMSQ(AH19:AJ19-V19:X19))</f>
        <v>71.96456368220403</v>
      </c>
      <c r="P19" s="15" cm="1">
        <f t="array" aca="1" ref="P19" ca="1">SQRT(SUMSQ(AB19:AD19-Y19:AA19))</f>
        <v>125.9326001575843</v>
      </c>
      <c r="Q19" s="15" cm="1">
        <f t="array" aca="1" ref="Q19" ca="1">SQRT(SUMSQ(AE19:AG19-Y19:AA19))</f>
        <v>145.21854383655693</v>
      </c>
      <c r="R19" s="15" cm="1">
        <f t="array" aca="1" ref="R19" ca="1">SQRT(SUMSQ(AH19:AJ19-Y19:AA19))</f>
        <v>74.989821928645753</v>
      </c>
      <c r="S19" s="15" cm="1">
        <f t="array" aca="1" ref="S19" ca="1">SQRT(SUMSQ(AE19:AG19-AB19:AD19))</f>
        <v>73.984559309358602</v>
      </c>
      <c r="T19" s="15" cm="1">
        <f t="array" aca="1" ref="T19" ca="1">SQRT(SUMSQ(AH19:AJ19-AB19:AD19))</f>
        <v>145.67215584530902</v>
      </c>
      <c r="U19" s="16" cm="1">
        <f t="array" aca="1" ref="U19" ca="1">SQRT(SUMSQ(AH19:AJ19-AE19:AG19))</f>
        <v>123.9259704572855</v>
      </c>
      <c r="V19" cm="1">
        <f t="array" aca="1" ref="V19" ca="1">INDIRECT(ADDRESS(V$1,V$2,1,1,$A19))</f>
        <v>0</v>
      </c>
      <c r="W19" cm="1">
        <f t="array" aca="1" ref="W19" ca="1">INDIRECT(ADDRESS(W$1,W$2,1,1,$A19))</f>
        <v>0</v>
      </c>
      <c r="X19" cm="1">
        <f t="array" aca="1" ref="X19" ca="1">INDIRECT(ADDRESS(X$1,X$2,1,1,$A19))</f>
        <v>0</v>
      </c>
      <c r="Y19" cm="1">
        <f t="array" aca="1" ref="Y19" ca="1">INDIRECT(ADDRESS(Y$1,Y$2,1,1,$A19))</f>
        <v>62.482500000000002</v>
      </c>
      <c r="Z19" cm="1">
        <f t="array" aca="1" ref="Z19" ca="1">INDIRECT(ADDRESS(Z$1,Z$2,1,1,$A19))</f>
        <v>37.515300000000003</v>
      </c>
      <c r="AA19" cm="1">
        <f t="array" aca="1" ref="AA19" ca="1">INDIRECT(ADDRESS(AA$1,AA$2,1,1,$A19))</f>
        <v>7.6999999999999999E-2</v>
      </c>
      <c r="AB19" cm="1">
        <f t="array" aca="1" ref="AB19" ca="1">INDIRECT(ADDRESS(AB$1,AB$2,1,1,$A19))</f>
        <v>-63.450099999999999</v>
      </c>
      <c r="AC19" cm="1">
        <f t="array" aca="1" ref="AC19" ca="1">INDIRECT(ADDRESS(AC$1,AC$2,1,1,$A19))</f>
        <v>37.515300000000003</v>
      </c>
      <c r="AD19" cm="1">
        <f t="array" aca="1" ref="AD19" ca="1">INDIRECT(ADDRESS(AD$1,AD$2,1,1,$A19))</f>
        <v>7.0699999999999999E-2</v>
      </c>
      <c r="AE19" cm="1">
        <f t="array" aca="1" ref="AE19" ca="1">INDIRECT(ADDRESS(AE$1,AE$2,1,1,$A19))</f>
        <v>-62.4801</v>
      </c>
      <c r="AF19" cm="1">
        <f t="array" aca="1" ref="AF19" ca="1">INDIRECT(ADDRESS(AF$1,AF$2,1,1,$A19))</f>
        <v>-36.462899999999998</v>
      </c>
      <c r="AG19" cm="1">
        <f t="array" aca="1" ref="AG19" ca="1">INDIRECT(ADDRESS(AG$1,AG$2,1,1,$A19))</f>
        <v>7.7100000000000002E-2</v>
      </c>
      <c r="AH19" cm="1">
        <f t="array" aca="1" ref="AH19" ca="1">INDIRECT(ADDRESS(AH$1,AH$2,1,1,$A19))</f>
        <v>61.441800000000001</v>
      </c>
      <c r="AI19" cm="1">
        <f t="array" aca="1" ref="AI19" ca="1">INDIRECT(ADDRESS(AI$1,AI$2,1,1,$A19))</f>
        <v>-37.467300000000002</v>
      </c>
      <c r="AJ19" cm="1">
        <f t="array" aca="1" ref="AJ19" ca="1">INDIRECT(ADDRESS(AJ$1,AJ$2,1,1,$A19))</f>
        <v>7.1199999999999999E-2</v>
      </c>
      <c r="AK19" s="15" cm="1">
        <f t="array" aca="1" ref="AK19" ca="1">INDIRECT(ADDRESS(AK$1,AK$2,1,1,$A19))</f>
        <v>72.879800000000003</v>
      </c>
      <c r="AL19" s="15" cm="1">
        <f t="array" aca="1" ref="AL19" ca="1">INDIRECT(ADDRESS(AL$1,AL$2,1,1,$A19))</f>
        <v>73.710999999999999</v>
      </c>
      <c r="AM19" s="15" cm="1">
        <f t="array" aca="1" ref="AM19" ca="1">INDIRECT(ADDRESS(AM$1,AM$2,1,1,$A19))</f>
        <v>72.341700000000003</v>
      </c>
      <c r="AN19" s="15" cm="1">
        <f t="array" aca="1" ref="AN19" ca="1">INDIRECT(ADDRESS(AN$1,AN$2,1,1,$A19))</f>
        <v>71.964600000000004</v>
      </c>
      <c r="AO19" s="15" cm="1">
        <f t="array" aca="1" ref="AO19" ca="1">INDIRECT(ADDRESS(AO$1,AO$2,1,1,$A19))</f>
        <v>125.93259999999999</v>
      </c>
      <c r="AP19" s="15" cm="1">
        <f t="array" aca="1" ref="AP19" ca="1">INDIRECT(ADDRESS(AP$1,AP$2,1,1,$A19))</f>
        <v>145.21860000000001</v>
      </c>
      <c r="AQ19" s="15" cm="1">
        <f t="array" aca="1" ref="AQ19" ca="1">INDIRECT(ADDRESS(AQ$1,AQ$2,1,1,$A19))</f>
        <v>74.989900000000006</v>
      </c>
      <c r="AR19" s="15" cm="1">
        <f t="array" aca="1" ref="AR19" ca="1">INDIRECT(ADDRESS(AR$1,AR$2,1,1,$A19))</f>
        <v>73.9846</v>
      </c>
      <c r="AS19" s="15" cm="1">
        <f t="array" aca="1" ref="AS19" ca="1">INDIRECT(ADDRESS(AS$1,AS$2,1,1,$A19))</f>
        <v>145.6722</v>
      </c>
      <c r="AT19" s="15" cm="1">
        <f t="array" aca="1" ref="AT19" ca="1">INDIRECT(ADDRESS(AT$1,AT$2,1,1,$A19))</f>
        <v>123.926</v>
      </c>
      <c r="AV19" s="15">
        <f t="shared" ca="1" si="0"/>
        <v>-8.3788644360538456E-6</v>
      </c>
      <c r="AW19" s="15">
        <f t="shared" ca="1" si="1"/>
        <v>-4.3423560356359303E-5</v>
      </c>
      <c r="AX19" s="15">
        <f t="shared" ca="1" si="2"/>
        <v>6.6642506610037344E-5</v>
      </c>
      <c r="AY19" s="15">
        <f t="shared" ca="1" si="3"/>
        <v>3.6317795974127876E-5</v>
      </c>
      <c r="AZ19" s="15">
        <f t="shared" ca="1" si="4"/>
        <v>-1.5758431004542217E-7</v>
      </c>
      <c r="BA19" s="15">
        <f t="shared" ca="1" si="5"/>
        <v>5.6163443076684416E-5</v>
      </c>
      <c r="BB19" s="15">
        <f t="shared" ca="1" si="6"/>
        <v>7.807135425252909E-5</v>
      </c>
      <c r="BC19" s="15">
        <f t="shared" ca="1" si="7"/>
        <v>4.0690641398555272E-5</v>
      </c>
      <c r="BD19" s="15">
        <f t="shared" ca="1" si="8"/>
        <v>4.4154690982622924E-5</v>
      </c>
      <c r="BE19" s="15">
        <f t="shared" ca="1" si="9"/>
        <v>2.9542714500507827E-5</v>
      </c>
      <c r="BG19" s="15" cm="1">
        <f t="array" aca="1" ref="BG19" ca="1">INDIRECT(ADDRESS(BG$1,BG$2,1,1,$A19))</f>
        <v>5.4999999999999997E-3</v>
      </c>
      <c r="BH19" s="15" cm="1">
        <f t="array" aca="1" ref="BH19" ca="1">INDIRECT(ADDRESS(BH$1,BH$2,1,1,$A19))</f>
        <v>8.5000000000000006E-3</v>
      </c>
      <c r="BI19" s="15" cm="1">
        <f t="array" aca="1" ref="BI19" ca="1">INDIRECT(ADDRESS(BI$1,BI$2,1,1,$A19))</f>
        <v>5.8999999999999999E-3</v>
      </c>
      <c r="BJ19" s="15" cm="1">
        <f t="array" aca="1" ref="BJ19" ca="1">INDIRECT(ADDRESS(BJ$1,BJ$2,1,1,$A19))</f>
        <v>6.3E-3</v>
      </c>
      <c r="BK19" s="15" cm="1">
        <f t="array" aca="1" ref="BK19" ca="1">INDIRECT(ADDRESS(BK$1,BK$2,1,1,$A19))</f>
        <v>6.0000000000000001E-3</v>
      </c>
      <c r="BN19" s="32"/>
    </row>
    <row r="20" spans="1:66" x14ac:dyDescent="0.25">
      <c r="A20" t="s">
        <v>72</v>
      </c>
      <c r="B20" t="str" cm="1">
        <f t="array" aca="1" ref="B20" ca="1">LEFT(INDIRECT(ADDRESS(B$1,B$2,1,1,$A20)),FIND("-",INDIRECT(ADDRESS(B$1,B$2,1,1,$A20)))-1)</f>
        <v>P509</v>
      </c>
      <c r="C20" t="str" cm="1">
        <f t="array" aca="1" ref="C20" ca="1">RIGHT(INDIRECT(ADDRESS(B$1,B$2,1,1,$A20)),LEN(INDIRECT(ADDRESS(B$1,B$2,1,1,$A20)))-FIND("-",INDIRECT(ADDRESS(B$1,B$2,1,1,$A20))))</f>
        <v>south</v>
      </c>
      <c r="D20" s="10" cm="1">
        <f t="array" aca="1" ref="D20" ca="1">DATE(MID(INDIRECT(ADDRESS(D$1,D$2,1,1,$A20)),1,4),MID(INDIRECT(ADDRESS(D$1,D$2,1,1,$A20)),5,2),MID(INDIRECT(ADDRESS(D$1,D$2,1,1,$A20)),7,2))+TIME(MID(INDIRECT(ADDRESS(D$1,D$2,1,1,$A20)),10,2),MID(INDIRECT(ADDRESS(D$1,D$2,1,1,$A20)),12,2),0)</f>
        <v>44260.595833333333</v>
      </c>
      <c r="E20" cm="1">
        <f t="array" aca="1" ref="E20" ca="1">INDIRECT(ADDRESS(E$1,E$2,1,1,$A20))</f>
        <v>0</v>
      </c>
      <c r="F20" s="11" cm="1">
        <f t="array" aca="1" ref="F20" ca="1">VALUE(SUBSTITUTE(INDIRECT(ADDRESS(F$1,F$2,1,1,$A20)),"┬░C",""))</f>
        <v>19.3</v>
      </c>
      <c r="G20" s="12" cm="1">
        <f t="array" aca="1" ref="G20" ca="1">INDIRECT(ADDRESS(G$1,G$2,1,1,$A20))</f>
        <v>25.3995</v>
      </c>
      <c r="H20" cm="1">
        <f t="array" aca="1" ref="H20" ca="1">INDIRECT(ADDRESS(H$1,H$2,1,1,$A20))</f>
        <v>25.4039</v>
      </c>
      <c r="I20" cm="1">
        <f t="array" aca="1" ref="I20" ca="1">INDIRECT(ADDRESS(I$1,I$2,1,1,$A20))</f>
        <v>25.403099999999998</v>
      </c>
      <c r="J20" cm="1">
        <f t="array" aca="1" ref="J20" ca="1">INDIRECT(ADDRESS(J$1,J$2,1,1,$A20))</f>
        <v>25.404599999999999</v>
      </c>
      <c r="K20" s="13" cm="1">
        <f t="array" aca="1" ref="K20" ca="1">INDIRECT(ADDRESS(K$1,K$2,1,1,$A20))</f>
        <v>25.403099999999998</v>
      </c>
      <c r="L20" s="14" cm="1">
        <f t="array" aca="1" ref="L20" ca="1">SQRT(SUMSQ(Y20:AA20-V20:X20))</f>
        <v>72.879739863284371</v>
      </c>
      <c r="M20" s="15" cm="1">
        <f t="array" aca="1" ref="M20" ca="1">SQRT(SUMSQ(AB20:AD20-V20:X20))</f>
        <v>73.711403740601767</v>
      </c>
      <c r="N20" s="15" cm="1">
        <f t="array" aca="1" ref="N20" ca="1">SQRT(SUMSQ(AE20:AG20-V20:X20))</f>
        <v>72.341719619110521</v>
      </c>
      <c r="O20" s="15" cm="1">
        <f t="array" aca="1" ref="O20" ca="1">SQRT(SUMSQ(AH20:AJ20-V20:X20))</f>
        <v>71.964563979642094</v>
      </c>
      <c r="P20" s="15" cm="1">
        <f t="array" aca="1" ref="P20" ca="1">SQRT(SUMSQ(AB20:AD20-Y20:AA20))</f>
        <v>125.9327001429335</v>
      </c>
      <c r="Q20" s="15" cm="1">
        <f t="array" aca="1" ref="Q20" ca="1">SQRT(SUMSQ(AE20:AG20-Y20:AA20))</f>
        <v>145.218559670622</v>
      </c>
      <c r="R20" s="15" cm="1">
        <f t="array" aca="1" ref="R20" ca="1">SQRT(SUMSQ(AH20:AJ20-Y20:AA20))</f>
        <v>74.990019111479086</v>
      </c>
      <c r="S20" s="15" cm="1">
        <f t="array" aca="1" ref="S20" ca="1">SQRT(SUMSQ(AE20:AG20-AB20:AD20))</f>
        <v>73.984761881079265</v>
      </c>
      <c r="T20" s="15" cm="1">
        <f t="array" aca="1" ref="T20" ca="1">SQRT(SUMSQ(AH20:AJ20-AB20:AD20))</f>
        <v>145.67251599711594</v>
      </c>
      <c r="U20" s="16" cm="1">
        <f t="array" aca="1" ref="U20" ca="1">SQRT(SUMSQ(AH20:AJ20-AE20:AG20))</f>
        <v>123.92607043560285</v>
      </c>
      <c r="V20" cm="1">
        <f t="array" aca="1" ref="V20" ca="1">INDIRECT(ADDRESS(V$1,V$2,1,1,$A20))</f>
        <v>0</v>
      </c>
      <c r="W20" cm="1">
        <f t="array" aca="1" ref="W20" ca="1">INDIRECT(ADDRESS(W$1,W$2,1,1,$A20))</f>
        <v>0</v>
      </c>
      <c r="X20" cm="1">
        <f t="array" aca="1" ref="X20" ca="1">INDIRECT(ADDRESS(X$1,X$2,1,1,$A20))</f>
        <v>0</v>
      </c>
      <c r="Y20" cm="1">
        <f t="array" aca="1" ref="Y20" ca="1">INDIRECT(ADDRESS(Y$1,Y$2,1,1,$A20))</f>
        <v>62.482300000000002</v>
      </c>
      <c r="Z20" cm="1">
        <f t="array" aca="1" ref="Z20" ca="1">INDIRECT(ADDRESS(Z$1,Z$2,1,1,$A20))</f>
        <v>37.515500000000003</v>
      </c>
      <c r="AA20" cm="1">
        <f t="array" aca="1" ref="AA20" ca="1">INDIRECT(ADDRESS(AA$1,AA$2,1,1,$A20))</f>
        <v>7.6999999999999999E-2</v>
      </c>
      <c r="AB20" cm="1">
        <f t="array" aca="1" ref="AB20" ca="1">INDIRECT(ADDRESS(AB$1,AB$2,1,1,$A20))</f>
        <v>-63.450400000000002</v>
      </c>
      <c r="AC20" cm="1">
        <f t="array" aca="1" ref="AC20" ca="1">INDIRECT(ADDRESS(AC$1,AC$2,1,1,$A20))</f>
        <v>37.515500000000003</v>
      </c>
      <c r="AD20" cm="1">
        <f t="array" aca="1" ref="AD20" ca="1">INDIRECT(ADDRESS(AD$1,AD$2,1,1,$A20))</f>
        <v>7.0999999999999994E-2</v>
      </c>
      <c r="AE20" cm="1">
        <f t="array" aca="1" ref="AE20" ca="1">INDIRECT(ADDRESS(AE$1,AE$2,1,1,$A20))</f>
        <v>-62.480200000000004</v>
      </c>
      <c r="AF20" cm="1">
        <f t="array" aca="1" ref="AF20" ca="1">INDIRECT(ADDRESS(AF$1,AF$2,1,1,$A20))</f>
        <v>-36.462899999999998</v>
      </c>
      <c r="AG20" cm="1">
        <f t="array" aca="1" ref="AG20" ca="1">INDIRECT(ADDRESS(AG$1,AG$2,1,1,$A20))</f>
        <v>7.6999999999999999E-2</v>
      </c>
      <c r="AH20" cm="1">
        <f t="array" aca="1" ref="AH20" ca="1">INDIRECT(ADDRESS(AH$1,AH$2,1,1,$A20))</f>
        <v>61.441800000000001</v>
      </c>
      <c r="AI20" cm="1">
        <f t="array" aca="1" ref="AI20" ca="1">INDIRECT(ADDRESS(AI$1,AI$2,1,1,$A20))</f>
        <v>-37.467300000000002</v>
      </c>
      <c r="AJ20" cm="1">
        <f t="array" aca="1" ref="AJ20" ca="1">INDIRECT(ADDRESS(AJ$1,AJ$2,1,1,$A20))</f>
        <v>7.1499999999999994E-2</v>
      </c>
      <c r="AK20" s="15" cm="1">
        <f t="array" aca="1" ref="AK20" ca="1">INDIRECT(ADDRESS(AK$1,AK$2,1,1,$A20))</f>
        <v>72.8797</v>
      </c>
      <c r="AL20" s="15" cm="1">
        <f t="array" aca="1" ref="AL20" ca="1">INDIRECT(ADDRESS(AL$1,AL$2,1,1,$A20))</f>
        <v>73.711399999999998</v>
      </c>
      <c r="AM20" s="15" cm="1">
        <f t="array" aca="1" ref="AM20" ca="1">INDIRECT(ADDRESS(AM$1,AM$2,1,1,$A20))</f>
        <v>72.341700000000003</v>
      </c>
      <c r="AN20" s="15" cm="1">
        <f t="array" aca="1" ref="AN20" ca="1">INDIRECT(ADDRESS(AN$1,AN$2,1,1,$A20))</f>
        <v>71.964600000000004</v>
      </c>
      <c r="AO20" s="15" cm="1">
        <f t="array" aca="1" ref="AO20" ca="1">INDIRECT(ADDRESS(AO$1,AO$2,1,1,$A20))</f>
        <v>125.9327</v>
      </c>
      <c r="AP20" s="15" cm="1">
        <f t="array" aca="1" ref="AP20" ca="1">INDIRECT(ADDRESS(AP$1,AP$2,1,1,$A20))</f>
        <v>145.21850000000001</v>
      </c>
      <c r="AQ20" s="15" cm="1">
        <f t="array" aca="1" ref="AQ20" ca="1">INDIRECT(ADDRESS(AQ$1,AQ$2,1,1,$A20))</f>
        <v>74.989999999999995</v>
      </c>
      <c r="AR20" s="15" cm="1">
        <f t="array" aca="1" ref="AR20" ca="1">INDIRECT(ADDRESS(AR$1,AR$2,1,1,$A20))</f>
        <v>73.984800000000007</v>
      </c>
      <c r="AS20" s="15" cm="1">
        <f t="array" aca="1" ref="AS20" ca="1">INDIRECT(ADDRESS(AS$1,AS$2,1,1,$A20))</f>
        <v>145.67250000000001</v>
      </c>
      <c r="AT20" s="15" cm="1">
        <f t="array" aca="1" ref="AT20" ca="1">INDIRECT(ADDRESS(AT$1,AT$2,1,1,$A20))</f>
        <v>123.92610000000001</v>
      </c>
      <c r="AV20" s="15">
        <f t="shared" ca="1" si="0"/>
        <v>-3.9863284371222107E-5</v>
      </c>
      <c r="AW20" s="15">
        <f t="shared" ca="1" si="1"/>
        <v>-3.7406017696639537E-6</v>
      </c>
      <c r="AX20" s="15">
        <f t="shared" ca="1" si="2"/>
        <v>-1.9619110517510308E-5</v>
      </c>
      <c r="AY20" s="15">
        <f t="shared" ca="1" si="3"/>
        <v>3.602035791061553E-5</v>
      </c>
      <c r="AZ20" s="15">
        <f t="shared" ca="1" si="4"/>
        <v>-1.4293350147909223E-7</v>
      </c>
      <c r="BA20" s="15">
        <f t="shared" ca="1" si="5"/>
        <v>-5.9670621993745954E-5</v>
      </c>
      <c r="BB20" s="15">
        <f t="shared" ca="1" si="6"/>
        <v>-1.9111479090838657E-5</v>
      </c>
      <c r="BC20" s="15">
        <f t="shared" ca="1" si="7"/>
        <v>3.8118920741680995E-5</v>
      </c>
      <c r="BD20" s="15">
        <f t="shared" ca="1" si="8"/>
        <v>-1.5997115923482852E-5</v>
      </c>
      <c r="BE20" s="15">
        <f t="shared" ca="1" si="9"/>
        <v>2.9564397152626043E-5</v>
      </c>
      <c r="BG20" s="15" cm="1">
        <f t="array" aca="1" ref="BG20" ca="1">INDIRECT(ADDRESS(BG$1,BG$2,1,1,$A20))</f>
        <v>4.7000000000000002E-3</v>
      </c>
      <c r="BH20" s="15" cm="1">
        <f t="array" aca="1" ref="BH20" ca="1">INDIRECT(ADDRESS(BH$1,BH$2,1,1,$A20))</f>
        <v>9.1999999999999998E-3</v>
      </c>
      <c r="BI20" s="15" cm="1">
        <f t="array" aca="1" ref="BI20" ca="1">INDIRECT(ADDRESS(BI$1,BI$2,1,1,$A20))</f>
        <v>4.1999999999999997E-3</v>
      </c>
      <c r="BJ20" s="15" cm="1">
        <f t="array" aca="1" ref="BJ20" ca="1">INDIRECT(ADDRESS(BJ$1,BJ$2,1,1,$A20))</f>
        <v>8.0999999999999996E-3</v>
      </c>
      <c r="BK20" s="15" cm="1">
        <f t="array" aca="1" ref="BK20" ca="1">INDIRECT(ADDRESS(BK$1,BK$2,1,1,$A20))</f>
        <v>6.7999999999999996E-3</v>
      </c>
      <c r="BN20" s="32"/>
    </row>
    <row r="21" spans="1:66" x14ac:dyDescent="0.25">
      <c r="A21" t="s">
        <v>75</v>
      </c>
      <c r="B21" t="str" cm="1">
        <f t="array" aca="1" ref="B21" ca="1">LEFT(INDIRECT(ADDRESS(B$1,B$2,1,1,$A21)),FIND("-",INDIRECT(ADDRESS(B$1,B$2,1,1,$A21)))-1)</f>
        <v>P509</v>
      </c>
      <c r="C21" t="str" cm="1">
        <f t="array" aca="1" ref="C21" ca="1">RIGHT(INDIRECT(ADDRESS(B$1,B$2,1,1,$A21)),LEN(INDIRECT(ADDRESS(B$1,B$2,1,1,$A21)))-FIND("-",INDIRECT(ADDRESS(B$1,B$2,1,1,$A21))))</f>
        <v>south</v>
      </c>
      <c r="D21" s="10" cm="1">
        <f t="array" aca="1" ref="D21" ca="1">DATE(MID(INDIRECT(ADDRESS(D$1,D$2,1,1,$A21)),1,4),MID(INDIRECT(ADDRESS(D$1,D$2,1,1,$A21)),5,2),MID(INDIRECT(ADDRESS(D$1,D$2,1,1,$A21)),7,2))+TIME(MID(INDIRECT(ADDRESS(D$1,D$2,1,1,$A21)),10,2),MID(INDIRECT(ADDRESS(D$1,D$2,1,1,$A21)),12,2),0)</f>
        <v>44260.597916666666</v>
      </c>
      <c r="E21" cm="1">
        <f t="array" aca="1" ref="E21" ca="1">INDIRECT(ADDRESS(E$1,E$2,1,1,$A21))</f>
        <v>0</v>
      </c>
      <c r="F21" s="11" cm="1">
        <f t="array" aca="1" ref="F21" ca="1">VALUE(SUBSTITUTE(INDIRECT(ADDRESS(F$1,F$2,1,1,$A21)),"┬░C",""))</f>
        <v>19.399999999999999</v>
      </c>
      <c r="G21" s="12" cm="1">
        <f t="array" aca="1" ref="G21" ca="1">INDIRECT(ADDRESS(G$1,G$2,1,1,$A21))</f>
        <v>25.399100000000001</v>
      </c>
      <c r="H21" cm="1">
        <f t="array" aca="1" ref="H21" ca="1">INDIRECT(ADDRESS(H$1,H$2,1,1,$A21))</f>
        <v>25.403700000000001</v>
      </c>
      <c r="I21" cm="1">
        <f t="array" aca="1" ref="I21" ca="1">INDIRECT(ADDRESS(I$1,I$2,1,1,$A21))</f>
        <v>25.4025</v>
      </c>
      <c r="J21" cm="1">
        <f t="array" aca="1" ref="J21" ca="1">INDIRECT(ADDRESS(J$1,J$2,1,1,$A21))</f>
        <v>25.404499999999999</v>
      </c>
      <c r="K21" s="13" cm="1">
        <f t="array" aca="1" ref="K21" ca="1">INDIRECT(ADDRESS(K$1,K$2,1,1,$A21))</f>
        <v>25.4038</v>
      </c>
      <c r="L21" s="14" cm="1">
        <f t="array" aca="1" ref="L21" ca="1">SQRT(SUMSQ(Y21:AA21-V21:X21))</f>
        <v>72.879773280108381</v>
      </c>
      <c r="M21" s="15" cm="1">
        <f t="array" aca="1" ref="M21" ca="1">SQRT(SUMSQ(AB21:AD21-V21:X21))</f>
        <v>73.711265809576219</v>
      </c>
      <c r="N21" s="15" cm="1">
        <f t="array" aca="1" ref="N21" ca="1">SQRT(SUMSQ(AE21:AG21-V21:X21))</f>
        <v>72.341308561982757</v>
      </c>
      <c r="O21" s="15" cm="1">
        <f t="array" aca="1" ref="O21" ca="1">SQRT(SUMSQ(AH21:AJ21-V21:X21))</f>
        <v>71.964581644722983</v>
      </c>
      <c r="P21" s="15" cm="1">
        <f t="array" aca="1" ref="P21" ca="1">SQRT(SUMSQ(AB21:AD21-Y21:AA21))</f>
        <v>125.93270015262119</v>
      </c>
      <c r="Q21" s="15" cm="1">
        <f t="array" aca="1" ref="Q21" ca="1">SQRT(SUMSQ(AE21:AG21-Y21:AA21))</f>
        <v>145.21818379700252</v>
      </c>
      <c r="R21" s="15" cm="1">
        <f t="array" aca="1" ref="R21" ca="1">SQRT(SUMSQ(AH21:AJ21-Y21:AA21))</f>
        <v>74.990121899754243</v>
      </c>
      <c r="S21" s="15" cm="1">
        <f t="array" aca="1" ref="S21" ca="1">SQRT(SUMSQ(AE21:AG21-AB21:AD21))</f>
        <v>73.984364563399481</v>
      </c>
      <c r="T21" s="15" cm="1">
        <f t="array" aca="1" ref="T21" ca="1">SQRT(SUMSQ(AH21:AJ21-AB21:AD21))</f>
        <v>145.67239600064934</v>
      </c>
      <c r="U21" s="16" cm="1">
        <f t="array" aca="1" ref="U21" ca="1">SQRT(SUMSQ(AH21:AJ21-AE21:AG21))</f>
        <v>123.92567452057705</v>
      </c>
      <c r="V21" cm="1">
        <f t="array" aca="1" ref="V21" ca="1">INDIRECT(ADDRESS(V$1,V$2,1,1,$A21))</f>
        <v>0</v>
      </c>
      <c r="W21" cm="1">
        <f t="array" aca="1" ref="W21" ca="1">INDIRECT(ADDRESS(W$1,W$2,1,1,$A21))</f>
        <v>0</v>
      </c>
      <c r="X21" cm="1">
        <f t="array" aca="1" ref="X21" ca="1">INDIRECT(ADDRESS(X$1,X$2,1,1,$A21))</f>
        <v>0</v>
      </c>
      <c r="Y21" cm="1">
        <f t="array" aca="1" ref="Y21" ca="1">INDIRECT(ADDRESS(Y$1,Y$2,1,1,$A21))</f>
        <v>62.482399999999998</v>
      </c>
      <c r="Z21" cm="1">
        <f t="array" aca="1" ref="Z21" ca="1">INDIRECT(ADDRESS(Z$1,Z$2,1,1,$A21))</f>
        <v>37.5154</v>
      </c>
      <c r="AA21" cm="1">
        <f t="array" aca="1" ref="AA21" ca="1">INDIRECT(ADDRESS(AA$1,AA$2,1,1,$A21))</f>
        <v>7.6200000000000004E-2</v>
      </c>
      <c r="AB21" cm="1">
        <f t="array" aca="1" ref="AB21" ca="1">INDIRECT(ADDRESS(AB$1,AB$2,1,1,$A21))</f>
        <v>-63.450299999999999</v>
      </c>
      <c r="AC21" cm="1">
        <f t="array" aca="1" ref="AC21" ca="1">INDIRECT(ADDRESS(AC$1,AC$2,1,1,$A21))</f>
        <v>37.5154</v>
      </c>
      <c r="AD21" cm="1">
        <f t="array" aca="1" ref="AD21" ca="1">INDIRECT(ADDRESS(AD$1,AD$2,1,1,$A21))</f>
        <v>7.0000000000000007E-2</v>
      </c>
      <c r="AE21" cm="1">
        <f t="array" aca="1" ref="AE21" ca="1">INDIRECT(ADDRESS(AE$1,AE$2,1,1,$A21))</f>
        <v>-62.479900000000001</v>
      </c>
      <c r="AF21" cm="1">
        <f t="array" aca="1" ref="AF21" ca="1">INDIRECT(ADDRESS(AF$1,AF$2,1,1,$A21))</f>
        <v>-36.462600000000002</v>
      </c>
      <c r="AG21" cm="1">
        <f t="array" aca="1" ref="AG21" ca="1">INDIRECT(ADDRESS(AG$1,AG$2,1,1,$A21))</f>
        <v>7.6300000000000007E-2</v>
      </c>
      <c r="AH21" cm="1">
        <f t="array" aca="1" ref="AH21" ca="1">INDIRECT(ADDRESS(AH$1,AH$2,1,1,$A21))</f>
        <v>61.441699999999997</v>
      </c>
      <c r="AI21" cm="1">
        <f t="array" aca="1" ref="AI21" ca="1">INDIRECT(ADDRESS(AI$1,AI$2,1,1,$A21))</f>
        <v>-37.467500000000001</v>
      </c>
      <c r="AJ21" cm="1">
        <f t="array" aca="1" ref="AJ21" ca="1">INDIRECT(ADDRESS(AJ$1,AJ$2,1,1,$A21))</f>
        <v>7.0400000000000004E-2</v>
      </c>
      <c r="AK21" s="15" cm="1">
        <f t="array" aca="1" ref="AK21" ca="1">INDIRECT(ADDRESS(AK$1,AK$2,1,1,$A21))</f>
        <v>72.879800000000003</v>
      </c>
      <c r="AL21" s="15" cm="1">
        <f t="array" aca="1" ref="AL21" ca="1">INDIRECT(ADDRESS(AL$1,AL$2,1,1,$A21))</f>
        <v>73.711200000000005</v>
      </c>
      <c r="AM21" s="15" cm="1">
        <f t="array" aca="1" ref="AM21" ca="1">INDIRECT(ADDRESS(AM$1,AM$2,1,1,$A21))</f>
        <v>72.341300000000004</v>
      </c>
      <c r="AN21" s="15" cm="1">
        <f t="array" aca="1" ref="AN21" ca="1">INDIRECT(ADDRESS(AN$1,AN$2,1,1,$A21))</f>
        <v>71.964600000000004</v>
      </c>
      <c r="AO21" s="15" cm="1">
        <f t="array" aca="1" ref="AO21" ca="1">INDIRECT(ADDRESS(AO$1,AO$2,1,1,$A21))</f>
        <v>125.9327</v>
      </c>
      <c r="AP21" s="15" cm="1">
        <f t="array" aca="1" ref="AP21" ca="1">INDIRECT(ADDRESS(AP$1,AP$2,1,1,$A21))</f>
        <v>145.2182</v>
      </c>
      <c r="AQ21" s="15" cm="1">
        <f t="array" aca="1" ref="AQ21" ca="1">INDIRECT(ADDRESS(AQ$1,AQ$2,1,1,$A21))</f>
        <v>74.989999999999995</v>
      </c>
      <c r="AR21" s="15" cm="1">
        <f t="array" aca="1" ref="AR21" ca="1">INDIRECT(ADDRESS(AR$1,AR$2,1,1,$A21))</f>
        <v>73.984399999999994</v>
      </c>
      <c r="AS21" s="15" cm="1">
        <f t="array" aca="1" ref="AS21" ca="1">INDIRECT(ADDRESS(AS$1,AS$2,1,1,$A21))</f>
        <v>145.67240000000001</v>
      </c>
      <c r="AT21" s="15" cm="1">
        <f t="array" aca="1" ref="AT21" ca="1">INDIRECT(ADDRESS(AT$1,AT$2,1,1,$A21))</f>
        <v>123.92570000000001</v>
      </c>
      <c r="AV21" s="15">
        <f t="shared" ca="1" si="0"/>
        <v>2.6719891621951319E-5</v>
      </c>
      <c r="AW21" s="15">
        <f t="shared" ca="1" si="1"/>
        <v>-6.580957621338257E-5</v>
      </c>
      <c r="AX21" s="15">
        <f t="shared" ca="1" si="2"/>
        <v>-8.5619827530081238E-6</v>
      </c>
      <c r="AY21" s="15">
        <f t="shared" ca="1" si="3"/>
        <v>1.835527702098716E-5</v>
      </c>
      <c r="AZ21" s="15">
        <f t="shared" ca="1" si="4"/>
        <v>-1.526211974578473E-7</v>
      </c>
      <c r="BA21" s="15">
        <f t="shared" ca="1" si="5"/>
        <v>1.6202997471737035E-5</v>
      </c>
      <c r="BB21" s="15">
        <f t="shared" ca="1" si="6"/>
        <v>-1.2189975424803379E-4</v>
      </c>
      <c r="BC21" s="15">
        <f t="shared" ca="1" si="7"/>
        <v>3.5436600512639416E-5</v>
      </c>
      <c r="BD21" s="15">
        <f t="shared" ca="1" si="8"/>
        <v>3.9993506675273238E-6</v>
      </c>
      <c r="BE21" s="15">
        <f t="shared" ca="1" si="9"/>
        <v>2.547942295905159E-5</v>
      </c>
      <c r="BG21" s="15" cm="1">
        <f t="array" aca="1" ref="BG21" ca="1">INDIRECT(ADDRESS(BG$1,BG$2,1,1,$A21))</f>
        <v>5.3E-3</v>
      </c>
      <c r="BH21" s="15" cm="1">
        <f t="array" aca="1" ref="BH21" ca="1">INDIRECT(ADDRESS(BH$1,BH$2,1,1,$A21))</f>
        <v>8.0000000000000002E-3</v>
      </c>
      <c r="BI21" s="15" cm="1">
        <f t="array" aca="1" ref="BI21" ca="1">INDIRECT(ADDRESS(BI$1,BI$2,1,1,$A21))</f>
        <v>6.3E-3</v>
      </c>
      <c r="BJ21" s="15" cm="1">
        <f t="array" aca="1" ref="BJ21" ca="1">INDIRECT(ADDRESS(BJ$1,BJ$2,1,1,$A21))</f>
        <v>5.5999999999999999E-3</v>
      </c>
      <c r="BK21" s="15" cm="1">
        <f t="array" aca="1" ref="BK21" ca="1">INDIRECT(ADDRESS(BK$1,BK$2,1,1,$A21))</f>
        <v>6.3E-3</v>
      </c>
      <c r="BN21" s="32"/>
    </row>
    <row r="22" spans="1:66" x14ac:dyDescent="0.25">
      <c r="A22" t="s">
        <v>78</v>
      </c>
      <c r="B22" t="str" cm="1">
        <f t="array" aca="1" ref="B22" ca="1">LEFT(INDIRECT(ADDRESS(B$1,B$2,1,1,$A22)),FIND("-",INDIRECT(ADDRESS(B$1,B$2,1,1,$A22)))-1)</f>
        <v>P509</v>
      </c>
      <c r="C22" t="str" cm="1">
        <f t="array" aca="1" ref="C22" ca="1">RIGHT(INDIRECT(ADDRESS(B$1,B$2,1,1,$A22)),LEN(INDIRECT(ADDRESS(B$1,B$2,1,1,$A22)))-FIND("-",INDIRECT(ADDRESS(B$1,B$2,1,1,$A22))))</f>
        <v>south</v>
      </c>
      <c r="D22" s="10" cm="1">
        <f t="array" aca="1" ref="D22" ca="1">DATE(MID(INDIRECT(ADDRESS(D$1,D$2,1,1,$A22)),1,4),MID(INDIRECT(ADDRESS(D$1,D$2,1,1,$A22)),5,2),MID(INDIRECT(ADDRESS(D$1,D$2,1,1,$A22)),7,2))+TIME(MID(INDIRECT(ADDRESS(D$1,D$2,1,1,$A22)),10,2),MID(INDIRECT(ADDRESS(D$1,D$2,1,1,$A22)),12,2),0)</f>
        <v>44260.600694444445</v>
      </c>
      <c r="E22" cm="1">
        <f t="array" aca="1" ref="E22" ca="1">INDIRECT(ADDRESS(E$1,E$2,1,1,$A22))</f>
        <v>0</v>
      </c>
      <c r="F22" s="11" cm="1">
        <f t="array" aca="1" ref="F22" ca="1">VALUE(SUBSTITUTE(INDIRECT(ADDRESS(F$1,F$2,1,1,$A22)),"┬░C",""))</f>
        <v>19.399999999999999</v>
      </c>
      <c r="G22" s="12" cm="1">
        <f t="array" aca="1" ref="G22" ca="1">INDIRECT(ADDRESS(G$1,G$2,1,1,$A22))</f>
        <v>25.3992</v>
      </c>
      <c r="H22" cm="1">
        <f t="array" aca="1" ref="H22" ca="1">INDIRECT(ADDRESS(H$1,H$2,1,1,$A22))</f>
        <v>25.403300000000002</v>
      </c>
      <c r="I22" cm="1">
        <f t="array" aca="1" ref="I22" ca="1">INDIRECT(ADDRESS(I$1,I$2,1,1,$A22))</f>
        <v>25.402899999999999</v>
      </c>
      <c r="J22" cm="1">
        <f t="array" aca="1" ref="J22" ca="1">INDIRECT(ADDRESS(J$1,J$2,1,1,$A22))</f>
        <v>25.404699999999998</v>
      </c>
      <c r="K22" s="13" cm="1">
        <f t="array" aca="1" ref="K22" ca="1">INDIRECT(ADDRESS(K$1,K$2,1,1,$A22))</f>
        <v>25.403199999999998</v>
      </c>
      <c r="L22" s="14" cm="1">
        <f t="array" aca="1" ref="L22" ca="1">SQRT(SUMSQ(Y22:AA22-V22:X22))</f>
        <v>72.8799453770377</v>
      </c>
      <c r="M22" s="15" cm="1">
        <f t="array" aca="1" ref="M22" ca="1">SQRT(SUMSQ(AB22:AD22-V22:X22))</f>
        <v>73.711610700146821</v>
      </c>
      <c r="N22" s="15" cm="1">
        <f t="array" aca="1" ref="N22" ca="1">SQRT(SUMSQ(AE22:AG22-V22:X22))</f>
        <v>72.341568195885827</v>
      </c>
      <c r="O22" s="15" cm="1">
        <f t="array" aca="1" ref="O22" ca="1">SQRT(SUMSQ(AH22:AJ22-V22:X22))</f>
        <v>71.964682177023477</v>
      </c>
      <c r="P22" s="15" cm="1">
        <f t="array" aca="1" ref="P22" ca="1">SQRT(SUMSQ(AB22:AD22-Y22:AA22))</f>
        <v>125.93330015262048</v>
      </c>
      <c r="Q22" s="15" cm="1">
        <f t="array" aca="1" ref="Q22" ca="1">SQRT(SUMSQ(AE22:AG22-Y22:AA22))</f>
        <v>145.21861405425958</v>
      </c>
      <c r="R22" s="15" cm="1">
        <f t="array" aca="1" ref="R22" ca="1">SQRT(SUMSQ(AH22:AJ22-Y22:AA22))</f>
        <v>74.989820540924072</v>
      </c>
      <c r="S22" s="15" cm="1">
        <f t="array" aca="1" ref="S22" ca="1">SQRT(SUMSQ(AE22:AG22-AB22:AD22))</f>
        <v>73.984365866647806</v>
      </c>
      <c r="T22" s="15" cm="1">
        <f t="array" aca="1" ref="T22" ca="1">SQRT(SUMSQ(AH22:AJ22-AB22:AD22))</f>
        <v>145.67284172490764</v>
      </c>
      <c r="U22" s="16" cm="1">
        <f t="array" aca="1" ref="U22" ca="1">SQRT(SUMSQ(AH22:AJ22-AE22:AG22))</f>
        <v>123.92627206383641</v>
      </c>
      <c r="V22" cm="1">
        <f t="array" aca="1" ref="V22" ca="1">INDIRECT(ADDRESS(V$1,V$2,1,1,$A22))</f>
        <v>0</v>
      </c>
      <c r="W22" cm="1">
        <f t="array" aca="1" ref="W22" ca="1">INDIRECT(ADDRESS(W$1,W$2,1,1,$A22))</f>
        <v>0</v>
      </c>
      <c r="X22" cm="1">
        <f t="array" aca="1" ref="X22" ca="1">INDIRECT(ADDRESS(X$1,X$2,1,1,$A22))</f>
        <v>0</v>
      </c>
      <c r="Y22" cm="1">
        <f t="array" aca="1" ref="Y22" ca="1">INDIRECT(ADDRESS(Y$1,Y$2,1,1,$A22))</f>
        <v>62.482599999999998</v>
      </c>
      <c r="Z22" cm="1">
        <f t="array" aca="1" ref="Z22" ca="1">INDIRECT(ADDRESS(Z$1,Z$2,1,1,$A22))</f>
        <v>37.5154</v>
      </c>
      <c r="AA22" cm="1">
        <f t="array" aca="1" ref="AA22" ca="1">INDIRECT(ADDRESS(AA$1,AA$2,1,1,$A22))</f>
        <v>7.6799999999999993E-2</v>
      </c>
      <c r="AB22" cm="1">
        <f t="array" aca="1" ref="AB22" ca="1">INDIRECT(ADDRESS(AB$1,AB$2,1,1,$A22))</f>
        <v>-63.450699999999998</v>
      </c>
      <c r="AC22" cm="1">
        <f t="array" aca="1" ref="AC22" ca="1">INDIRECT(ADDRESS(AC$1,AC$2,1,1,$A22))</f>
        <v>37.5154</v>
      </c>
      <c r="AD22" cm="1">
        <f t="array" aca="1" ref="AD22" ca="1">INDIRECT(ADDRESS(AD$1,AD$2,1,1,$A22))</f>
        <v>7.0599999999999996E-2</v>
      </c>
      <c r="AE22" cm="1">
        <f t="array" aca="1" ref="AE22" ca="1">INDIRECT(ADDRESS(AE$1,AE$2,1,1,$A22))</f>
        <v>-62.480200000000004</v>
      </c>
      <c r="AF22" cm="1">
        <f t="array" aca="1" ref="AF22" ca="1">INDIRECT(ADDRESS(AF$1,AF$2,1,1,$A22))</f>
        <v>-36.462600000000002</v>
      </c>
      <c r="AG22" cm="1">
        <f t="array" aca="1" ref="AG22" ca="1">INDIRECT(ADDRESS(AG$1,AG$2,1,1,$A22))</f>
        <v>7.6799999999999993E-2</v>
      </c>
      <c r="AH22" cm="1">
        <f t="array" aca="1" ref="AH22" ca="1">INDIRECT(ADDRESS(AH$1,AH$2,1,1,$A22))</f>
        <v>61.442</v>
      </c>
      <c r="AI22" cm="1">
        <f t="array" aca="1" ref="AI22" ca="1">INDIRECT(ADDRESS(AI$1,AI$2,1,1,$A22))</f>
        <v>-37.467199999999998</v>
      </c>
      <c r="AJ22" cm="1">
        <f t="array" aca="1" ref="AJ22" ca="1">INDIRECT(ADDRESS(AJ$1,AJ$2,1,1,$A22))</f>
        <v>7.0999999999999994E-2</v>
      </c>
      <c r="AK22" s="15" cm="1">
        <f t="array" aca="1" ref="AK22" ca="1">INDIRECT(ADDRESS(AK$1,AK$2,1,1,$A22))</f>
        <v>72.879900000000006</v>
      </c>
      <c r="AL22" s="15" cm="1">
        <f t="array" aca="1" ref="AL22" ca="1">INDIRECT(ADDRESS(AL$1,AL$2,1,1,$A22))</f>
        <v>73.711600000000004</v>
      </c>
      <c r="AM22" s="15" cm="1">
        <f t="array" aca="1" ref="AM22" ca="1">INDIRECT(ADDRESS(AM$1,AM$2,1,1,$A22))</f>
        <v>72.341499999999996</v>
      </c>
      <c r="AN22" s="15" cm="1">
        <f t="array" aca="1" ref="AN22" ca="1">INDIRECT(ADDRESS(AN$1,AN$2,1,1,$A22))</f>
        <v>71.964699999999993</v>
      </c>
      <c r="AO22" s="15" cm="1">
        <f t="array" aca="1" ref="AO22" ca="1">INDIRECT(ADDRESS(AO$1,AO$2,1,1,$A22))</f>
        <v>125.9332</v>
      </c>
      <c r="AP22" s="15" cm="1">
        <f t="array" aca="1" ref="AP22" ca="1">INDIRECT(ADDRESS(AP$1,AP$2,1,1,$A22))</f>
        <v>145.21860000000001</v>
      </c>
      <c r="AQ22" s="15" cm="1">
        <f t="array" aca="1" ref="AQ22" ca="1">INDIRECT(ADDRESS(AQ$1,AQ$2,1,1,$A22))</f>
        <v>74.989800000000002</v>
      </c>
      <c r="AR22" s="15" cm="1">
        <f t="array" aca="1" ref="AR22" ca="1">INDIRECT(ADDRESS(AR$1,AR$2,1,1,$A22))</f>
        <v>73.984300000000005</v>
      </c>
      <c r="AS22" s="15" cm="1">
        <f t="array" aca="1" ref="AS22" ca="1">INDIRECT(ADDRESS(AS$1,AS$2,1,1,$A22))</f>
        <v>145.6728</v>
      </c>
      <c r="AT22" s="15" cm="1">
        <f t="array" aca="1" ref="AT22" ca="1">INDIRECT(ADDRESS(AT$1,AT$2,1,1,$A22))</f>
        <v>123.9263</v>
      </c>
      <c r="AV22" s="15">
        <f t="shared" ca="1" si="0"/>
        <v>-4.5377037693583588E-5</v>
      </c>
      <c r="AW22" s="15">
        <f t="shared" ca="1" si="1"/>
        <v>-1.070014681658904E-5</v>
      </c>
      <c r="AX22" s="15">
        <f t="shared" ca="1" si="2"/>
        <v>-6.8195885830846237E-5</v>
      </c>
      <c r="AY22" s="15">
        <f t="shared" ca="1" si="3"/>
        <v>1.7822976516868039E-5</v>
      </c>
      <c r="AZ22" s="15">
        <f t="shared" ca="1" si="4"/>
        <v>-1.0015262047602391E-4</v>
      </c>
      <c r="BA22" s="15">
        <f t="shared" ca="1" si="5"/>
        <v>-1.4054259565909888E-5</v>
      </c>
      <c r="BB22" s="15">
        <f t="shared" ca="1" si="6"/>
        <v>-2.0540924069223365E-5</v>
      </c>
      <c r="BC22" s="15">
        <f t="shared" ca="1" si="7"/>
        <v>-6.5866647801726685E-5</v>
      </c>
      <c r="BD22" s="15">
        <f t="shared" ca="1" si="8"/>
        <v>-4.1724907646312204E-5</v>
      </c>
      <c r="BE22" s="15">
        <f t="shared" ca="1" si="9"/>
        <v>2.7936163590425167E-5</v>
      </c>
      <c r="BG22" s="15" cm="1">
        <f t="array" aca="1" ref="BG22" ca="1">INDIRECT(ADDRESS(BG$1,BG$2,1,1,$A22))</f>
        <v>3.3999999999999998E-3</v>
      </c>
      <c r="BH22" s="15" cm="1">
        <f t="array" aca="1" ref="BH22" ca="1">INDIRECT(ADDRESS(BH$1,BH$2,1,1,$A22))</f>
        <v>8.0000000000000002E-3</v>
      </c>
      <c r="BI22" s="15" cm="1">
        <f t="array" aca="1" ref="BI22" ca="1">INDIRECT(ADDRESS(BI$1,BI$2,1,1,$A22))</f>
        <v>5.4999999999999997E-3</v>
      </c>
      <c r="BJ22" s="15" cm="1">
        <f t="array" aca="1" ref="BJ22" ca="1">INDIRECT(ADDRESS(BJ$1,BJ$2,1,1,$A22))</f>
        <v>5.0000000000000001E-3</v>
      </c>
      <c r="BK22" s="15" cm="1">
        <f t="array" aca="1" ref="BK22" ca="1">INDIRECT(ADDRESS(BK$1,BK$2,1,1,$A22))</f>
        <v>5.8999999999999999E-3</v>
      </c>
      <c r="BN22" s="32"/>
    </row>
    <row r="23" spans="1:66" x14ac:dyDescent="0.25">
      <c r="A23" t="s">
        <v>81</v>
      </c>
      <c r="B23" t="str" cm="1">
        <f t="array" aca="1" ref="B23" ca="1">LEFT(INDIRECT(ADDRESS(B$1,B$2,1,1,$A23)),FIND("-",INDIRECT(ADDRESS(B$1,B$2,1,1,$A23)))-1)</f>
        <v>P509</v>
      </c>
      <c r="C23" t="str" cm="1">
        <f t="array" aca="1" ref="C23" ca="1">RIGHT(INDIRECT(ADDRESS(B$1,B$2,1,1,$A23)),LEN(INDIRECT(ADDRESS(B$1,B$2,1,1,$A23)))-FIND("-",INDIRECT(ADDRESS(B$1,B$2,1,1,$A23))))</f>
        <v>south</v>
      </c>
      <c r="D23" s="10" cm="1">
        <f t="array" aca="1" ref="D23" ca="1">DATE(MID(INDIRECT(ADDRESS(D$1,D$2,1,1,$A23)),1,4),MID(INDIRECT(ADDRESS(D$1,D$2,1,1,$A23)),5,2),MID(INDIRECT(ADDRESS(D$1,D$2,1,1,$A23)),7,2))+TIME(MID(INDIRECT(ADDRESS(D$1,D$2,1,1,$A23)),10,2),MID(INDIRECT(ADDRESS(D$1,D$2,1,1,$A23)),12,2),0)</f>
        <v>44260.602777777778</v>
      </c>
      <c r="E23" cm="1">
        <f t="array" aca="1" ref="E23" ca="1">INDIRECT(ADDRESS(E$1,E$2,1,1,$A23))</f>
        <v>0</v>
      </c>
      <c r="F23" s="11" cm="1">
        <f t="array" aca="1" ref="F23" ca="1">VALUE(SUBSTITUTE(INDIRECT(ADDRESS(F$1,F$2,1,1,$A23)),"┬░C",""))</f>
        <v>19.399999999999999</v>
      </c>
      <c r="G23" s="12" cm="1">
        <f t="array" aca="1" ref="G23" ca="1">INDIRECT(ADDRESS(G$1,G$2,1,1,$A23))</f>
        <v>25.3996</v>
      </c>
      <c r="H23" cm="1">
        <f t="array" aca="1" ref="H23" ca="1">INDIRECT(ADDRESS(H$1,H$2,1,1,$A23))</f>
        <v>25.402799999999999</v>
      </c>
      <c r="I23" cm="1">
        <f t="array" aca="1" ref="I23" ca="1">INDIRECT(ADDRESS(I$1,I$2,1,1,$A23))</f>
        <v>25.4026</v>
      </c>
      <c r="J23" cm="1">
        <f t="array" aca="1" ref="J23" ca="1">INDIRECT(ADDRESS(J$1,J$2,1,1,$A23))</f>
        <v>25.4056</v>
      </c>
      <c r="K23" s="13" cm="1">
        <f t="array" aca="1" ref="K23" ca="1">INDIRECT(ADDRESS(K$1,K$2,1,1,$A23))</f>
        <v>25.403500000000001</v>
      </c>
      <c r="L23" s="14" cm="1">
        <f t="array" aca="1" ref="L23" ca="1">SQRT(SUMSQ(Y23:AA23-V23:X23))</f>
        <v>72.879911154171964</v>
      </c>
      <c r="M23" s="15" cm="1">
        <f t="array" aca="1" ref="M23" ca="1">SQRT(SUMSQ(AB23:AD23-V23:X23))</f>
        <v>73.710718675440958</v>
      </c>
      <c r="N23" s="15" cm="1">
        <f t="array" aca="1" ref="N23" ca="1">SQRT(SUMSQ(AE23:AG23-V23:X23))</f>
        <v>72.341309410184166</v>
      </c>
      <c r="O23" s="15" cm="1">
        <f t="array" aca="1" ref="O23" ca="1">SQRT(SUMSQ(AH23:AJ23-V23:X23))</f>
        <v>71.96461156332326</v>
      </c>
      <c r="P23" s="15" cm="1">
        <f t="array" aca="1" ref="P23" ca="1">SQRT(SUMSQ(AB23:AD23-Y23:AA23))</f>
        <v>125.93270015262119</v>
      </c>
      <c r="Q23" s="15" cm="1">
        <f t="array" aca="1" ref="Q23" ca="1">SQRT(SUMSQ(AE23:AG23-Y23:AA23))</f>
        <v>145.2183242330664</v>
      </c>
      <c r="R23" s="15" cm="1">
        <f t="array" aca="1" ref="R23" ca="1">SQRT(SUMSQ(AH23:AJ23-Y23:AA23))</f>
        <v>74.989121996060192</v>
      </c>
      <c r="S23" s="15" cm="1">
        <f t="array" aca="1" ref="S23" ca="1">SQRT(SUMSQ(AE23:AG23-AB23:AD23))</f>
        <v>73.983959352348805</v>
      </c>
      <c r="T23" s="15" cm="1">
        <f t="array" aca="1" ref="T23" ca="1">SQRT(SUMSQ(AH23:AJ23-AB23:AD23))</f>
        <v>145.67188126666724</v>
      </c>
      <c r="U23" s="16" cm="1">
        <f t="array" aca="1" ref="U23" ca="1">SQRT(SUMSQ(AH23:AJ23-AE23:AG23))</f>
        <v>123.92606964355805</v>
      </c>
      <c r="V23" cm="1">
        <f t="array" aca="1" ref="V23" ca="1">INDIRECT(ADDRESS(V$1,V$2,1,1,$A23))</f>
        <v>0</v>
      </c>
      <c r="W23" cm="1">
        <f t="array" aca="1" ref="W23" ca="1">INDIRECT(ADDRESS(W$1,W$2,1,1,$A23))</f>
        <v>0</v>
      </c>
      <c r="X23" cm="1">
        <f t="array" aca="1" ref="X23" ca="1">INDIRECT(ADDRESS(X$1,X$2,1,1,$A23))</f>
        <v>0</v>
      </c>
      <c r="Y23" cm="1">
        <f t="array" aca="1" ref="Y23" ca="1">INDIRECT(ADDRESS(Y$1,Y$2,1,1,$A23))</f>
        <v>62.482799999999997</v>
      </c>
      <c r="Z23" cm="1">
        <f t="array" aca="1" ref="Z23" ca="1">INDIRECT(ADDRESS(Z$1,Z$2,1,1,$A23))</f>
        <v>37.515000000000001</v>
      </c>
      <c r="AA23" cm="1">
        <f t="array" aca="1" ref="AA23" ca="1">INDIRECT(ADDRESS(AA$1,AA$2,1,1,$A23))</f>
        <v>7.6999999999999999E-2</v>
      </c>
      <c r="AB23" cm="1">
        <f t="array" aca="1" ref="AB23" ca="1">INDIRECT(ADDRESS(AB$1,AB$2,1,1,$A23))</f>
        <v>-63.4499</v>
      </c>
      <c r="AC23" cm="1">
        <f t="array" aca="1" ref="AC23" ca="1">INDIRECT(ADDRESS(AC$1,AC$2,1,1,$A23))</f>
        <v>37.515000000000001</v>
      </c>
      <c r="AD23" cm="1">
        <f t="array" aca="1" ref="AD23" ca="1">INDIRECT(ADDRESS(AD$1,AD$2,1,1,$A23))</f>
        <v>7.0800000000000002E-2</v>
      </c>
      <c r="AE23" cm="1">
        <f t="array" aca="1" ref="AE23" ca="1">INDIRECT(ADDRESS(AE$1,AE$2,1,1,$A23))</f>
        <v>-62.479900000000001</v>
      </c>
      <c r="AF23" cm="1">
        <f t="array" aca="1" ref="AF23" ca="1">INDIRECT(ADDRESS(AF$1,AF$2,1,1,$A23))</f>
        <v>-36.462600000000002</v>
      </c>
      <c r="AG23" cm="1">
        <f t="array" aca="1" ref="AG23" ca="1">INDIRECT(ADDRESS(AG$1,AG$2,1,1,$A23))</f>
        <v>7.7100000000000002E-2</v>
      </c>
      <c r="AH23" cm="1">
        <f t="array" aca="1" ref="AH23" ca="1">INDIRECT(ADDRESS(AH$1,AH$2,1,1,$A23))</f>
        <v>61.442100000000003</v>
      </c>
      <c r="AI23" cm="1">
        <f t="array" aca="1" ref="AI23" ca="1">INDIRECT(ADDRESS(AI$1,AI$2,1,1,$A23))</f>
        <v>-37.466900000000003</v>
      </c>
      <c r="AJ23" cm="1">
        <f t="array" aca="1" ref="AJ23" ca="1">INDIRECT(ADDRESS(AJ$1,AJ$2,1,1,$A23))</f>
        <v>7.1199999999999999E-2</v>
      </c>
      <c r="AK23" s="15" cm="1">
        <f t="array" aca="1" ref="AK23" ca="1">INDIRECT(ADDRESS(AK$1,AK$2,1,1,$A23))</f>
        <v>72.879900000000006</v>
      </c>
      <c r="AL23" s="15" cm="1">
        <f t="array" aca="1" ref="AL23" ca="1">INDIRECT(ADDRESS(AL$1,AL$2,1,1,$A23))</f>
        <v>73.710700000000003</v>
      </c>
      <c r="AM23" s="15" cm="1">
        <f t="array" aca="1" ref="AM23" ca="1">INDIRECT(ADDRESS(AM$1,AM$2,1,1,$A23))</f>
        <v>72.341300000000004</v>
      </c>
      <c r="AN23" s="15" cm="1">
        <f t="array" aca="1" ref="AN23" ca="1">INDIRECT(ADDRESS(AN$1,AN$2,1,1,$A23))</f>
        <v>71.964600000000004</v>
      </c>
      <c r="AO23" s="15" cm="1">
        <f t="array" aca="1" ref="AO23" ca="1">INDIRECT(ADDRESS(AO$1,AO$2,1,1,$A23))</f>
        <v>125.9327</v>
      </c>
      <c r="AP23" s="15" cm="1">
        <f t="array" aca="1" ref="AP23" ca="1">INDIRECT(ADDRESS(AP$1,AP$2,1,1,$A23))</f>
        <v>145.2182</v>
      </c>
      <c r="AQ23" s="15" cm="1">
        <f t="array" aca="1" ref="AQ23" ca="1">INDIRECT(ADDRESS(AQ$1,AQ$2,1,1,$A23))</f>
        <v>74.989099999999993</v>
      </c>
      <c r="AR23" s="15" cm="1">
        <f t="array" aca="1" ref="AR23" ca="1">INDIRECT(ADDRESS(AR$1,AR$2,1,1,$A23))</f>
        <v>73.983900000000006</v>
      </c>
      <c r="AS23" s="15" cm="1">
        <f t="array" aca="1" ref="AS23" ca="1">INDIRECT(ADDRESS(AS$1,AS$2,1,1,$A23))</f>
        <v>145.67189999999999</v>
      </c>
      <c r="AT23" s="15" cm="1">
        <f t="array" aca="1" ref="AT23" ca="1">INDIRECT(ADDRESS(AT$1,AT$2,1,1,$A23))</f>
        <v>123.92610000000001</v>
      </c>
      <c r="AV23" s="15">
        <f t="shared" ca="1" si="0"/>
        <v>-1.1154171957628023E-5</v>
      </c>
      <c r="AW23" s="15">
        <f t="shared" ca="1" si="1"/>
        <v>-1.8675440955462363E-5</v>
      </c>
      <c r="AX23" s="15">
        <f t="shared" ca="1" si="2"/>
        <v>-9.4101841625615634E-6</v>
      </c>
      <c r="AY23" s="15">
        <f t="shared" ca="1" si="3"/>
        <v>-1.1563323255359137E-5</v>
      </c>
      <c r="AZ23" s="15">
        <f t="shared" ca="1" si="4"/>
        <v>-1.526211974578473E-7</v>
      </c>
      <c r="BA23" s="15">
        <f t="shared" ca="1" si="5"/>
        <v>-1.2423306640130249E-4</v>
      </c>
      <c r="BB23" s="15">
        <f t="shared" ca="1" si="6"/>
        <v>-2.1996060198148371E-5</v>
      </c>
      <c r="BC23" s="15">
        <f t="shared" ca="1" si="7"/>
        <v>-5.9352348799279753E-5</v>
      </c>
      <c r="BD23" s="15">
        <f t="shared" ca="1" si="8"/>
        <v>1.8733332751708076E-5</v>
      </c>
      <c r="BE23" s="15">
        <f t="shared" ca="1" si="9"/>
        <v>3.035644195392706E-5</v>
      </c>
      <c r="BG23" s="15" cm="1">
        <f t="array" aca="1" ref="BG23" ca="1">INDIRECT(ADDRESS(BG$1,BG$2,1,1,$A23))</f>
        <v>6.1999999999999998E-3</v>
      </c>
      <c r="BH23" s="15" cm="1">
        <f t="array" aca="1" ref="BH23" ca="1">INDIRECT(ADDRESS(BH$1,BH$2,1,1,$A23))</f>
        <v>8.2000000000000007E-3</v>
      </c>
      <c r="BI23" s="15" cm="1">
        <f t="array" aca="1" ref="BI23" ca="1">INDIRECT(ADDRESS(BI$1,BI$2,1,1,$A23))</f>
        <v>5.4999999999999997E-3</v>
      </c>
      <c r="BJ23" s="15" cm="1">
        <f t="array" aca="1" ref="BJ23" ca="1">INDIRECT(ADDRESS(BJ$1,BJ$2,1,1,$A23))</f>
        <v>7.7000000000000002E-3</v>
      </c>
      <c r="BK23" s="15" cm="1">
        <f t="array" aca="1" ref="BK23" ca="1">INDIRECT(ADDRESS(BK$1,BK$2,1,1,$A23))</f>
        <v>7.0000000000000001E-3</v>
      </c>
      <c r="BN23" s="32"/>
    </row>
    <row r="24" spans="1:66" x14ac:dyDescent="0.25">
      <c r="A24" t="s">
        <v>84</v>
      </c>
      <c r="B24" t="str" cm="1">
        <f t="array" aca="1" ref="B24" ca="1">LEFT(INDIRECT(ADDRESS(B$1,B$2,1,1,$A24)),FIND("-",INDIRECT(ADDRESS(B$1,B$2,1,1,$A24)))-1)</f>
        <v>P509</v>
      </c>
      <c r="C24" t="str" cm="1">
        <f t="array" aca="1" ref="C24" ca="1">RIGHT(INDIRECT(ADDRESS(B$1,B$2,1,1,$A24)),LEN(INDIRECT(ADDRESS(B$1,B$2,1,1,$A24)))-FIND("-",INDIRECT(ADDRESS(B$1,B$2,1,1,$A24))))</f>
        <v>south</v>
      </c>
      <c r="D24" s="10" cm="1">
        <f t="array" aca="1" ref="D24" ca="1">DATE(MID(INDIRECT(ADDRESS(D$1,D$2,1,1,$A24)),1,4),MID(INDIRECT(ADDRESS(D$1,D$2,1,1,$A24)),5,2),MID(INDIRECT(ADDRESS(D$1,D$2,1,1,$A24)),7,2))+TIME(MID(INDIRECT(ADDRESS(D$1,D$2,1,1,$A24)),10,2),MID(INDIRECT(ADDRESS(D$1,D$2,1,1,$A24)),12,2),0)</f>
        <v>44260.605555555558</v>
      </c>
      <c r="E24" cm="1">
        <f t="array" aca="1" ref="E24" ca="1">INDIRECT(ADDRESS(E$1,E$2,1,1,$A24))</f>
        <v>0</v>
      </c>
      <c r="F24" s="11" cm="1">
        <f t="array" aca="1" ref="F24" ca="1">VALUE(SUBSTITUTE(INDIRECT(ADDRESS(F$1,F$2,1,1,$A24)),"┬░C",""))</f>
        <v>19.5</v>
      </c>
      <c r="G24" s="12" cm="1">
        <f t="array" aca="1" ref="G24" ca="1">INDIRECT(ADDRESS(G$1,G$2,1,1,$A24))</f>
        <v>25.3994</v>
      </c>
      <c r="H24" cm="1">
        <f t="array" aca="1" ref="H24" ca="1">INDIRECT(ADDRESS(H$1,H$2,1,1,$A24))</f>
        <v>25.402999999999999</v>
      </c>
      <c r="I24" cm="1">
        <f t="array" aca="1" ref="I24" ca="1">INDIRECT(ADDRESS(I$1,I$2,1,1,$A24))</f>
        <v>25.402899999999999</v>
      </c>
      <c r="J24" cm="1">
        <f t="array" aca="1" ref="J24" ca="1">INDIRECT(ADDRESS(J$1,J$2,1,1,$A24))</f>
        <v>25.404299999999999</v>
      </c>
      <c r="K24" s="13" cm="1">
        <f t="array" aca="1" ref="K24" ca="1">INDIRECT(ADDRESS(K$1,K$2,1,1,$A24))</f>
        <v>25.402999999999999</v>
      </c>
      <c r="L24" s="14" cm="1">
        <f t="array" aca="1" ref="L24" ca="1">SQRT(SUMSQ(Y24:AA24-V24:X24))</f>
        <v>72.879980163759654</v>
      </c>
      <c r="M24" s="15" cm="1">
        <f t="array" aca="1" ref="M24" ca="1">SQRT(SUMSQ(AB24:AD24-V24:X24))</f>
        <v>73.711474013616098</v>
      </c>
      <c r="N24" s="15" cm="1">
        <f t="array" aca="1" ref="N24" ca="1">SQRT(SUMSQ(AE24:AG24-V24:X24))</f>
        <v>72.341605073498343</v>
      </c>
      <c r="O24" s="15" cm="1">
        <f t="array" aca="1" ref="O24" ca="1">SQRT(SUMSQ(AH24:AJ24-V24:X24))</f>
        <v>71.964815833572445</v>
      </c>
      <c r="P24" s="15" cm="1">
        <f t="array" aca="1" ref="P24" ca="1">SQRT(SUMSQ(AB24:AD24-Y24:AA24))</f>
        <v>125.93330016262577</v>
      </c>
      <c r="Q24" s="15" cm="1">
        <f t="array" aca="1" ref="Q24" ca="1">SQRT(SUMSQ(AE24:AG24-Y24:AA24))</f>
        <v>145.21869322611329</v>
      </c>
      <c r="R24" s="15" cm="1">
        <f t="array" aca="1" ref="R24" ca="1">SQRT(SUMSQ(AH24:AJ24-Y24:AA24))</f>
        <v>74.989316434476194</v>
      </c>
      <c r="S24" s="15" cm="1">
        <f t="array" aca="1" ref="S24" ca="1">SQRT(SUMSQ(AE24:AG24-AB24:AD24))</f>
        <v>73.985372366772623</v>
      </c>
      <c r="T24" s="15" cm="1">
        <f t="array" aca="1" ref="T24" ca="1">SQRT(SUMSQ(AH24:AJ24-AB24:AD24))</f>
        <v>145.67284156513182</v>
      </c>
      <c r="U24" s="16" cm="1">
        <f t="array" aca="1" ref="U24" ca="1">SQRT(SUMSQ(AH24:AJ24-AE24:AG24))</f>
        <v>123.92605992933851</v>
      </c>
      <c r="V24" cm="1">
        <f t="array" aca="1" ref="V24" ca="1">INDIRECT(ADDRESS(V$1,V$2,1,1,$A24))</f>
        <v>0</v>
      </c>
      <c r="W24" cm="1">
        <f t="array" aca="1" ref="W24" ca="1">INDIRECT(ADDRESS(W$1,W$2,1,1,$A24))</f>
        <v>0</v>
      </c>
      <c r="X24" cm="1">
        <f t="array" aca="1" ref="X24" ca="1">INDIRECT(ADDRESS(X$1,X$2,1,1,$A24))</f>
        <v>0</v>
      </c>
      <c r="Y24" cm="1">
        <f t="array" aca="1" ref="Y24" ca="1">INDIRECT(ADDRESS(Y$1,Y$2,1,1,$A24))</f>
        <v>62.482700000000001</v>
      </c>
      <c r="Z24" cm="1">
        <f t="array" aca="1" ref="Z24" ca="1">INDIRECT(ADDRESS(Z$1,Z$2,1,1,$A24))</f>
        <v>37.515300000000003</v>
      </c>
      <c r="AA24" cm="1">
        <f t="array" aca="1" ref="AA24" ca="1">INDIRECT(ADDRESS(AA$1,AA$2,1,1,$A24))</f>
        <v>7.7299999999999994E-2</v>
      </c>
      <c r="AB24" cm="1">
        <f t="array" aca="1" ref="AB24" ca="1">INDIRECT(ADDRESS(AB$1,AB$2,1,1,$A24))</f>
        <v>-63.450600000000001</v>
      </c>
      <c r="AC24" cm="1">
        <f t="array" aca="1" ref="AC24" ca="1">INDIRECT(ADDRESS(AC$1,AC$2,1,1,$A24))</f>
        <v>37.515300000000003</v>
      </c>
      <c r="AD24" cm="1">
        <f t="array" aca="1" ref="AD24" ca="1">INDIRECT(ADDRESS(AD$1,AD$2,1,1,$A24))</f>
        <v>7.0900000000000005E-2</v>
      </c>
      <c r="AE24" cm="1">
        <f t="array" aca="1" ref="AE24" ca="1">INDIRECT(ADDRESS(AE$1,AE$2,1,1,$A24))</f>
        <v>-62.479599999999998</v>
      </c>
      <c r="AF24" cm="1">
        <f t="array" aca="1" ref="AF24" ca="1">INDIRECT(ADDRESS(AF$1,AF$2,1,1,$A24))</f>
        <v>-36.463700000000003</v>
      </c>
      <c r="AG24" cm="1">
        <f t="array" aca="1" ref="AG24" ca="1">INDIRECT(ADDRESS(AG$1,AG$2,1,1,$A24))</f>
        <v>7.7399999999999997E-2</v>
      </c>
      <c r="AH24" cm="1">
        <f t="array" aca="1" ref="AH24" ca="1">INDIRECT(ADDRESS(AH$1,AH$2,1,1,$A24))</f>
        <v>61.442399999999999</v>
      </c>
      <c r="AI24" cm="1">
        <f t="array" aca="1" ref="AI24" ca="1">INDIRECT(ADDRESS(AI$1,AI$2,1,1,$A24))</f>
        <v>-37.466799999999999</v>
      </c>
      <c r="AJ24" cm="1">
        <f t="array" aca="1" ref="AJ24" ca="1">INDIRECT(ADDRESS(AJ$1,AJ$2,1,1,$A24))</f>
        <v>7.1400000000000005E-2</v>
      </c>
      <c r="AK24" s="15" cm="1">
        <f t="array" aca="1" ref="AK24" ca="1">INDIRECT(ADDRESS(AK$1,AK$2,1,1,$A24))</f>
        <v>72.88</v>
      </c>
      <c r="AL24" s="15" cm="1">
        <f t="array" aca="1" ref="AL24" ca="1">INDIRECT(ADDRESS(AL$1,AL$2,1,1,$A24))</f>
        <v>73.711399999999998</v>
      </c>
      <c r="AM24" s="15" cm="1">
        <f t="array" aca="1" ref="AM24" ca="1">INDIRECT(ADDRESS(AM$1,AM$2,1,1,$A24))</f>
        <v>72.3416</v>
      </c>
      <c r="AN24" s="15" cm="1">
        <f t="array" aca="1" ref="AN24" ca="1">INDIRECT(ADDRESS(AN$1,AN$2,1,1,$A24))</f>
        <v>71.964799999999997</v>
      </c>
      <c r="AO24" s="15" cm="1">
        <f t="array" aca="1" ref="AO24" ca="1">INDIRECT(ADDRESS(AO$1,AO$2,1,1,$A24))</f>
        <v>125.9333</v>
      </c>
      <c r="AP24" s="15" cm="1">
        <f t="array" aca="1" ref="AP24" ca="1">INDIRECT(ADDRESS(AP$1,AP$2,1,1,$A24))</f>
        <v>145.21870000000001</v>
      </c>
      <c r="AQ24" s="15" cm="1">
        <f t="array" aca="1" ref="AQ24" ca="1">INDIRECT(ADDRESS(AQ$1,AQ$2,1,1,$A24))</f>
        <v>74.9893</v>
      </c>
      <c r="AR24" s="15" cm="1">
        <f t="array" aca="1" ref="AR24" ca="1">INDIRECT(ADDRESS(AR$1,AR$2,1,1,$A24))</f>
        <v>73.985399999999998</v>
      </c>
      <c r="AS24" s="15" cm="1">
        <f t="array" aca="1" ref="AS24" ca="1">INDIRECT(ADDRESS(AS$1,AS$2,1,1,$A24))</f>
        <v>145.6728</v>
      </c>
      <c r="AT24" s="15" cm="1">
        <f t="array" aca="1" ref="AT24" ca="1">INDIRECT(ADDRESS(AT$1,AT$2,1,1,$A24))</f>
        <v>123.92610000000001</v>
      </c>
      <c r="AV24" s="15">
        <f t="shared" ca="1" si="0"/>
        <v>1.983624034096465E-5</v>
      </c>
      <c r="AW24" s="15">
        <f t="shared" ca="1" si="1"/>
        <v>-7.4013616099932733E-5</v>
      </c>
      <c r="AX24" s="15">
        <f t="shared" ca="1" si="2"/>
        <v>-5.073498343222127E-6</v>
      </c>
      <c r="AY24" s="15">
        <f t="shared" ca="1" si="3"/>
        <v>-1.5833572447832012E-5</v>
      </c>
      <c r="AZ24" s="15">
        <f t="shared" ca="1" si="4"/>
        <v>-1.6262576707504195E-7</v>
      </c>
      <c r="BA24" s="15">
        <f t="shared" ca="1" si="5"/>
        <v>6.773886724431577E-6</v>
      </c>
      <c r="BB24" s="15">
        <f t="shared" ca="1" si="6"/>
        <v>-1.6434476194149283E-5</v>
      </c>
      <c r="BC24" s="15">
        <f t="shared" ca="1" si="7"/>
        <v>2.763322737564522E-5</v>
      </c>
      <c r="BD24" s="15">
        <f t="shared" ca="1" si="8"/>
        <v>-4.1565131823517731E-5</v>
      </c>
      <c r="BE24" s="15">
        <f t="shared" ca="1" si="9"/>
        <v>4.0070661498248228E-5</v>
      </c>
      <c r="BG24" s="15" cm="1">
        <f t="array" aca="1" ref="BG24" ca="1">INDIRECT(ADDRESS(BG$1,BG$2,1,1,$A24))</f>
        <v>5.4999999999999997E-3</v>
      </c>
      <c r="BH24" s="15" cm="1">
        <f t="array" aca="1" ref="BH24" ca="1">INDIRECT(ADDRESS(BH$1,BH$2,1,1,$A24))</f>
        <v>8.6999999999999994E-3</v>
      </c>
      <c r="BI24" s="15" cm="1">
        <f t="array" aca="1" ref="BI24" ca="1">INDIRECT(ADDRESS(BI$1,BI$2,1,1,$A24))</f>
        <v>5.0000000000000001E-3</v>
      </c>
      <c r="BJ24" s="15" cm="1">
        <f t="array" aca="1" ref="BJ24" ca="1">INDIRECT(ADDRESS(BJ$1,BJ$2,1,1,$A24))</f>
        <v>6.3E-3</v>
      </c>
      <c r="BK24" s="15" cm="1">
        <f t="array" aca="1" ref="BK24" ca="1">INDIRECT(ADDRESS(BK$1,BK$2,1,1,$A24))</f>
        <v>7.1999999999999998E-3</v>
      </c>
      <c r="BN24" s="32"/>
    </row>
    <row r="25" spans="1:66" x14ac:dyDescent="0.25">
      <c r="A25" t="s">
        <v>51</v>
      </c>
      <c r="B25" t="str" cm="1">
        <f t="array" aca="1" ref="B25" ca="1">LEFT(INDIRECT(ADDRESS(B$1,B$2,1,1,$A25)),FIND("-",INDIRECT(ADDRESS(B$1,B$2,1,1,$A25)))-1)</f>
        <v>P509</v>
      </c>
      <c r="C25" t="str" cm="1">
        <f t="array" aca="1" ref="C25" ca="1">RIGHT(INDIRECT(ADDRESS(B$1,B$2,1,1,$A25)),LEN(INDIRECT(ADDRESS(B$1,B$2,1,1,$A25)))-FIND("-",INDIRECT(ADDRESS(B$1,B$2,1,1,$A25))))</f>
        <v>east</v>
      </c>
      <c r="D25" s="10" cm="1">
        <f t="array" aca="1" ref="D25" ca="1">DATE(MID(INDIRECT(ADDRESS(D$1,D$2,1,1,$A25)),1,4),MID(INDIRECT(ADDRESS(D$1,D$2,1,1,$A25)),5,2),MID(INDIRECT(ADDRESS(D$1,D$2,1,1,$A25)),7,2))+TIME(MID(INDIRECT(ADDRESS(D$1,D$2,1,1,$A25)),10,2),MID(INDIRECT(ADDRESS(D$1,D$2,1,1,$A25)),12,2),0)</f>
        <v>44260.577777777777</v>
      </c>
      <c r="E25" cm="1">
        <f t="array" aca="1" ref="E25" ca="1">INDIRECT(ADDRESS(E$1,E$2,1,1,$A25))</f>
        <v>0</v>
      </c>
      <c r="F25" s="11" cm="1">
        <f t="array" aca="1" ref="F25" ca="1">VALUE(SUBSTITUTE(INDIRECT(ADDRESS(F$1,F$2,1,1,$A25)),"┬░C",""))</f>
        <v>19.3</v>
      </c>
      <c r="G25" s="12" cm="1">
        <f t="array" aca="1" ref="G25" ca="1">INDIRECT(ADDRESS(G$1,G$2,1,1,$A25))</f>
        <v>25.3995</v>
      </c>
      <c r="H25" cm="1">
        <f t="array" aca="1" ref="H25" ca="1">INDIRECT(ADDRESS(H$1,H$2,1,1,$A25))</f>
        <v>25.402799999999999</v>
      </c>
      <c r="I25" cm="1">
        <f t="array" aca="1" ref="I25" ca="1">INDIRECT(ADDRESS(I$1,I$2,1,1,$A25))</f>
        <v>25.402899999999999</v>
      </c>
      <c r="J25" cm="1">
        <f t="array" aca="1" ref="J25" ca="1">INDIRECT(ADDRESS(J$1,J$2,1,1,$A25))</f>
        <v>25.404599999999999</v>
      </c>
      <c r="K25" s="13" cm="1">
        <f t="array" aca="1" ref="K25" ca="1">INDIRECT(ADDRESS(K$1,K$2,1,1,$A25))</f>
        <v>25.402899999999999</v>
      </c>
      <c r="L25" s="14" cm="1">
        <f t="array" aca="1" ref="L25" ca="1">SQRT(SUMSQ(Y25:AA25-V25:X25))</f>
        <v>72.879962735034368</v>
      </c>
      <c r="M25" s="15" cm="1">
        <f t="array" aca="1" ref="M25" ca="1">SQRT(SUMSQ(AB25:AD25-V25:X25))</f>
        <v>73.712491072476979</v>
      </c>
      <c r="N25" s="15" cm="1">
        <f t="array" aca="1" ref="N25" ca="1">SQRT(SUMSQ(AE25:AG25-V25:X25))</f>
        <v>72.342899885061286</v>
      </c>
      <c r="O25" s="15" cm="1">
        <f t="array" aca="1" ref="O25" ca="1">SQRT(SUMSQ(AH25:AJ25-V25:X25))</f>
        <v>71.963403636362287</v>
      </c>
      <c r="P25" s="15" cm="1">
        <f t="array" aca="1" ref="P25" ca="1">SQRT(SUMSQ(AB25:AD25-Y25:AA25))</f>
        <v>125.93470016262395</v>
      </c>
      <c r="Q25" s="15" cm="1">
        <f t="array" aca="1" ref="Q25" ca="1">SQRT(SUMSQ(AE25:AG25-Y25:AA25))</f>
        <v>145.21995028597138</v>
      </c>
      <c r="R25" s="15" cm="1">
        <f t="array" aca="1" ref="R25" ca="1">SQRT(SUMSQ(AH25:AJ25-Y25:AA25))</f>
        <v>74.987729087431376</v>
      </c>
      <c r="S25" s="15" cm="1">
        <f t="array" aca="1" ref="S25" ca="1">SQRT(SUMSQ(AE25:AG25-AB25:AD25))</f>
        <v>73.982751608533732</v>
      </c>
      <c r="T25" s="15" cm="1">
        <f t="array" aca="1" ref="T25" ca="1">SQRT(SUMSQ(AH25:AJ25-AB25:AD25))</f>
        <v>145.67244668316653</v>
      </c>
      <c r="U25" s="16" cm="1">
        <f t="array" aca="1" ref="U25" ca="1">SQRT(SUMSQ(AH25:AJ25-AE25:AG25))</f>
        <v>123.92816796366354</v>
      </c>
      <c r="V25" cm="1">
        <f t="array" aca="1" ref="V25" ca="1">INDIRECT(ADDRESS(V$1,V$2,1,1,$A25))</f>
        <v>0</v>
      </c>
      <c r="W25" cm="1">
        <f t="array" aca="1" ref="W25" ca="1">INDIRECT(ADDRESS(W$1,W$2,1,1,$A25))</f>
        <v>0</v>
      </c>
      <c r="X25" cm="1">
        <f t="array" aca="1" ref="X25" ca="1">INDIRECT(ADDRESS(X$1,X$2,1,1,$A25))</f>
        <v>0</v>
      </c>
      <c r="Y25" cm="1">
        <f t="array" aca="1" ref="Y25" ca="1">INDIRECT(ADDRESS(Y$1,Y$2,1,1,$A25))</f>
        <v>62.482799999999997</v>
      </c>
      <c r="Z25" cm="1">
        <f t="array" aca="1" ref="Z25" ca="1">INDIRECT(ADDRESS(Z$1,Z$2,1,1,$A25))</f>
        <v>37.515099999999997</v>
      </c>
      <c r="AA25" cm="1">
        <f t="array" aca="1" ref="AA25" ca="1">INDIRECT(ADDRESS(AA$1,AA$2,1,1,$A25))</f>
        <v>7.7100000000000002E-2</v>
      </c>
      <c r="AB25" cm="1">
        <f t="array" aca="1" ref="AB25" ca="1">INDIRECT(ADDRESS(AB$1,AB$2,1,1,$A25))</f>
        <v>-63.451900000000002</v>
      </c>
      <c r="AC25" cm="1">
        <f t="array" aca="1" ref="AC25" ca="1">INDIRECT(ADDRESS(AC$1,AC$2,1,1,$A25))</f>
        <v>37.515099999999997</v>
      </c>
      <c r="AD25" cm="1">
        <f t="array" aca="1" ref="AD25" ca="1">INDIRECT(ADDRESS(AD$1,AD$2,1,1,$A25))</f>
        <v>7.0699999999999999E-2</v>
      </c>
      <c r="AE25" cm="1">
        <f t="array" aca="1" ref="AE25" ca="1">INDIRECT(ADDRESS(AE$1,AE$2,1,1,$A25))</f>
        <v>-62.482500000000002</v>
      </c>
      <c r="AF25" cm="1">
        <f t="array" aca="1" ref="AF25" ca="1">INDIRECT(ADDRESS(AF$1,AF$2,1,1,$A25))</f>
        <v>-36.461300000000001</v>
      </c>
      <c r="AG25" cm="1">
        <f t="array" aca="1" ref="AG25" ca="1">INDIRECT(ADDRESS(AG$1,AG$2,1,1,$A25))</f>
        <v>7.7200000000000005E-2</v>
      </c>
      <c r="AH25" cm="1">
        <f t="array" aca="1" ref="AH25" ca="1">INDIRECT(ADDRESS(AH$1,AH$2,1,1,$A25))</f>
        <v>61.441600000000001</v>
      </c>
      <c r="AI25" cm="1">
        <f t="array" aca="1" ref="AI25" ca="1">INDIRECT(ADDRESS(AI$1,AI$2,1,1,$A25))</f>
        <v>-37.465400000000002</v>
      </c>
      <c r="AJ25" cm="1">
        <f t="array" aca="1" ref="AJ25" ca="1">INDIRECT(ADDRESS(AJ$1,AJ$2,1,1,$A25))</f>
        <v>7.1099999999999997E-2</v>
      </c>
      <c r="AK25" s="15" cm="1">
        <f t="array" aca="1" ref="AK25" ca="1">INDIRECT(ADDRESS(AK$1,AK$2,1,1,$A25))</f>
        <v>72.88</v>
      </c>
      <c r="AL25" s="15" cm="1">
        <f t="array" aca="1" ref="AL25" ca="1">INDIRECT(ADDRESS(AL$1,AL$2,1,1,$A25))</f>
        <v>73.712500000000006</v>
      </c>
      <c r="AM25" s="15" cm="1">
        <f t="array" aca="1" ref="AM25" ca="1">INDIRECT(ADDRESS(AM$1,AM$2,1,1,$A25))</f>
        <v>72.3429</v>
      </c>
      <c r="AN25" s="15" cm="1">
        <f t="array" aca="1" ref="AN25" ca="1">INDIRECT(ADDRESS(AN$1,AN$2,1,1,$A25))</f>
        <v>71.963399999999993</v>
      </c>
      <c r="AO25" s="15" cm="1">
        <f t="array" aca="1" ref="AO25" ca="1">INDIRECT(ADDRESS(AO$1,AO$2,1,1,$A25))</f>
        <v>125.9346</v>
      </c>
      <c r="AP25" s="15" cm="1">
        <f t="array" aca="1" ref="AP25" ca="1">INDIRECT(ADDRESS(AP$1,AP$2,1,1,$A25))</f>
        <v>145.2199</v>
      </c>
      <c r="AQ25" s="15" cm="1">
        <f t="array" aca="1" ref="AQ25" ca="1">INDIRECT(ADDRESS(AQ$1,AQ$2,1,1,$A25))</f>
        <v>74.987799999999993</v>
      </c>
      <c r="AR25" s="15" cm="1">
        <f t="array" aca="1" ref="AR25" ca="1">INDIRECT(ADDRESS(AR$1,AR$2,1,1,$A25))</f>
        <v>73.982799999999997</v>
      </c>
      <c r="AS25" s="15" cm="1">
        <f t="array" aca="1" ref="AS25" ca="1">INDIRECT(ADDRESS(AS$1,AS$2,1,1,$A25))</f>
        <v>145.67240000000001</v>
      </c>
      <c r="AT25" s="15" cm="1">
        <f t="array" aca="1" ref="AT25" ca="1">INDIRECT(ADDRESS(AT$1,AT$2,1,1,$A25))</f>
        <v>123.9281</v>
      </c>
      <c r="AV25" s="15">
        <f t="shared" ca="1" si="0"/>
        <v>3.726496562705961E-5</v>
      </c>
      <c r="AW25" s="15">
        <f t="shared" ca="1" si="1"/>
        <v>8.927523026613926E-6</v>
      </c>
      <c r="AX25" s="15">
        <f t="shared" ca="1" si="2"/>
        <v>1.1493871454604232E-7</v>
      </c>
      <c r="AY25" s="15">
        <f t="shared" ca="1" si="3"/>
        <v>-3.6363622939461493E-6</v>
      </c>
      <c r="AZ25" s="15">
        <f t="shared" ca="1" si="4"/>
        <v>-1.0016262395140529E-4</v>
      </c>
      <c r="BA25" s="15">
        <f t="shared" ca="1" si="5"/>
        <v>-5.0285971383345895E-5</v>
      </c>
      <c r="BB25" s="15">
        <f t="shared" ca="1" si="6"/>
        <v>7.091256861713191E-5</v>
      </c>
      <c r="BC25" s="15">
        <f t="shared" ca="1" si="7"/>
        <v>4.839146626522961E-5</v>
      </c>
      <c r="BD25" s="15">
        <f t="shared" ca="1" si="8"/>
        <v>-4.6683166516459096E-5</v>
      </c>
      <c r="BE25" s="15">
        <f t="shared" ca="1" si="9"/>
        <v>-6.796366353967187E-5</v>
      </c>
      <c r="BG25" s="15" cm="1">
        <f t="array" aca="1" ref="BG25" ca="1">INDIRECT(ADDRESS(BG$1,BG$2,1,1,$A25))</f>
        <v>9.5999999999999992E-3</v>
      </c>
      <c r="BH25" s="15" cm="1">
        <f t="array" aca="1" ref="BH25" ca="1">INDIRECT(ADDRESS(BH$1,BH$2,1,1,$A25))</f>
        <v>1.0800000000000001E-2</v>
      </c>
      <c r="BI25" s="15" cm="1">
        <f t="array" aca="1" ref="BI25" ca="1">INDIRECT(ADDRESS(BI$1,BI$2,1,1,$A25))</f>
        <v>5.1000000000000004E-3</v>
      </c>
      <c r="BJ25" s="15" cm="1">
        <f t="array" aca="1" ref="BJ25" ca="1">INDIRECT(ADDRESS(BJ$1,BJ$2,1,1,$A25))</f>
        <v>6.7000000000000002E-3</v>
      </c>
      <c r="BK25" s="15" cm="1">
        <f t="array" aca="1" ref="BK25" ca="1">INDIRECT(ADDRESS(BK$1,BK$2,1,1,$A25))</f>
        <v>1.1299999999999999E-2</v>
      </c>
      <c r="BN25" s="32"/>
    </row>
    <row r="26" spans="1:66" x14ac:dyDescent="0.25">
      <c r="A26" t="s">
        <v>54</v>
      </c>
      <c r="B26" t="str" cm="1">
        <f t="array" aca="1" ref="B26" ca="1">LEFT(INDIRECT(ADDRESS(B$1,B$2,1,1,$A26)),FIND("-",INDIRECT(ADDRESS(B$1,B$2,1,1,$A26)))-1)</f>
        <v>P509</v>
      </c>
      <c r="C26" t="str" cm="1">
        <f t="array" aca="1" ref="C26" ca="1">RIGHT(INDIRECT(ADDRESS(B$1,B$2,1,1,$A26)),LEN(INDIRECT(ADDRESS(B$1,B$2,1,1,$A26)))-FIND("-",INDIRECT(ADDRESS(B$1,B$2,1,1,$A26))))</f>
        <v>east</v>
      </c>
      <c r="D26" s="10" cm="1">
        <f t="array" aca="1" ref="D26" ca="1">DATE(MID(INDIRECT(ADDRESS(D$1,D$2,1,1,$A26)),1,4),MID(INDIRECT(ADDRESS(D$1,D$2,1,1,$A26)),5,2),MID(INDIRECT(ADDRESS(D$1,D$2,1,1,$A26)),7,2))+TIME(MID(INDIRECT(ADDRESS(D$1,D$2,1,1,$A26)),10,2),MID(INDIRECT(ADDRESS(D$1,D$2,1,1,$A26)),12,2),0)</f>
        <v>44260.580555555556</v>
      </c>
      <c r="E26" cm="1">
        <f t="array" aca="1" ref="E26" ca="1">INDIRECT(ADDRESS(E$1,E$2,1,1,$A26))</f>
        <v>0</v>
      </c>
      <c r="F26" s="11" cm="1">
        <f t="array" aca="1" ref="F26" ca="1">VALUE(SUBSTITUTE(INDIRECT(ADDRESS(F$1,F$2,1,1,$A26)),"┬░C",""))</f>
        <v>19.3</v>
      </c>
      <c r="G26" s="12" cm="1">
        <f t="array" aca="1" ref="G26" ca="1">INDIRECT(ADDRESS(G$1,G$2,1,1,$A26))</f>
        <v>25.398800000000001</v>
      </c>
      <c r="H26" cm="1">
        <f t="array" aca="1" ref="H26" ca="1">INDIRECT(ADDRESS(H$1,H$2,1,1,$A26))</f>
        <v>25.4024</v>
      </c>
      <c r="I26" cm="1">
        <f t="array" aca="1" ref="I26" ca="1">INDIRECT(ADDRESS(I$1,I$2,1,1,$A26))</f>
        <v>25.4039</v>
      </c>
      <c r="J26" cm="1">
        <f t="array" aca="1" ref="J26" ca="1">INDIRECT(ADDRESS(J$1,J$2,1,1,$A26))</f>
        <v>25.404499999999999</v>
      </c>
      <c r="K26" s="13" cm="1">
        <f t="array" aca="1" ref="K26" ca="1">INDIRECT(ADDRESS(K$1,K$2,1,1,$A26))</f>
        <v>25.402200000000001</v>
      </c>
      <c r="L26" s="14" cm="1">
        <f t="array" aca="1" ref="L26" ca="1">SQRT(SUMSQ(Y26:AA26-V26:X26))</f>
        <v>72.880014461785066</v>
      </c>
      <c r="M26" s="15" cm="1">
        <f t="array" aca="1" ref="M26" ca="1">SQRT(SUMSQ(AB26:AD26-V26:X26))</f>
        <v>73.712631152198057</v>
      </c>
      <c r="N26" s="15" cm="1">
        <f t="array" aca="1" ref="N26" ca="1">SQRT(SUMSQ(AE26:AG26-V26:X26))</f>
        <v>72.343188178984747</v>
      </c>
      <c r="O26" s="15" cm="1">
        <f t="array" aca="1" ref="O26" ca="1">SQRT(SUMSQ(AH26:AJ26-V26:X26))</f>
        <v>71.964298400387392</v>
      </c>
      <c r="P26" s="15" cm="1">
        <f t="array" aca="1" ref="P26" ca="1">SQRT(SUMSQ(AB26:AD26-Y26:AA26))</f>
        <v>125.93540022332878</v>
      </c>
      <c r="Q26" s="15" cm="1">
        <f t="array" aca="1" ref="Q26" ca="1">SQRT(SUMSQ(AE26:AG26-Y26:AA26))</f>
        <v>145.22029449581075</v>
      </c>
      <c r="R26" s="15" cm="1">
        <f t="array" aca="1" ref="R26" ca="1">SQRT(SUMSQ(AH26:AJ26-Y26:AA26))</f>
        <v>74.988226358609111</v>
      </c>
      <c r="S26" s="15" cm="1">
        <f t="array" aca="1" ref="S26" ca="1">SQRT(SUMSQ(AE26:AG26-AB26:AD26))</f>
        <v>73.98275563467476</v>
      </c>
      <c r="T26" s="15" cm="1">
        <f t="array" aca="1" ref="T26" ca="1">SQRT(SUMSQ(AH26:AJ26-AB26:AD26))</f>
        <v>145.67347566568185</v>
      </c>
      <c r="U26" s="16" cm="1">
        <f t="array" aca="1" ref="U26" ca="1">SQRT(SUMSQ(AH26:AJ26-AE26:AG26))</f>
        <v>123.928772049351</v>
      </c>
      <c r="V26" cm="1">
        <f t="array" aca="1" ref="V26" ca="1">INDIRECT(ADDRESS(V$1,V$2,1,1,$A26))</f>
        <v>0</v>
      </c>
      <c r="W26" cm="1">
        <f t="array" aca="1" ref="W26" ca="1">INDIRECT(ADDRESS(W$1,W$2,1,1,$A26))</f>
        <v>0</v>
      </c>
      <c r="X26" cm="1">
        <f t="array" aca="1" ref="X26" ca="1">INDIRECT(ADDRESS(X$1,X$2,1,1,$A26))</f>
        <v>0</v>
      </c>
      <c r="Y26" cm="1">
        <f t="array" aca="1" ref="Y26" ca="1">INDIRECT(ADDRESS(Y$1,Y$2,1,1,$A26))</f>
        <v>62.4831</v>
      </c>
      <c r="Z26" cm="1">
        <f t="array" aca="1" ref="Z26" ca="1">INDIRECT(ADDRESS(Z$1,Z$2,1,1,$A26))</f>
        <v>37.514699999999998</v>
      </c>
      <c r="AA26" cm="1">
        <f t="array" aca="1" ref="AA26" ca="1">INDIRECT(ADDRESS(AA$1,AA$2,1,1,$A26))</f>
        <v>7.7499999999999999E-2</v>
      </c>
      <c r="AB26" cm="1">
        <f t="array" aca="1" ref="AB26" ca="1">INDIRECT(ADDRESS(AB$1,AB$2,1,1,$A26))</f>
        <v>-63.452300000000001</v>
      </c>
      <c r="AC26" cm="1">
        <f t="array" aca="1" ref="AC26" ca="1">INDIRECT(ADDRESS(AC$1,AC$2,1,1,$A26))</f>
        <v>37.514699999999998</v>
      </c>
      <c r="AD26" cm="1">
        <f t="array" aca="1" ref="AD26" ca="1">INDIRECT(ADDRESS(AD$1,AD$2,1,1,$A26))</f>
        <v>7.0000000000000007E-2</v>
      </c>
      <c r="AE26" cm="1">
        <f t="array" aca="1" ref="AE26" ca="1">INDIRECT(ADDRESS(AE$1,AE$2,1,1,$A26))</f>
        <v>-62.482599999999998</v>
      </c>
      <c r="AF26" cm="1">
        <f t="array" aca="1" ref="AF26" ca="1">INDIRECT(ADDRESS(AF$1,AF$2,1,1,$A26))</f>
        <v>-36.4617</v>
      </c>
      <c r="AG26" cm="1">
        <f t="array" aca="1" ref="AG26" ca="1">INDIRECT(ADDRESS(AG$1,AG$2,1,1,$A26))</f>
        <v>7.7499999999999999E-2</v>
      </c>
      <c r="AH26" cm="1">
        <f t="array" aca="1" ref="AH26" ca="1">INDIRECT(ADDRESS(AH$1,AH$2,1,1,$A26))</f>
        <v>61.442100000000003</v>
      </c>
      <c r="AI26" cm="1">
        <f t="array" aca="1" ref="AI26" ca="1">INDIRECT(ADDRESS(AI$1,AI$2,1,1,$A26))</f>
        <v>-37.466299999999997</v>
      </c>
      <c r="AJ26" cm="1">
        <f t="array" aca="1" ref="AJ26" ca="1">INDIRECT(ADDRESS(AJ$1,AJ$2,1,1,$A26))</f>
        <v>7.0400000000000004E-2</v>
      </c>
      <c r="AK26" s="15" cm="1">
        <f t="array" aca="1" ref="AK26" ca="1">INDIRECT(ADDRESS(AK$1,AK$2,1,1,$A26))</f>
        <v>72.88</v>
      </c>
      <c r="AL26" s="15" cm="1">
        <f t="array" aca="1" ref="AL26" ca="1">INDIRECT(ADDRESS(AL$1,AL$2,1,1,$A26))</f>
        <v>73.712599999999995</v>
      </c>
      <c r="AM26" s="15" cm="1">
        <f t="array" aca="1" ref="AM26" ca="1">INDIRECT(ADDRESS(AM$1,AM$2,1,1,$A26))</f>
        <v>72.343199999999996</v>
      </c>
      <c r="AN26" s="15" cm="1">
        <f t="array" aca="1" ref="AN26" ca="1">INDIRECT(ADDRESS(AN$1,AN$2,1,1,$A26))</f>
        <v>71.964299999999994</v>
      </c>
      <c r="AO26" s="15" cm="1">
        <f t="array" aca="1" ref="AO26" ca="1">INDIRECT(ADDRESS(AO$1,AO$2,1,1,$A26))</f>
        <v>125.9354</v>
      </c>
      <c r="AP26" s="15" cm="1">
        <f t="array" aca="1" ref="AP26" ca="1">INDIRECT(ADDRESS(AP$1,AP$2,1,1,$A26))</f>
        <v>145.22030000000001</v>
      </c>
      <c r="AQ26" s="15" cm="1">
        <f t="array" aca="1" ref="AQ26" ca="1">INDIRECT(ADDRESS(AQ$1,AQ$2,1,1,$A26))</f>
        <v>74.988200000000006</v>
      </c>
      <c r="AR26" s="15" cm="1">
        <f t="array" aca="1" ref="AR26" ca="1">INDIRECT(ADDRESS(AR$1,AR$2,1,1,$A26))</f>
        <v>73.982699999999994</v>
      </c>
      <c r="AS26" s="15" cm="1">
        <f t="array" aca="1" ref="AS26" ca="1">INDIRECT(ADDRESS(AS$1,AS$2,1,1,$A26))</f>
        <v>145.67349999999999</v>
      </c>
      <c r="AT26" s="15" cm="1">
        <f t="array" aca="1" ref="AT26" ca="1">INDIRECT(ADDRESS(AT$1,AT$2,1,1,$A26))</f>
        <v>123.9288</v>
      </c>
      <c r="AV26" s="15">
        <f t="shared" ca="1" si="0"/>
        <v>-1.4461785070807309E-5</v>
      </c>
      <c r="AW26" s="15">
        <f t="shared" ca="1" si="1"/>
        <v>-3.11521980620455E-5</v>
      </c>
      <c r="AX26" s="15">
        <f t="shared" ca="1" si="2"/>
        <v>1.1821015249324773E-5</v>
      </c>
      <c r="AY26" s="15">
        <f t="shared" ca="1" si="3"/>
        <v>1.59961260237651E-6</v>
      </c>
      <c r="AZ26" s="15">
        <f t="shared" ca="1" si="4"/>
        <v>-2.2332878302222525E-7</v>
      </c>
      <c r="BA26" s="15">
        <f t="shared" ca="1" si="5"/>
        <v>5.5041892608187482E-6</v>
      </c>
      <c r="BB26" s="15">
        <f t="shared" ca="1" si="6"/>
        <v>-2.6358609105159303E-5</v>
      </c>
      <c r="BC26" s="15">
        <f t="shared" ca="1" si="7"/>
        <v>-5.5634674765769887E-5</v>
      </c>
      <c r="BD26" s="15">
        <f t="shared" ca="1" si="8"/>
        <v>2.4334318140972755E-5</v>
      </c>
      <c r="BE26" s="15">
        <f t="shared" ca="1" si="9"/>
        <v>2.7950648998853467E-5</v>
      </c>
      <c r="BG26" s="15" cm="1">
        <f t="array" aca="1" ref="BG26" ca="1">INDIRECT(ADDRESS(BG$1,BG$2,1,1,$A26))</f>
        <v>9.7000000000000003E-3</v>
      </c>
      <c r="BH26" s="15" cm="1">
        <f t="array" aca="1" ref="BH26" ca="1">INDIRECT(ADDRESS(BH$1,BH$2,1,1,$A26))</f>
        <v>1.01E-2</v>
      </c>
      <c r="BI26" s="15" cm="1">
        <f t="array" aca="1" ref="BI26" ca="1">INDIRECT(ADDRESS(BI$1,BI$2,1,1,$A26))</f>
        <v>5.7000000000000002E-3</v>
      </c>
      <c r="BJ26" s="15" cm="1">
        <f t="array" aca="1" ref="BJ26" ca="1">INDIRECT(ADDRESS(BJ$1,BJ$2,1,1,$A26))</f>
        <v>1.24E-2</v>
      </c>
      <c r="BK26" s="15" cm="1">
        <f t="array" aca="1" ref="BK26" ca="1">INDIRECT(ADDRESS(BK$1,BK$2,1,1,$A26))</f>
        <v>7.1000000000000004E-3</v>
      </c>
      <c r="BN26" s="32"/>
    </row>
    <row r="27" spans="1:66" x14ac:dyDescent="0.25">
      <c r="A27" t="s">
        <v>57</v>
      </c>
      <c r="B27" t="str" cm="1">
        <f t="array" aca="1" ref="B27" ca="1">LEFT(INDIRECT(ADDRESS(B$1,B$2,1,1,$A27)),FIND("-",INDIRECT(ADDRESS(B$1,B$2,1,1,$A27)))-1)</f>
        <v>P509</v>
      </c>
      <c r="C27" t="str" cm="1">
        <f t="array" aca="1" ref="C27" ca="1">RIGHT(INDIRECT(ADDRESS(B$1,B$2,1,1,$A27)),LEN(INDIRECT(ADDRESS(B$1,B$2,1,1,$A27)))-FIND("-",INDIRECT(ADDRESS(B$1,B$2,1,1,$A27))))</f>
        <v>east</v>
      </c>
      <c r="D27" s="10" cm="1">
        <f t="array" aca="1" ref="D27" ca="1">DATE(MID(INDIRECT(ADDRESS(D$1,D$2,1,1,$A27)),1,4),MID(INDIRECT(ADDRESS(D$1,D$2,1,1,$A27)),5,2),MID(INDIRECT(ADDRESS(D$1,D$2,1,1,$A27)),7,2))+TIME(MID(INDIRECT(ADDRESS(D$1,D$2,1,1,$A27)),10,2),MID(INDIRECT(ADDRESS(D$1,D$2,1,1,$A27)),12,2),0)</f>
        <v>44260.582638888889</v>
      </c>
      <c r="E27" cm="1">
        <f t="array" aca="1" ref="E27" ca="1">INDIRECT(ADDRESS(E$1,E$2,1,1,$A27))</f>
        <v>0</v>
      </c>
      <c r="F27" s="11" cm="1">
        <f t="array" aca="1" ref="F27" ca="1">VALUE(SUBSTITUTE(INDIRECT(ADDRESS(F$1,F$2,1,1,$A27)),"┬░C",""))</f>
        <v>19.3</v>
      </c>
      <c r="G27" s="12" cm="1">
        <f t="array" aca="1" ref="G27" ca="1">INDIRECT(ADDRESS(G$1,G$2,1,1,$A27))</f>
        <v>25.398599999999998</v>
      </c>
      <c r="H27" cm="1">
        <f t="array" aca="1" ref="H27" ca="1">INDIRECT(ADDRESS(H$1,H$2,1,1,$A27))</f>
        <v>25.402799999999999</v>
      </c>
      <c r="I27" cm="1">
        <f t="array" aca="1" ref="I27" ca="1">INDIRECT(ADDRESS(I$1,I$2,1,1,$A27))</f>
        <v>25.403199999999998</v>
      </c>
      <c r="J27" cm="1">
        <f t="array" aca="1" ref="J27" ca="1">INDIRECT(ADDRESS(J$1,J$2,1,1,$A27))</f>
        <v>25.404499999999999</v>
      </c>
      <c r="K27" s="13" cm="1">
        <f t="array" aca="1" ref="K27" ca="1">INDIRECT(ADDRESS(K$1,K$2,1,1,$A27))</f>
        <v>25.402699999999999</v>
      </c>
      <c r="L27" s="14" cm="1">
        <f t="array" aca="1" ref="L27" ca="1">SQRT(SUMSQ(Y27:AA27-V27:X27))</f>
        <v>72.880304868050601</v>
      </c>
      <c r="M27" s="15" cm="1">
        <f t="array" aca="1" ref="M27" ca="1">SQRT(SUMSQ(AB27:AD27-V27:X27))</f>
        <v>73.712408097755159</v>
      </c>
      <c r="N27" s="15" cm="1">
        <f t="array" aca="1" ref="N27" ca="1">SQRT(SUMSQ(AE27:AG27-V27:X27))</f>
        <v>72.343201547277403</v>
      </c>
      <c r="O27" s="15" cm="1">
        <f t="array" aca="1" ref="O27" ca="1">SQRT(SUMSQ(AH27:AJ27-V27:X27))</f>
        <v>71.964383778991674</v>
      </c>
      <c r="P27" s="15" cm="1">
        <f t="array" aca="1" ref="P27" ca="1">SQRT(SUMSQ(AB27:AD27-Y27:AA27))</f>
        <v>125.93560016774445</v>
      </c>
      <c r="Q27" s="15" cm="1">
        <f t="array" aca="1" ref="Q27" ca="1">SQRT(SUMSQ(AE27:AG27-Y27:AA27))</f>
        <v>145.22060359415258</v>
      </c>
      <c r="R27" s="15" cm="1">
        <f t="array" aca="1" ref="R27" ca="1">SQRT(SUMSQ(AH27:AJ27-Y27:AA27))</f>
        <v>74.988130445491166</v>
      </c>
      <c r="S27" s="15" cm="1">
        <f t="array" aca="1" ref="S27" ca="1">SQRT(SUMSQ(AE27:AG27-AB27:AD27))</f>
        <v>73.982854220826056</v>
      </c>
      <c r="T27" s="15" cm="1">
        <f t="array" aca="1" ref="T27" ca="1">SQRT(SUMSQ(AH27:AJ27-AB27:AD27))</f>
        <v>145.67333845786607</v>
      </c>
      <c r="U27" s="16" cm="1">
        <f t="array" aca="1" ref="U27" ca="1">SQRT(SUMSQ(AH27:AJ27-AE27:AG27))</f>
        <v>123.92877037500212</v>
      </c>
      <c r="V27" cm="1">
        <f t="array" aca="1" ref="V27" ca="1">INDIRECT(ADDRESS(V$1,V$2,1,1,$A27))</f>
        <v>0</v>
      </c>
      <c r="W27" cm="1">
        <f t="array" aca="1" ref="W27" ca="1">INDIRECT(ADDRESS(W$1,W$2,1,1,$A27))</f>
        <v>0</v>
      </c>
      <c r="X27" cm="1">
        <f t="array" aca="1" ref="X27" ca="1">INDIRECT(ADDRESS(X$1,X$2,1,1,$A27))</f>
        <v>0</v>
      </c>
      <c r="Y27" cm="1">
        <f t="array" aca="1" ref="Y27" ca="1">INDIRECT(ADDRESS(Y$1,Y$2,1,1,$A27))</f>
        <v>62.483499999999999</v>
      </c>
      <c r="Z27" cm="1">
        <f t="array" aca="1" ref="Z27" ca="1">INDIRECT(ADDRESS(Z$1,Z$2,1,1,$A27))</f>
        <v>37.514600000000002</v>
      </c>
      <c r="AA27" cm="1">
        <f t="array" aca="1" ref="AA27" ca="1">INDIRECT(ADDRESS(AA$1,AA$2,1,1,$A27))</f>
        <v>7.6499999999999999E-2</v>
      </c>
      <c r="AB27" cm="1">
        <f t="array" aca="1" ref="AB27" ca="1">INDIRECT(ADDRESS(AB$1,AB$2,1,1,$A27))</f>
        <v>-63.452100000000002</v>
      </c>
      <c r="AC27" cm="1">
        <f t="array" aca="1" ref="AC27" ca="1">INDIRECT(ADDRESS(AC$1,AC$2,1,1,$A27))</f>
        <v>37.514600000000002</v>
      </c>
      <c r="AD27" cm="1">
        <f t="array" aca="1" ref="AD27" ca="1">INDIRECT(ADDRESS(AD$1,AD$2,1,1,$A27))</f>
        <v>7.0000000000000007E-2</v>
      </c>
      <c r="AE27" cm="1">
        <f t="array" aca="1" ref="AE27" ca="1">INDIRECT(ADDRESS(AE$1,AE$2,1,1,$A27))</f>
        <v>-62.482500000000002</v>
      </c>
      <c r="AF27" cm="1">
        <f t="array" aca="1" ref="AF27" ca="1">INDIRECT(ADDRESS(AF$1,AF$2,1,1,$A27))</f>
        <v>-36.4619</v>
      </c>
      <c r="AG27" cm="1">
        <f t="array" aca="1" ref="AG27" ca="1">INDIRECT(ADDRESS(AG$1,AG$2,1,1,$A27))</f>
        <v>7.6499999999999999E-2</v>
      </c>
      <c r="AH27" cm="1">
        <f t="array" aca="1" ref="AH27" ca="1">INDIRECT(ADDRESS(AH$1,AH$2,1,1,$A27))</f>
        <v>61.4422</v>
      </c>
      <c r="AI27" cm="1">
        <f t="array" aca="1" ref="AI27" ca="1">INDIRECT(ADDRESS(AI$1,AI$2,1,1,$A27))</f>
        <v>-37.466299999999997</v>
      </c>
      <c r="AJ27" cm="1">
        <f t="array" aca="1" ref="AJ27" ca="1">INDIRECT(ADDRESS(AJ$1,AJ$2,1,1,$A27))</f>
        <v>7.0400000000000004E-2</v>
      </c>
      <c r="AK27" s="15" cm="1">
        <f t="array" aca="1" ref="AK27" ca="1">INDIRECT(ADDRESS(AK$1,AK$2,1,1,$A27))</f>
        <v>72.880300000000005</v>
      </c>
      <c r="AL27" s="15" cm="1">
        <f t="array" aca="1" ref="AL27" ca="1">INDIRECT(ADDRESS(AL$1,AL$2,1,1,$A27))</f>
        <v>73.712400000000002</v>
      </c>
      <c r="AM27" s="15" cm="1">
        <f t="array" aca="1" ref="AM27" ca="1">INDIRECT(ADDRESS(AM$1,AM$2,1,1,$A27))</f>
        <v>72.343199999999996</v>
      </c>
      <c r="AN27" s="15" cm="1">
        <f t="array" aca="1" ref="AN27" ca="1">INDIRECT(ADDRESS(AN$1,AN$2,1,1,$A27))</f>
        <v>71.964299999999994</v>
      </c>
      <c r="AO27" s="15" cm="1">
        <f t="array" aca="1" ref="AO27" ca="1">INDIRECT(ADDRESS(AO$1,AO$2,1,1,$A27))</f>
        <v>125.93559999999999</v>
      </c>
      <c r="AP27" s="15" cm="1">
        <f t="array" aca="1" ref="AP27" ca="1">INDIRECT(ADDRESS(AP$1,AP$2,1,1,$A27))</f>
        <v>145.22059999999999</v>
      </c>
      <c r="AQ27" s="15" cm="1">
        <f t="array" aca="1" ref="AQ27" ca="1">INDIRECT(ADDRESS(AQ$1,AQ$2,1,1,$A27))</f>
        <v>74.988100000000003</v>
      </c>
      <c r="AR27" s="15" cm="1">
        <f t="array" aca="1" ref="AR27" ca="1">INDIRECT(ADDRESS(AR$1,AR$2,1,1,$A27))</f>
        <v>73.982900000000001</v>
      </c>
      <c r="AS27" s="15" cm="1">
        <f t="array" aca="1" ref="AS27" ca="1">INDIRECT(ADDRESS(AS$1,AS$2,1,1,$A27))</f>
        <v>145.67330000000001</v>
      </c>
      <c r="AT27" s="15" cm="1">
        <f t="array" aca="1" ref="AT27" ca="1">INDIRECT(ADDRESS(AT$1,AT$2,1,1,$A27))</f>
        <v>123.92870000000001</v>
      </c>
      <c r="AV27" s="15">
        <f t="shared" ca="1" si="0"/>
        <v>-4.8680505955189801E-6</v>
      </c>
      <c r="AW27" s="15">
        <f t="shared" ca="1" si="1"/>
        <v>-8.0977551562000372E-6</v>
      </c>
      <c r="AX27" s="15">
        <f t="shared" ca="1" si="2"/>
        <v>-1.5472774066438433E-6</v>
      </c>
      <c r="AY27" s="15">
        <f t="shared" ca="1" si="3"/>
        <v>-8.3778991680105719E-5</v>
      </c>
      <c r="AZ27" s="15">
        <f t="shared" ca="1" si="4"/>
        <v>-1.6774446010003885E-7</v>
      </c>
      <c r="BA27" s="15">
        <f t="shared" ca="1" si="5"/>
        <v>-3.5941525879934488E-6</v>
      </c>
      <c r="BB27" s="15">
        <f t="shared" ca="1" si="6"/>
        <v>-3.0445491162822691E-5</v>
      </c>
      <c r="BC27" s="15">
        <f t="shared" ca="1" si="7"/>
        <v>4.577917394499309E-5</v>
      </c>
      <c r="BD27" s="15">
        <f t="shared" ca="1" si="8"/>
        <v>-3.8457866054386614E-5</v>
      </c>
      <c r="BE27" s="15">
        <f t="shared" ca="1" si="9"/>
        <v>-7.0375002110267815E-5</v>
      </c>
      <c r="BG27" s="15" cm="1">
        <f t="array" aca="1" ref="BG27" ca="1">INDIRECT(ADDRESS(BG$1,BG$2,1,1,$A27))</f>
        <v>5.7000000000000002E-3</v>
      </c>
      <c r="BH27" s="15" cm="1">
        <f t="array" aca="1" ref="BH27" ca="1">INDIRECT(ADDRESS(BH$1,BH$2,1,1,$A27))</f>
        <v>7.9000000000000008E-3</v>
      </c>
      <c r="BI27" s="15" cm="1">
        <f t="array" aca="1" ref="BI27" ca="1">INDIRECT(ADDRESS(BI$1,BI$2,1,1,$A27))</f>
        <v>6.0000000000000001E-3</v>
      </c>
      <c r="BJ27" s="15" cm="1">
        <f t="array" aca="1" ref="BJ27" ca="1">INDIRECT(ADDRESS(BJ$1,BJ$2,1,1,$A27))</f>
        <v>4.4999999999999997E-3</v>
      </c>
      <c r="BK27" s="15" cm="1">
        <f t="array" aca="1" ref="BK27" ca="1">INDIRECT(ADDRESS(BK$1,BK$2,1,1,$A27))</f>
        <v>7.4999999999999997E-3</v>
      </c>
      <c r="BN27" s="32"/>
    </row>
    <row r="28" spans="1:66" x14ac:dyDescent="0.25">
      <c r="A28" t="s">
        <v>60</v>
      </c>
      <c r="B28" t="str" cm="1">
        <f t="array" aca="1" ref="B28" ca="1">LEFT(INDIRECT(ADDRESS(B$1,B$2,1,1,$A28)),FIND("-",INDIRECT(ADDRESS(B$1,B$2,1,1,$A28)))-1)</f>
        <v>P509</v>
      </c>
      <c r="C28" t="str" cm="1">
        <f t="array" aca="1" ref="C28" ca="1">RIGHT(INDIRECT(ADDRESS(B$1,B$2,1,1,$A28)),LEN(INDIRECT(ADDRESS(B$1,B$2,1,1,$A28)))-FIND("-",INDIRECT(ADDRESS(B$1,B$2,1,1,$A28))))</f>
        <v>east</v>
      </c>
      <c r="D28" s="10" cm="1">
        <f t="array" aca="1" ref="D28" ca="1">DATE(MID(INDIRECT(ADDRESS(D$1,D$2,1,1,$A28)),1,4),MID(INDIRECT(ADDRESS(D$1,D$2,1,1,$A28)),5,2),MID(INDIRECT(ADDRESS(D$1,D$2,1,1,$A28)),7,2))+TIME(MID(INDIRECT(ADDRESS(D$1,D$2,1,1,$A28)),10,2),MID(INDIRECT(ADDRESS(D$1,D$2,1,1,$A28)),12,2),0)</f>
        <v>44260.585416666669</v>
      </c>
      <c r="E28" cm="1">
        <f t="array" aca="1" ref="E28" ca="1">INDIRECT(ADDRESS(E$1,E$2,1,1,$A28))</f>
        <v>0</v>
      </c>
      <c r="F28" s="11" cm="1">
        <f t="array" aca="1" ref="F28" ca="1">VALUE(SUBSTITUTE(INDIRECT(ADDRESS(F$1,F$2,1,1,$A28)),"┬░C",""))</f>
        <v>19.3</v>
      </c>
      <c r="G28" s="12" cm="1">
        <f t="array" aca="1" ref="G28" ca="1">INDIRECT(ADDRESS(G$1,G$2,1,1,$A28))</f>
        <v>25.399000000000001</v>
      </c>
      <c r="H28" cm="1">
        <f t="array" aca="1" ref="H28" ca="1">INDIRECT(ADDRESS(H$1,H$2,1,1,$A28))</f>
        <v>25.402999999999999</v>
      </c>
      <c r="I28" cm="1">
        <f t="array" aca="1" ref="I28" ca="1">INDIRECT(ADDRESS(I$1,I$2,1,1,$A28))</f>
        <v>25.403099999999998</v>
      </c>
      <c r="J28" cm="1">
        <f t="array" aca="1" ref="J28" ca="1">INDIRECT(ADDRESS(J$1,J$2,1,1,$A28))</f>
        <v>25.404800000000002</v>
      </c>
      <c r="K28" s="13" cm="1">
        <f t="array" aca="1" ref="K28" ca="1">INDIRECT(ADDRESS(K$1,K$2,1,1,$A28))</f>
        <v>25.4024</v>
      </c>
      <c r="L28" s="14" cm="1">
        <f t="array" aca="1" ref="L28" ca="1">SQRT(SUMSQ(Y28:AA28-V28:X28))</f>
        <v>72.880236075427206</v>
      </c>
      <c r="M28" s="15" cm="1">
        <f t="array" aca="1" ref="M28" ca="1">SQRT(SUMSQ(AB28:AD28-V28:X28))</f>
        <v>73.712341689638379</v>
      </c>
      <c r="N28" s="15" cm="1">
        <f t="array" aca="1" ref="N28" ca="1">SQRT(SUMSQ(AE28:AG28-V28:X28))</f>
        <v>72.343007274373107</v>
      </c>
      <c r="O28" s="15" cm="1">
        <f t="array" aca="1" ref="O28" ca="1">SQRT(SUMSQ(AH28:AJ28-V28:X28))</f>
        <v>71.96448809968706</v>
      </c>
      <c r="P28" s="15" cm="1">
        <f t="array" aca="1" ref="P28" ca="1">SQRT(SUMSQ(AB28:AD28-Y28:AA28))</f>
        <v>125.93580015261745</v>
      </c>
      <c r="Q28" s="15" cm="1">
        <f t="array" aca="1" ref="Q28" ca="1">SQRT(SUMSQ(AE28:AG28-Y28:AA28))</f>
        <v>145.2203454366846</v>
      </c>
      <c r="R28" s="15" cm="1">
        <f t="array" aca="1" ref="R28" ca="1">SQRT(SUMSQ(AH28:AJ28-Y28:AA28))</f>
        <v>74.988031820017781</v>
      </c>
      <c r="S28" s="15" cm="1">
        <f t="array" aca="1" ref="S28" ca="1">SQRT(SUMSQ(AE28:AG28-AB28:AD28))</f>
        <v>73.982860758083703</v>
      </c>
      <c r="T28" s="15" cm="1">
        <f t="array" aca="1" ref="T28" ca="1">SQRT(SUMSQ(AH28:AJ28-AB28:AD28))</f>
        <v>145.6733727218533</v>
      </c>
      <c r="U28" s="16" cm="1">
        <f t="array" aca="1" ref="U28" ca="1">SQRT(SUMSQ(AH28:AJ28-AE28:AG28))</f>
        <v>123.9283695680291</v>
      </c>
      <c r="V28" cm="1">
        <f t="array" aca="1" ref="V28" ca="1">INDIRECT(ADDRESS(V$1,V$2,1,1,$A28))</f>
        <v>0</v>
      </c>
      <c r="W28" cm="1">
        <f t="array" aca="1" ref="W28" ca="1">INDIRECT(ADDRESS(W$1,W$2,1,1,$A28))</f>
        <v>0</v>
      </c>
      <c r="X28" cm="1">
        <f t="array" aca="1" ref="X28" ca="1">INDIRECT(ADDRESS(X$1,X$2,1,1,$A28))</f>
        <v>0</v>
      </c>
      <c r="Y28" cm="1">
        <f t="array" aca="1" ref="Y28" ca="1">INDIRECT(ADDRESS(Y$1,Y$2,1,1,$A28))</f>
        <v>62.483600000000003</v>
      </c>
      <c r="Z28" cm="1">
        <f t="array" aca="1" ref="Z28" ca="1">INDIRECT(ADDRESS(Z$1,Z$2,1,1,$A28))</f>
        <v>37.514299999999999</v>
      </c>
      <c r="AA28" cm="1">
        <f t="array" aca="1" ref="AA28" ca="1">INDIRECT(ADDRESS(AA$1,AA$2,1,1,$A28))</f>
        <v>7.6399999999999996E-2</v>
      </c>
      <c r="AB28" cm="1">
        <f t="array" aca="1" ref="AB28" ca="1">INDIRECT(ADDRESS(AB$1,AB$2,1,1,$A28))</f>
        <v>-63.452199999999998</v>
      </c>
      <c r="AC28" cm="1">
        <f t="array" aca="1" ref="AC28" ca="1">INDIRECT(ADDRESS(AC$1,AC$2,1,1,$A28))</f>
        <v>37.514299999999999</v>
      </c>
      <c r="AD28" cm="1">
        <f t="array" aca="1" ref="AD28" ca="1">INDIRECT(ADDRESS(AD$1,AD$2,1,1,$A28))</f>
        <v>7.0199999999999999E-2</v>
      </c>
      <c r="AE28" cm="1">
        <f t="array" aca="1" ref="AE28" ca="1">INDIRECT(ADDRESS(AE$1,AE$2,1,1,$A28))</f>
        <v>-62.482100000000003</v>
      </c>
      <c r="AF28" cm="1">
        <f t="array" aca="1" ref="AF28" ca="1">INDIRECT(ADDRESS(AF$1,AF$2,1,1,$A28))</f>
        <v>-36.462200000000003</v>
      </c>
      <c r="AG28" cm="1">
        <f t="array" aca="1" ref="AG28" ca="1">INDIRECT(ADDRESS(AG$1,AG$2,1,1,$A28))</f>
        <v>7.6499999999999999E-2</v>
      </c>
      <c r="AH28" cm="1">
        <f t="array" aca="1" ref="AH28" ca="1">INDIRECT(ADDRESS(AH$1,AH$2,1,1,$A28))</f>
        <v>61.4422</v>
      </c>
      <c r="AI28" cm="1">
        <f t="array" aca="1" ref="AI28" ca="1">INDIRECT(ADDRESS(AI$1,AI$2,1,1,$A28))</f>
        <v>-37.466500000000003</v>
      </c>
      <c r="AJ28" cm="1">
        <f t="array" aca="1" ref="AJ28" ca="1">INDIRECT(ADDRESS(AJ$1,AJ$2,1,1,$A28))</f>
        <v>7.0599999999999996E-2</v>
      </c>
      <c r="AK28" s="15" cm="1">
        <f t="array" aca="1" ref="AK28" ca="1">INDIRECT(ADDRESS(AK$1,AK$2,1,1,$A28))</f>
        <v>72.880200000000002</v>
      </c>
      <c r="AL28" s="15" cm="1">
        <f t="array" aca="1" ref="AL28" ca="1">INDIRECT(ADDRESS(AL$1,AL$2,1,1,$A28))</f>
        <v>73.712299999999999</v>
      </c>
      <c r="AM28" s="15" cm="1">
        <f t="array" aca="1" ref="AM28" ca="1">INDIRECT(ADDRESS(AM$1,AM$2,1,1,$A28))</f>
        <v>72.343000000000004</v>
      </c>
      <c r="AN28" s="15" cm="1">
        <f t="array" aca="1" ref="AN28" ca="1">INDIRECT(ADDRESS(AN$1,AN$2,1,1,$A28))</f>
        <v>71.964500000000001</v>
      </c>
      <c r="AO28" s="15" cm="1">
        <f t="array" aca="1" ref="AO28" ca="1">INDIRECT(ADDRESS(AO$1,AO$2,1,1,$A28))</f>
        <v>125.9358</v>
      </c>
      <c r="AP28" s="15" cm="1">
        <f t="array" aca="1" ref="AP28" ca="1">INDIRECT(ADDRESS(AP$1,AP$2,1,1,$A28))</f>
        <v>145.22030000000001</v>
      </c>
      <c r="AQ28" s="15" cm="1">
        <f t="array" aca="1" ref="AQ28" ca="1">INDIRECT(ADDRESS(AQ$1,AQ$2,1,1,$A28))</f>
        <v>74.988100000000003</v>
      </c>
      <c r="AR28" s="15" cm="1">
        <f t="array" aca="1" ref="AR28" ca="1">INDIRECT(ADDRESS(AR$1,AR$2,1,1,$A28))</f>
        <v>73.982900000000001</v>
      </c>
      <c r="AS28" s="15" cm="1">
        <f t="array" aca="1" ref="AS28" ca="1">INDIRECT(ADDRESS(AS$1,AS$2,1,1,$A28))</f>
        <v>145.67339999999999</v>
      </c>
      <c r="AT28" s="15" cm="1">
        <f t="array" aca="1" ref="AT28" ca="1">INDIRECT(ADDRESS(AT$1,AT$2,1,1,$A28))</f>
        <v>123.92829999999999</v>
      </c>
      <c r="AV28" s="15">
        <f t="shared" ca="1" si="0"/>
        <v>-3.6075427203741128E-5</v>
      </c>
      <c r="AW28" s="15">
        <f t="shared" ca="1" si="1"/>
        <v>-4.1689638379693861E-5</v>
      </c>
      <c r="AX28" s="15">
        <f t="shared" ca="1" si="2"/>
        <v>-7.2743731038826809E-6</v>
      </c>
      <c r="AY28" s="15">
        <f t="shared" ca="1" si="3"/>
        <v>1.1900312941293123E-5</v>
      </c>
      <c r="AZ28" s="15">
        <f t="shared" ca="1" si="4"/>
        <v>-1.5261744579220249E-7</v>
      </c>
      <c r="BA28" s="15">
        <f t="shared" ca="1" si="5"/>
        <v>-4.5436684587230047E-5</v>
      </c>
      <c r="BB28" s="15">
        <f t="shared" ca="1" si="6"/>
        <v>6.8179982221749924E-5</v>
      </c>
      <c r="BC28" s="15">
        <f t="shared" ca="1" si="7"/>
        <v>3.9241916297783064E-5</v>
      </c>
      <c r="BD28" s="15">
        <f t="shared" ca="1" si="8"/>
        <v>2.7278146689013738E-5</v>
      </c>
      <c r="BE28" s="15">
        <f t="shared" ca="1" si="9"/>
        <v>-6.9568029104516427E-5</v>
      </c>
      <c r="BG28" s="15" cm="1">
        <f t="array" aca="1" ref="BG28" ca="1">INDIRECT(ADDRESS(BG$1,BG$2,1,1,$A28))</f>
        <v>4.4999999999999997E-3</v>
      </c>
      <c r="BH28" s="15" cm="1">
        <f t="array" aca="1" ref="BH28" ca="1">INDIRECT(ADDRESS(BH$1,BH$2,1,1,$A28))</f>
        <v>7.6E-3</v>
      </c>
      <c r="BI28" s="15" cm="1">
        <f t="array" aca="1" ref="BI28" ca="1">INDIRECT(ADDRESS(BI$1,BI$2,1,1,$A28))</f>
        <v>6.4999999999999997E-3</v>
      </c>
      <c r="BJ28" s="15" cm="1">
        <f t="array" aca="1" ref="BJ28" ca="1">INDIRECT(ADDRESS(BJ$1,BJ$2,1,1,$A28))</f>
        <v>5.5999999999999999E-3</v>
      </c>
      <c r="BK28" s="15" cm="1">
        <f t="array" aca="1" ref="BK28" ca="1">INDIRECT(ADDRESS(BK$1,BK$2,1,1,$A28))</f>
        <v>6.6E-3</v>
      </c>
      <c r="BN28" s="32"/>
    </row>
    <row r="29" spans="1:66" x14ac:dyDescent="0.25">
      <c r="A29" t="s">
        <v>63</v>
      </c>
      <c r="B29" t="str" cm="1">
        <f t="array" aca="1" ref="B29" ca="1">LEFT(INDIRECT(ADDRESS(B$1,B$2,1,1,$A29)),FIND("-",INDIRECT(ADDRESS(B$1,B$2,1,1,$A29)))-1)</f>
        <v>P509</v>
      </c>
      <c r="C29" t="str" cm="1">
        <f t="array" aca="1" ref="C29" ca="1">RIGHT(INDIRECT(ADDRESS(B$1,B$2,1,1,$A29)),LEN(INDIRECT(ADDRESS(B$1,B$2,1,1,$A29)))-FIND("-",INDIRECT(ADDRESS(B$1,B$2,1,1,$A29))))</f>
        <v>east</v>
      </c>
      <c r="D29" s="10" cm="1">
        <f t="array" aca="1" ref="D29" ca="1">DATE(MID(INDIRECT(ADDRESS(D$1,D$2,1,1,$A29)),1,4),MID(INDIRECT(ADDRESS(D$1,D$2,1,1,$A29)),5,2),MID(INDIRECT(ADDRESS(D$1,D$2,1,1,$A29)),7,2))+TIME(MID(INDIRECT(ADDRESS(D$1,D$2,1,1,$A29)),10,2),MID(INDIRECT(ADDRESS(D$1,D$2,1,1,$A29)),12,2),0)</f>
        <v>44260.587500000001</v>
      </c>
      <c r="E29" cm="1">
        <f t="array" aca="1" ref="E29" ca="1">INDIRECT(ADDRESS(E$1,E$2,1,1,$A29))</f>
        <v>0</v>
      </c>
      <c r="F29" s="11" cm="1">
        <f t="array" aca="1" ref="F29" ca="1">VALUE(SUBSTITUTE(INDIRECT(ADDRESS(F$1,F$2,1,1,$A29)),"┬░C",""))</f>
        <v>19.3</v>
      </c>
      <c r="G29" s="12" cm="1">
        <f t="array" aca="1" ref="G29" ca="1">INDIRECT(ADDRESS(G$1,G$2,1,1,$A29))</f>
        <v>25.3993</v>
      </c>
      <c r="H29" cm="1">
        <f t="array" aca="1" ref="H29" ca="1">INDIRECT(ADDRESS(H$1,H$2,1,1,$A29))</f>
        <v>25.4025</v>
      </c>
      <c r="I29" cm="1">
        <f t="array" aca="1" ref="I29" ca="1">INDIRECT(ADDRESS(I$1,I$2,1,1,$A29))</f>
        <v>25.402699999999999</v>
      </c>
      <c r="J29" cm="1">
        <f t="array" aca="1" ref="J29" ca="1">INDIRECT(ADDRESS(J$1,J$2,1,1,$A29))</f>
        <v>25.404299999999999</v>
      </c>
      <c r="K29" s="13" cm="1">
        <f t="array" aca="1" ref="K29" ca="1">INDIRECT(ADDRESS(K$1,K$2,1,1,$A29))</f>
        <v>25.4026</v>
      </c>
      <c r="L29" s="14" cm="1">
        <f t="array" aca="1" ref="L29" ca="1">SQRT(SUMSQ(Y29:AA29-V29:X29))</f>
        <v>72.880031570863082</v>
      </c>
      <c r="M29" s="15" cm="1">
        <f t="array" aca="1" ref="M29" ca="1">SQRT(SUMSQ(AB29:AD29-V29:X29))</f>
        <v>73.712217605631693</v>
      </c>
      <c r="N29" s="15" cm="1">
        <f t="array" aca="1" ref="N29" ca="1">SQRT(SUMSQ(AE29:AG29-V29:X29))</f>
        <v>72.343512121613216</v>
      </c>
      <c r="O29" s="15" cm="1">
        <f t="array" aca="1" ref="O29" ca="1">SQRT(SUMSQ(AH29:AJ29-V29:X29))</f>
        <v>71.963820629257867</v>
      </c>
      <c r="P29" s="15" cm="1">
        <f t="array" aca="1" ref="P29" ca="1">SQRT(SUMSQ(AB29:AD29-Y29:AA29))</f>
        <v>125.93470015261876</v>
      </c>
      <c r="Q29" s="15" cm="1">
        <f t="array" aca="1" ref="Q29" ca="1">SQRT(SUMSQ(AE29:AG29-Y29:AA29))</f>
        <v>145.22063525291438</v>
      </c>
      <c r="R29" s="15" cm="1">
        <f t="array" aca="1" ref="R29" ca="1">SQRT(SUMSQ(AH29:AJ29-Y29:AA29))</f>
        <v>74.988331791085997</v>
      </c>
      <c r="S29" s="15" cm="1">
        <f t="array" aca="1" ref="S29" ca="1">SQRT(SUMSQ(AE29:AG29-AB29:AD29))</f>
        <v>73.983244998513015</v>
      </c>
      <c r="T29" s="15" cm="1">
        <f t="array" aca="1" ref="T29" ca="1">SQRT(SUMSQ(AH29:AJ29-AB29:AD29))</f>
        <v>145.67258404469936</v>
      </c>
      <c r="U29" s="16" cm="1">
        <f t="array" aca="1" ref="U29" ca="1">SQRT(SUMSQ(AH29:AJ29-AE29:AG29))</f>
        <v>123.92846875439879</v>
      </c>
      <c r="V29" cm="1">
        <f t="array" aca="1" ref="V29" ca="1">INDIRECT(ADDRESS(V$1,V$2,1,1,$A29))</f>
        <v>0</v>
      </c>
      <c r="W29" cm="1">
        <f t="array" aca="1" ref="W29" ca="1">INDIRECT(ADDRESS(W$1,W$2,1,1,$A29))</f>
        <v>0</v>
      </c>
      <c r="X29" cm="1">
        <f t="array" aca="1" ref="X29" ca="1">INDIRECT(ADDRESS(X$1,X$2,1,1,$A29))</f>
        <v>0</v>
      </c>
      <c r="Y29" cm="1">
        <f t="array" aca="1" ref="Y29" ca="1">INDIRECT(ADDRESS(Y$1,Y$2,1,1,$A29))</f>
        <v>62.482999999999997</v>
      </c>
      <c r="Z29" cm="1">
        <f t="array" aca="1" ref="Z29" ca="1">INDIRECT(ADDRESS(Z$1,Z$2,1,1,$A29))</f>
        <v>37.514899999999997</v>
      </c>
      <c r="AA29" cm="1">
        <f t="array" aca="1" ref="AA29" ca="1">INDIRECT(ADDRESS(AA$1,AA$2,1,1,$A29))</f>
        <v>7.7399999999999997E-2</v>
      </c>
      <c r="AB29" cm="1">
        <f t="array" aca="1" ref="AB29" ca="1">INDIRECT(ADDRESS(AB$1,AB$2,1,1,$A29))</f>
        <v>-63.451700000000002</v>
      </c>
      <c r="AC29" cm="1">
        <f t="array" aca="1" ref="AC29" ca="1">INDIRECT(ADDRESS(AC$1,AC$2,1,1,$A29))</f>
        <v>37.514899999999997</v>
      </c>
      <c r="AD29" cm="1">
        <f t="array" aca="1" ref="AD29" ca="1">INDIRECT(ADDRESS(AD$1,AD$2,1,1,$A29))</f>
        <v>7.1199999999999999E-2</v>
      </c>
      <c r="AE29" cm="1">
        <f t="array" aca="1" ref="AE29" ca="1">INDIRECT(ADDRESS(AE$1,AE$2,1,1,$A29))</f>
        <v>-62.482799999999997</v>
      </c>
      <c r="AF29" cm="1">
        <f t="array" aca="1" ref="AF29" ca="1">INDIRECT(ADDRESS(AF$1,AF$2,1,1,$A29))</f>
        <v>-36.462000000000003</v>
      </c>
      <c r="AG29" cm="1">
        <f t="array" aca="1" ref="AG29" ca="1">INDIRECT(ADDRESS(AG$1,AG$2,1,1,$A29))</f>
        <v>7.7499999999999999E-2</v>
      </c>
      <c r="AH29" cm="1">
        <f t="array" aca="1" ref="AH29" ca="1">INDIRECT(ADDRESS(AH$1,AH$2,1,1,$A29))</f>
        <v>61.441600000000001</v>
      </c>
      <c r="AI29" cm="1">
        <f t="array" aca="1" ref="AI29" ca="1">INDIRECT(ADDRESS(AI$1,AI$2,1,1,$A29))</f>
        <v>-37.466200000000001</v>
      </c>
      <c r="AJ29" cm="1">
        <f t="array" aca="1" ref="AJ29" ca="1">INDIRECT(ADDRESS(AJ$1,AJ$2,1,1,$A29))</f>
        <v>7.1599999999999997E-2</v>
      </c>
      <c r="AK29" s="15" cm="1">
        <f t="array" aca="1" ref="AK29" ca="1">INDIRECT(ADDRESS(AK$1,AK$2,1,1,$A29))</f>
        <v>72.88</v>
      </c>
      <c r="AL29" s="15" cm="1">
        <f t="array" aca="1" ref="AL29" ca="1">INDIRECT(ADDRESS(AL$1,AL$2,1,1,$A29))</f>
        <v>73.712199999999996</v>
      </c>
      <c r="AM29" s="15" cm="1">
        <f t="array" aca="1" ref="AM29" ca="1">INDIRECT(ADDRESS(AM$1,AM$2,1,1,$A29))</f>
        <v>72.343500000000006</v>
      </c>
      <c r="AN29" s="15" cm="1">
        <f t="array" aca="1" ref="AN29" ca="1">INDIRECT(ADDRESS(AN$1,AN$2,1,1,$A29))</f>
        <v>71.963800000000006</v>
      </c>
      <c r="AO29" s="15" cm="1">
        <f t="array" aca="1" ref="AO29" ca="1">INDIRECT(ADDRESS(AO$1,AO$2,1,1,$A29))</f>
        <v>125.93470000000001</v>
      </c>
      <c r="AP29" s="15" cm="1">
        <f t="array" aca="1" ref="AP29" ca="1">INDIRECT(ADDRESS(AP$1,AP$2,1,1,$A29))</f>
        <v>145.22059999999999</v>
      </c>
      <c r="AQ29" s="15" cm="1">
        <f t="array" aca="1" ref="AQ29" ca="1">INDIRECT(ADDRESS(AQ$1,AQ$2,1,1,$A29))</f>
        <v>74.988399999999999</v>
      </c>
      <c r="AR29" s="15" cm="1">
        <f t="array" aca="1" ref="AR29" ca="1">INDIRECT(ADDRESS(AR$1,AR$2,1,1,$A29))</f>
        <v>73.983199999999997</v>
      </c>
      <c r="AS29" s="15" cm="1">
        <f t="array" aca="1" ref="AS29" ca="1">INDIRECT(ADDRESS(AS$1,AS$2,1,1,$A29))</f>
        <v>145.67259999999999</v>
      </c>
      <c r="AT29" s="15" cm="1">
        <f t="array" aca="1" ref="AT29" ca="1">INDIRECT(ADDRESS(AT$1,AT$2,1,1,$A29))</f>
        <v>123.9285</v>
      </c>
      <c r="AV29" s="15">
        <f t="shared" ca="1" si="0"/>
        <v>-3.1570863086471945E-5</v>
      </c>
      <c r="AW29" s="15">
        <f t="shared" ca="1" si="1"/>
        <v>-1.760563169739271E-5</v>
      </c>
      <c r="AX29" s="15">
        <f t="shared" ca="1" si="2"/>
        <v>-1.2121613210069881E-5</v>
      </c>
      <c r="AY29" s="15">
        <f t="shared" ca="1" si="3"/>
        <v>-2.0629257861060069E-5</v>
      </c>
      <c r="AZ29" s="15">
        <f t="shared" ca="1" si="4"/>
        <v>-1.5261875319083629E-7</v>
      </c>
      <c r="BA29" s="15">
        <f t="shared" ca="1" si="5"/>
        <v>-3.5252914386774137E-5</v>
      </c>
      <c r="BB29" s="15">
        <f t="shared" ca="1" si="6"/>
        <v>6.8208914001388621E-5</v>
      </c>
      <c r="BC29" s="15">
        <f t="shared" ca="1" si="7"/>
        <v>-4.4998513018867925E-5</v>
      </c>
      <c r="BD29" s="15">
        <f t="shared" ca="1" si="8"/>
        <v>1.5955300625591917E-5</v>
      </c>
      <c r="BE29" s="15">
        <f t="shared" ca="1" si="9"/>
        <v>3.1245601206819629E-5</v>
      </c>
      <c r="BG29" s="15" cm="1">
        <f t="array" aca="1" ref="BG29" ca="1">INDIRECT(ADDRESS(BG$1,BG$2,1,1,$A29))</f>
        <v>4.0000000000000001E-3</v>
      </c>
      <c r="BH29" s="15" cm="1">
        <f t="array" aca="1" ref="BH29" ca="1">INDIRECT(ADDRESS(BH$1,BH$2,1,1,$A29))</f>
        <v>7.7999999999999996E-3</v>
      </c>
      <c r="BI29" s="15" cm="1">
        <f t="array" aca="1" ref="BI29" ca="1">INDIRECT(ADDRESS(BI$1,BI$2,1,1,$A29))</f>
        <v>4.4999999999999997E-3</v>
      </c>
      <c r="BJ29" s="15" cm="1">
        <f t="array" aca="1" ref="BJ29" ca="1">INDIRECT(ADDRESS(BJ$1,BJ$2,1,1,$A29))</f>
        <v>5.3E-3</v>
      </c>
      <c r="BK29" s="15" cm="1">
        <f t="array" aca="1" ref="BK29" ca="1">INDIRECT(ADDRESS(BK$1,BK$2,1,1,$A29))</f>
        <v>6.7000000000000002E-3</v>
      </c>
      <c r="BN29" s="32"/>
    </row>
    <row r="30" spans="1:66" x14ac:dyDescent="0.25">
      <c r="A30" t="s">
        <v>66</v>
      </c>
      <c r="B30" t="str" cm="1">
        <f t="array" aca="1" ref="B30" ca="1">LEFT(INDIRECT(ADDRESS(B$1,B$2,1,1,$A30)),FIND("-",INDIRECT(ADDRESS(B$1,B$2,1,1,$A30)))-1)</f>
        <v>P509</v>
      </c>
      <c r="C30" t="str" cm="1">
        <f t="array" aca="1" ref="C30" ca="1">RIGHT(INDIRECT(ADDRESS(B$1,B$2,1,1,$A30)),LEN(INDIRECT(ADDRESS(B$1,B$2,1,1,$A30)))-FIND("-",INDIRECT(ADDRESS(B$1,B$2,1,1,$A30))))</f>
        <v>east</v>
      </c>
      <c r="D30" s="10" cm="1">
        <f t="array" aca="1" ref="D30" ca="1">DATE(MID(INDIRECT(ADDRESS(D$1,D$2,1,1,$A30)),1,4),MID(INDIRECT(ADDRESS(D$1,D$2,1,1,$A30)),5,2),MID(INDIRECT(ADDRESS(D$1,D$2,1,1,$A30)),7,2))+TIME(MID(INDIRECT(ADDRESS(D$1,D$2,1,1,$A30)),10,2),MID(INDIRECT(ADDRESS(D$1,D$2,1,1,$A30)),12,2),0)</f>
        <v>44260.590277777781</v>
      </c>
      <c r="E30" cm="1">
        <f t="array" aca="1" ref="E30" ca="1">INDIRECT(ADDRESS(E$1,E$2,1,1,$A30))</f>
        <v>0</v>
      </c>
      <c r="F30" s="11" cm="1">
        <f t="array" aca="1" ref="F30" ca="1">VALUE(SUBSTITUTE(INDIRECT(ADDRESS(F$1,F$2,1,1,$A30)),"┬░C",""))</f>
        <v>19.3</v>
      </c>
      <c r="G30" s="12" cm="1">
        <f t="array" aca="1" ref="G30" ca="1">INDIRECT(ADDRESS(G$1,G$2,1,1,$A30))</f>
        <v>25.3992</v>
      </c>
      <c r="H30" cm="1">
        <f t="array" aca="1" ref="H30" ca="1">INDIRECT(ADDRESS(H$1,H$2,1,1,$A30))</f>
        <v>25.402899999999999</v>
      </c>
      <c r="I30" cm="1">
        <f t="array" aca="1" ref="I30" ca="1">INDIRECT(ADDRESS(I$1,I$2,1,1,$A30))</f>
        <v>25.402799999999999</v>
      </c>
      <c r="J30" cm="1">
        <f t="array" aca="1" ref="J30" ca="1">INDIRECT(ADDRESS(J$1,J$2,1,1,$A30))</f>
        <v>25.404599999999999</v>
      </c>
      <c r="K30" s="13" cm="1">
        <f t="array" aca="1" ref="K30" ca="1">INDIRECT(ADDRESS(K$1,K$2,1,1,$A30))</f>
        <v>25.402699999999999</v>
      </c>
      <c r="L30" s="14" cm="1">
        <f t="array" aca="1" ref="L30" ca="1">SQRT(SUMSQ(Y30:AA30-V30:X30))</f>
        <v>72.880528086451193</v>
      </c>
      <c r="M30" s="15" cm="1">
        <f t="array" aca="1" ref="M30" ca="1">SQRT(SUMSQ(AB30:AD30-V30:X30))</f>
        <v>73.712713648935761</v>
      </c>
      <c r="N30" s="15" cm="1">
        <f t="array" aca="1" ref="N30" ca="1">SQRT(SUMSQ(AE30:AG30-V30:X30))</f>
        <v>72.343244833156334</v>
      </c>
      <c r="O30" s="15" cm="1">
        <f t="array" aca="1" ref="O30" ca="1">SQRT(SUMSQ(AH30:AJ30-V30:X30))</f>
        <v>71.96388637177678</v>
      </c>
      <c r="P30" s="15" cm="1">
        <f t="array" aca="1" ref="P30" ca="1">SQRT(SUMSQ(AB30:AD30-Y30:AA30))</f>
        <v>125.93550016262293</v>
      </c>
      <c r="Q30" s="15" cm="1">
        <f t="array" aca="1" ref="Q30" ca="1">SQRT(SUMSQ(AE30:AG30-Y30:AA30))</f>
        <v>145.22086175185024</v>
      </c>
      <c r="R30" s="15" cm="1">
        <f t="array" aca="1" ref="R30" ca="1">SQRT(SUMSQ(AH30:AJ30-Y30:AA30))</f>
        <v>74.988434567005072</v>
      </c>
      <c r="S30" s="15" cm="1">
        <f t="array" aca="1" ref="S30" ca="1">SQRT(SUMSQ(AE30:AG30-AB30:AD30))</f>
        <v>73.982848979611489</v>
      </c>
      <c r="T30" s="15" cm="1">
        <f t="array" aca="1" ref="T30" ca="1">SQRT(SUMSQ(AH30:AJ30-AB30:AD30))</f>
        <v>145.67314993127593</v>
      </c>
      <c r="U30" s="16" cm="1">
        <f t="array" aca="1" ref="U30" ca="1">SQRT(SUMSQ(AH30:AJ30-AE30:AG30))</f>
        <v>123.92877280188003</v>
      </c>
      <c r="V30" cm="1">
        <f t="array" aca="1" ref="V30" ca="1">INDIRECT(ADDRESS(V$1,V$2,1,1,$A30))</f>
        <v>0</v>
      </c>
      <c r="W30" cm="1">
        <f t="array" aca="1" ref="W30" ca="1">INDIRECT(ADDRESS(W$1,W$2,1,1,$A30))</f>
        <v>0</v>
      </c>
      <c r="X30" cm="1">
        <f t="array" aca="1" ref="X30" ca="1">INDIRECT(ADDRESS(X$1,X$2,1,1,$A30))</f>
        <v>0</v>
      </c>
      <c r="Y30" cm="1">
        <f t="array" aca="1" ref="Y30" ca="1">INDIRECT(ADDRESS(Y$1,Y$2,1,1,$A30))</f>
        <v>62.483400000000003</v>
      </c>
      <c r="Z30" cm="1">
        <f t="array" aca="1" ref="Z30" ca="1">INDIRECT(ADDRESS(Z$1,Z$2,1,1,$A30))</f>
        <v>37.5152</v>
      </c>
      <c r="AA30" cm="1">
        <f t="array" aca="1" ref="AA30" ca="1">INDIRECT(ADDRESS(AA$1,AA$2,1,1,$A30))</f>
        <v>7.6600000000000001E-2</v>
      </c>
      <c r="AB30" cm="1">
        <f t="array" aca="1" ref="AB30" ca="1">INDIRECT(ADDRESS(AB$1,AB$2,1,1,$A30))</f>
        <v>-63.452100000000002</v>
      </c>
      <c r="AC30" cm="1">
        <f t="array" aca="1" ref="AC30" ca="1">INDIRECT(ADDRESS(AC$1,AC$2,1,1,$A30))</f>
        <v>37.5152</v>
      </c>
      <c r="AD30" cm="1">
        <f t="array" aca="1" ref="AD30" ca="1">INDIRECT(ADDRESS(AD$1,AD$2,1,1,$A30))</f>
        <v>7.0199999999999999E-2</v>
      </c>
      <c r="AE30" cm="1">
        <f t="array" aca="1" ref="AE30" ca="1">INDIRECT(ADDRESS(AE$1,AE$2,1,1,$A30))</f>
        <v>-62.482900000000001</v>
      </c>
      <c r="AF30" cm="1">
        <f t="array" aca="1" ref="AF30" ca="1">INDIRECT(ADDRESS(AF$1,AF$2,1,1,$A30))</f>
        <v>-36.461300000000001</v>
      </c>
      <c r="AG30" cm="1">
        <f t="array" aca="1" ref="AG30" ca="1">INDIRECT(ADDRESS(AG$1,AG$2,1,1,$A30))</f>
        <v>7.6700000000000004E-2</v>
      </c>
      <c r="AH30" cm="1">
        <f t="array" aca="1" ref="AH30" ca="1">INDIRECT(ADDRESS(AH$1,AH$2,1,1,$A30))</f>
        <v>61.441800000000001</v>
      </c>
      <c r="AI30" cm="1">
        <f t="array" aca="1" ref="AI30" ca="1">INDIRECT(ADDRESS(AI$1,AI$2,1,1,$A30))</f>
        <v>-37.466000000000001</v>
      </c>
      <c r="AJ30" cm="1">
        <f t="array" aca="1" ref="AJ30" ca="1">INDIRECT(ADDRESS(AJ$1,AJ$2,1,1,$A30))</f>
        <v>7.0699999999999999E-2</v>
      </c>
      <c r="AK30" s="15" cm="1">
        <f t="array" aca="1" ref="AK30" ca="1">INDIRECT(ADDRESS(AK$1,AK$2,1,1,$A30))</f>
        <v>72.880499999999998</v>
      </c>
      <c r="AL30" s="15" cm="1">
        <f t="array" aca="1" ref="AL30" ca="1">INDIRECT(ADDRESS(AL$1,AL$2,1,1,$A30))</f>
        <v>73.712699999999998</v>
      </c>
      <c r="AM30" s="15" cm="1">
        <f t="array" aca="1" ref="AM30" ca="1">INDIRECT(ADDRESS(AM$1,AM$2,1,1,$A30))</f>
        <v>72.343299999999999</v>
      </c>
      <c r="AN30" s="15" cm="1">
        <f t="array" aca="1" ref="AN30" ca="1">INDIRECT(ADDRESS(AN$1,AN$2,1,1,$A30))</f>
        <v>71.963899999999995</v>
      </c>
      <c r="AO30" s="15" cm="1">
        <f t="array" aca="1" ref="AO30" ca="1">INDIRECT(ADDRESS(AO$1,AO$2,1,1,$A30))</f>
        <v>125.9355</v>
      </c>
      <c r="AP30" s="15" cm="1">
        <f t="array" aca="1" ref="AP30" ca="1">INDIRECT(ADDRESS(AP$1,AP$2,1,1,$A30))</f>
        <v>145.2208</v>
      </c>
      <c r="AQ30" s="15" cm="1">
        <f t="array" aca="1" ref="AQ30" ca="1">INDIRECT(ADDRESS(AQ$1,AQ$2,1,1,$A30))</f>
        <v>74.988399999999999</v>
      </c>
      <c r="AR30" s="15" cm="1">
        <f t="array" aca="1" ref="AR30" ca="1">INDIRECT(ADDRESS(AR$1,AR$2,1,1,$A30))</f>
        <v>73.982799999999997</v>
      </c>
      <c r="AS30" s="15" cm="1">
        <f t="array" aca="1" ref="AS30" ca="1">INDIRECT(ADDRESS(AS$1,AS$2,1,1,$A30))</f>
        <v>145.67310000000001</v>
      </c>
      <c r="AT30" s="15" cm="1">
        <f t="array" aca="1" ref="AT30" ca="1">INDIRECT(ADDRESS(AT$1,AT$2,1,1,$A30))</f>
        <v>123.92870000000001</v>
      </c>
      <c r="AV30" s="15">
        <f t="shared" ca="1" si="0"/>
        <v>-2.8086451195008522E-5</v>
      </c>
      <c r="AW30" s="15">
        <f t="shared" ca="1" si="1"/>
        <v>-1.3648935762944348E-5</v>
      </c>
      <c r="AX30" s="15">
        <f t="shared" ca="1" si="2"/>
        <v>5.5166843665688248E-5</v>
      </c>
      <c r="AY30" s="15">
        <f t="shared" ca="1" si="3"/>
        <v>1.3628223214823265E-5</v>
      </c>
      <c r="AZ30" s="15">
        <f t="shared" ca="1" si="4"/>
        <v>-1.6262292490409891E-7</v>
      </c>
      <c r="BA30" s="15">
        <f t="shared" ca="1" si="5"/>
        <v>-6.1751850239488704E-5</v>
      </c>
      <c r="BB30" s="15">
        <f t="shared" ca="1" si="6"/>
        <v>-3.4567005073427026E-5</v>
      </c>
      <c r="BC30" s="15">
        <f t="shared" ca="1" si="7"/>
        <v>-4.8979611491972719E-5</v>
      </c>
      <c r="BD30" s="15">
        <f t="shared" ca="1" si="8"/>
        <v>-4.9931275924564034E-5</v>
      </c>
      <c r="BE30" s="15">
        <f t="shared" ca="1" si="9"/>
        <v>-7.2801880023121157E-5</v>
      </c>
      <c r="BG30" s="15" cm="1">
        <f t="array" aca="1" ref="BG30" ca="1">INDIRECT(ADDRESS(BG$1,BG$2,1,1,$A30))</f>
        <v>3.5000000000000001E-3</v>
      </c>
      <c r="BH30" s="15" cm="1">
        <f t="array" aca="1" ref="BH30" ca="1">INDIRECT(ADDRESS(BH$1,BH$2,1,1,$A30))</f>
        <v>7.4000000000000003E-3</v>
      </c>
      <c r="BI30" s="15" cm="1">
        <f t="array" aca="1" ref="BI30" ca="1">INDIRECT(ADDRESS(BI$1,BI$2,1,1,$A30))</f>
        <v>5.1000000000000004E-3</v>
      </c>
      <c r="BJ30" s="15" cm="1">
        <f t="array" aca="1" ref="BJ30" ca="1">INDIRECT(ADDRESS(BJ$1,BJ$2,1,1,$A30))</f>
        <v>5.8999999999999999E-3</v>
      </c>
      <c r="BK30" s="15" cm="1">
        <f t="array" aca="1" ref="BK30" ca="1">INDIRECT(ADDRESS(BK$1,BK$2,1,1,$A30))</f>
        <v>6.0000000000000001E-3</v>
      </c>
      <c r="BN30" s="32"/>
    </row>
    <row r="31" spans="1:66" x14ac:dyDescent="0.25">
      <c r="A31" t="s">
        <v>70</v>
      </c>
      <c r="B31" t="str" cm="1">
        <f t="array" aca="1" ref="B31" ca="1">LEFT(INDIRECT(ADDRESS(B$1,B$2,1,1,$A31)),FIND("-",INDIRECT(ADDRESS(B$1,B$2,1,1,$A31)))-1)</f>
        <v>P509</v>
      </c>
      <c r="C31" t="str" cm="1">
        <f t="array" aca="1" ref="C31" ca="1">RIGHT(INDIRECT(ADDRESS(B$1,B$2,1,1,$A31)),LEN(INDIRECT(ADDRESS(B$1,B$2,1,1,$A31)))-FIND("-",INDIRECT(ADDRESS(B$1,B$2,1,1,$A31))))</f>
        <v>south</v>
      </c>
      <c r="D31" s="10" cm="1">
        <f t="array" aca="1" ref="D31" ca="1">DATE(MID(INDIRECT(ADDRESS(D$1,D$2,1,1,$A31)),1,4),MID(INDIRECT(ADDRESS(D$1,D$2,1,1,$A31)),5,2),MID(INDIRECT(ADDRESS(D$1,D$2,1,1,$A31)),7,2))+TIME(MID(INDIRECT(ADDRESS(D$1,D$2,1,1,$A31)),10,2),MID(INDIRECT(ADDRESS(D$1,D$2,1,1,$A31)),12,2),0)</f>
        <v>44260.506249999999</v>
      </c>
      <c r="E31" cm="1">
        <f t="array" aca="1" ref="E31" ca="1">INDIRECT(ADDRESS(E$1,E$2,1,1,$A31))</f>
        <v>0</v>
      </c>
      <c r="F31" s="11" cm="1">
        <f t="array" aca="1" ref="F31" ca="1">VALUE(SUBSTITUTE(INDIRECT(ADDRESS(F$1,F$2,1,1,$A31)),"┬░C",""))</f>
        <v>18.899999999999999</v>
      </c>
      <c r="G31" s="12" cm="1">
        <f t="array" aca="1" ref="G31" ca="1">INDIRECT(ADDRESS(G$1,G$2,1,1,$A31))</f>
        <v>25.401</v>
      </c>
      <c r="H31" cm="1">
        <f t="array" aca="1" ref="H31" ca="1">INDIRECT(ADDRESS(H$1,H$2,1,1,$A31))</f>
        <v>25.4026</v>
      </c>
      <c r="I31" cm="1">
        <f t="array" aca="1" ref="I31" ca="1">INDIRECT(ADDRESS(I$1,I$2,1,1,$A31))</f>
        <v>25.403600000000001</v>
      </c>
      <c r="J31" cm="1">
        <f t="array" aca="1" ref="J31" ca="1">INDIRECT(ADDRESS(J$1,J$2,1,1,$A31))</f>
        <v>25.404900000000001</v>
      </c>
      <c r="K31" s="13" cm="1">
        <f t="array" aca="1" ref="K31" ca="1">INDIRECT(ADDRESS(K$1,K$2,1,1,$A31))</f>
        <v>25.403400000000001</v>
      </c>
      <c r="L31" s="14" cm="1">
        <f t="array" aca="1" ref="L31" ca="1">SQRT(SUMSQ(Y31:AA31-V31:X31))</f>
        <v>72.87956928220693</v>
      </c>
      <c r="M31" s="15" cm="1">
        <f t="array" aca="1" ref="M31" ca="1">SQRT(SUMSQ(AB31:AD31-V31:X31))</f>
        <v>73.711408280740372</v>
      </c>
      <c r="N31" s="15" cm="1">
        <f t="array" aca="1" ref="N31" ca="1">SQRT(SUMSQ(AE31:AG31-V31:X31))</f>
        <v>72.343124481459881</v>
      </c>
      <c r="O31" s="15" cm="1">
        <f t="array" aca="1" ref="O31" ca="1">SQRT(SUMSQ(AH31:AJ31-V31:X31))</f>
        <v>71.964754183558497</v>
      </c>
      <c r="P31" s="15" cm="1">
        <f t="array" aca="1" ref="P31" ca="1">SQRT(SUMSQ(AB31:AD31-Y31:AA31))</f>
        <v>125.93310015262071</v>
      </c>
      <c r="Q31" s="15" cm="1">
        <f t="array" aca="1" ref="Q31" ca="1">SQRT(SUMSQ(AE31:AG31-Y31:AA31))</f>
        <v>145.21979605804438</v>
      </c>
      <c r="R31" s="15" cm="1">
        <f t="array" aca="1" ref="R31" ca="1">SQRT(SUMSQ(AH31:AJ31-Y31:AA31))</f>
        <v>74.989719162962601</v>
      </c>
      <c r="S31" s="15" cm="1">
        <f t="array" aca="1" ref="S31" ca="1">SQRT(SUMSQ(AE31:AG31-AB31:AD31))</f>
        <v>73.985151385193518</v>
      </c>
      <c r="T31" s="15" cm="1">
        <f t="array" aca="1" ref="T31" ca="1">SQRT(SUMSQ(AH31:AJ31-AB31:AD31))</f>
        <v>145.67270451656341</v>
      </c>
      <c r="U31" s="16" cm="1">
        <f t="array" aca="1" ref="U31" ca="1">SQRT(SUMSQ(AH31:AJ31-AE31:AG31))</f>
        <v>123.92726474323558</v>
      </c>
      <c r="V31" cm="1">
        <f t="array" aca="1" ref="V31" ca="1">INDIRECT(ADDRESS(V$1,V$2,1,1,$A31))</f>
        <v>0</v>
      </c>
      <c r="W31" cm="1">
        <f t="array" aca="1" ref="W31" ca="1">INDIRECT(ADDRESS(W$1,W$2,1,1,$A31))</f>
        <v>0</v>
      </c>
      <c r="X31" cm="1">
        <f t="array" aca="1" ref="X31" ca="1">INDIRECT(ADDRESS(X$1,X$2,1,1,$A31))</f>
        <v>0</v>
      </c>
      <c r="Y31" cm="1">
        <f t="array" aca="1" ref="Y31" ca="1">INDIRECT(ADDRESS(Y$1,Y$2,1,1,$A31))</f>
        <v>62.482399999999998</v>
      </c>
      <c r="Z31" cm="1">
        <f t="array" aca="1" ref="Z31" ca="1">INDIRECT(ADDRESS(Z$1,Z$2,1,1,$A31))</f>
        <v>37.515000000000001</v>
      </c>
      <c r="AA31" cm="1">
        <f t="array" aca="1" ref="AA31" ca="1">INDIRECT(ADDRESS(AA$1,AA$2,1,1,$A31))</f>
        <v>7.8E-2</v>
      </c>
      <c r="AB31" cm="1">
        <f t="array" aca="1" ref="AB31" ca="1">INDIRECT(ADDRESS(AB$1,AB$2,1,1,$A31))</f>
        <v>-63.450699999999998</v>
      </c>
      <c r="AC31" cm="1">
        <f t="array" aca="1" ref="AC31" ca="1">INDIRECT(ADDRESS(AC$1,AC$2,1,1,$A31))</f>
        <v>37.515000000000001</v>
      </c>
      <c r="AD31" cm="1">
        <f t="array" aca="1" ref="AD31" ca="1">INDIRECT(ADDRESS(AD$1,AD$2,1,1,$A31))</f>
        <v>7.1800000000000003E-2</v>
      </c>
      <c r="AE31" cm="1">
        <f t="array" aca="1" ref="AE31" ca="1">INDIRECT(ADDRESS(AE$1,AE$2,1,1,$A31))</f>
        <v>-62.481299999999997</v>
      </c>
      <c r="AF31" cm="1">
        <f t="array" aca="1" ref="AF31" ca="1">INDIRECT(ADDRESS(AF$1,AF$2,1,1,$A31))</f>
        <v>-36.463799999999999</v>
      </c>
      <c r="AG31" cm="1">
        <f t="array" aca="1" ref="AG31" ca="1">INDIRECT(ADDRESS(AG$1,AG$2,1,1,$A31))</f>
        <v>7.8100000000000003E-2</v>
      </c>
      <c r="AH31" cm="1">
        <f t="array" aca="1" ref="AH31" ca="1">INDIRECT(ADDRESS(AH$1,AH$2,1,1,$A31))</f>
        <v>61.441899999999997</v>
      </c>
      <c r="AI31" cm="1">
        <f t="array" aca="1" ref="AI31" ca="1">INDIRECT(ADDRESS(AI$1,AI$2,1,1,$A31))</f>
        <v>-37.467500000000001</v>
      </c>
      <c r="AJ31" cm="1">
        <f t="array" aca="1" ref="AJ31" ca="1">INDIRECT(ADDRESS(AJ$1,AJ$2,1,1,$A31))</f>
        <v>7.22E-2</v>
      </c>
      <c r="AK31" s="15" cm="1">
        <f t="array" aca="1" ref="AK31" ca="1">INDIRECT(ADDRESS(AK$1,AK$2,1,1,$A31))</f>
        <v>72.879499999999993</v>
      </c>
      <c r="AL31" s="15" cm="1">
        <f t="array" aca="1" ref="AL31" ca="1">INDIRECT(ADDRESS(AL$1,AL$2,1,1,$A31))</f>
        <v>73.711399999999998</v>
      </c>
      <c r="AM31" s="15" cm="1">
        <f t="array" aca="1" ref="AM31" ca="1">INDIRECT(ADDRESS(AM$1,AM$2,1,1,$A31))</f>
        <v>72.343100000000007</v>
      </c>
      <c r="AN31" s="15" cm="1">
        <f t="array" aca="1" ref="AN31" ca="1">INDIRECT(ADDRESS(AN$1,AN$2,1,1,$A31))</f>
        <v>71.964699999999993</v>
      </c>
      <c r="AO31" s="15" cm="1">
        <f t="array" aca="1" ref="AO31" ca="1">INDIRECT(ADDRESS(AO$1,AO$2,1,1,$A31))</f>
        <v>125.9331</v>
      </c>
      <c r="AP31" s="15" cm="1">
        <f t="array" aca="1" ref="AP31" ca="1">INDIRECT(ADDRESS(AP$1,AP$2,1,1,$A31))</f>
        <v>145.21979999999999</v>
      </c>
      <c r="AQ31" s="15" cm="1">
        <f t="array" aca="1" ref="AQ31" ca="1">INDIRECT(ADDRESS(AQ$1,AQ$2,1,1,$A31))</f>
        <v>74.989699999999999</v>
      </c>
      <c r="AR31" s="15" cm="1">
        <f t="array" aca="1" ref="AR31" ca="1">INDIRECT(ADDRESS(AR$1,AR$2,1,1,$A31))</f>
        <v>73.985200000000006</v>
      </c>
      <c r="AS31" s="15" cm="1">
        <f t="array" aca="1" ref="AS31" ca="1">INDIRECT(ADDRESS(AS$1,AS$2,1,1,$A31))</f>
        <v>145.67269999999999</v>
      </c>
      <c r="AT31" s="15" cm="1">
        <f t="array" aca="1" ref="AT31" ca="1">INDIRECT(ADDRESS(AT$1,AT$2,1,1,$A31))</f>
        <v>123.9272</v>
      </c>
      <c r="AV31" s="15">
        <f t="shared" ca="1" si="0"/>
        <v>-6.9282206936804869E-5</v>
      </c>
      <c r="AW31" s="15">
        <f t="shared" ca="1" si="1"/>
        <v>-8.2807403742890529E-6</v>
      </c>
      <c r="AX31" s="15">
        <f t="shared" ca="1" si="2"/>
        <v>-2.448145987443695E-5</v>
      </c>
      <c r="AY31" s="15">
        <f t="shared" ca="1" si="3"/>
        <v>-5.4183558503950735E-5</v>
      </c>
      <c r="AZ31" s="15">
        <f t="shared" ca="1" si="4"/>
        <v>-1.5262071428878698E-7</v>
      </c>
      <c r="BA31" s="15">
        <f t="shared" ca="1" si="5"/>
        <v>3.9419556117081811E-6</v>
      </c>
      <c r="BB31" s="15">
        <f t="shared" ca="1" si="6"/>
        <v>-1.9162962601626532E-5</v>
      </c>
      <c r="BC31" s="15">
        <f t="shared" ca="1" si="7"/>
        <v>4.8614806487989881E-5</v>
      </c>
      <c r="BD31" s="15">
        <f t="shared" ca="1" si="8"/>
        <v>-4.5165634219301865E-6</v>
      </c>
      <c r="BE31" s="15">
        <f t="shared" ca="1" si="9"/>
        <v>-6.4743235583364367E-5</v>
      </c>
      <c r="BG31" s="15" cm="1">
        <f t="array" aca="1" ref="BG31" ca="1">INDIRECT(ADDRESS(BG$1,BG$2,1,1,$A31))</f>
        <v>1.03E-2</v>
      </c>
      <c r="BH31" s="15" cm="1">
        <f t="array" aca="1" ref="BH31" ca="1">INDIRECT(ADDRESS(BH$1,BH$2,1,1,$A31))</f>
        <v>6.1999999999999998E-3</v>
      </c>
      <c r="BI31" s="15" cm="1">
        <f t="array" aca="1" ref="BI31" ca="1">INDIRECT(ADDRESS(BI$1,BI$2,1,1,$A31))</f>
        <v>8.6999999999999994E-3</v>
      </c>
      <c r="BJ31" s="15" cm="1">
        <f t="array" aca="1" ref="BJ31" ca="1">INDIRECT(ADDRESS(BJ$1,BJ$2,1,1,$A31))</f>
        <v>4.3E-3</v>
      </c>
      <c r="BK31" s="15" cm="1">
        <f t="array" aca="1" ref="BK31" ca="1">INDIRECT(ADDRESS(BK$1,BK$2,1,1,$A31))</f>
        <v>5.8999999999999999E-3</v>
      </c>
      <c r="BN31" s="32"/>
    </row>
    <row r="32" spans="1:66" x14ac:dyDescent="0.25">
      <c r="A32" t="s">
        <v>73</v>
      </c>
      <c r="B32" t="str" cm="1">
        <f t="array" aca="1" ref="B32" ca="1">LEFT(INDIRECT(ADDRESS(B$1,B$2,1,1,$A32)),FIND("-",INDIRECT(ADDRESS(B$1,B$2,1,1,$A32)))-1)</f>
        <v>P509</v>
      </c>
      <c r="C32" t="str" cm="1">
        <f t="array" aca="1" ref="C32" ca="1">RIGHT(INDIRECT(ADDRESS(B$1,B$2,1,1,$A32)),LEN(INDIRECT(ADDRESS(B$1,B$2,1,1,$A32)))-FIND("-",INDIRECT(ADDRESS(B$1,B$2,1,1,$A32))))</f>
        <v>south</v>
      </c>
      <c r="D32" s="10" cm="1">
        <f t="array" aca="1" ref="D32" ca="1">DATE(MID(INDIRECT(ADDRESS(D$1,D$2,1,1,$A32)),1,4),MID(INDIRECT(ADDRESS(D$1,D$2,1,1,$A32)),5,2),MID(INDIRECT(ADDRESS(D$1,D$2,1,1,$A32)),7,2))+TIME(MID(INDIRECT(ADDRESS(D$1,D$2,1,1,$A32)),10,2),MID(INDIRECT(ADDRESS(D$1,D$2,1,1,$A32)),12,2),0)</f>
        <v>44260.509027777778</v>
      </c>
      <c r="E32" cm="1">
        <f t="array" aca="1" ref="E32" ca="1">INDIRECT(ADDRESS(E$1,E$2,1,1,$A32))</f>
        <v>0</v>
      </c>
      <c r="F32" s="11" cm="1">
        <f t="array" aca="1" ref="F32" ca="1">VALUE(SUBSTITUTE(INDIRECT(ADDRESS(F$1,F$2,1,1,$A32)),"┬░C",""))</f>
        <v>18.899999999999999</v>
      </c>
      <c r="G32" s="12" cm="1">
        <f t="array" aca="1" ref="G32" ca="1">INDIRECT(ADDRESS(G$1,G$2,1,1,$A32))</f>
        <v>25.400400000000001</v>
      </c>
      <c r="H32" cm="1">
        <f t="array" aca="1" ref="H32" ca="1">INDIRECT(ADDRESS(H$1,H$2,1,1,$A32))</f>
        <v>25.402899999999999</v>
      </c>
      <c r="I32" cm="1">
        <f t="array" aca="1" ref="I32" ca="1">INDIRECT(ADDRESS(I$1,I$2,1,1,$A32))</f>
        <v>25.403700000000001</v>
      </c>
      <c r="J32" cm="1">
        <f t="array" aca="1" ref="J32" ca="1">INDIRECT(ADDRESS(J$1,J$2,1,1,$A32))</f>
        <v>25.405000000000001</v>
      </c>
      <c r="K32" s="13" cm="1">
        <f t="array" aca="1" ref="K32" ca="1">INDIRECT(ADDRESS(K$1,K$2,1,1,$A32))</f>
        <v>25.402999999999999</v>
      </c>
      <c r="L32" s="14" cm="1">
        <f t="array" aca="1" ref="L32" ca="1">SQRT(SUMSQ(Y32:AA32-V32:X32))</f>
        <v>72.879020057970038</v>
      </c>
      <c r="M32" s="15" cm="1">
        <f t="array" aca="1" ref="M32" ca="1">SQRT(SUMSQ(AB32:AD32-V32:X32))</f>
        <v>73.711798473853563</v>
      </c>
      <c r="N32" s="15" cm="1">
        <f t="array" aca="1" ref="N32" ca="1">SQRT(SUMSQ(AE32:AG32-V32:X32))</f>
        <v>72.34247583411836</v>
      </c>
      <c r="O32" s="15" cm="1">
        <f t="array" aca="1" ref="O32" ca="1">SQRT(SUMSQ(AH32:AJ32-V32:X32))</f>
        <v>71.963890844645135</v>
      </c>
      <c r="P32" s="15" cm="1">
        <f t="array" aca="1" ref="P32" ca="1">SQRT(SUMSQ(AB32:AD32-Y32:AA32))</f>
        <v>125.93220018359085</v>
      </c>
      <c r="Q32" s="15" cm="1">
        <f t="array" aca="1" ref="Q32" ca="1">SQRT(SUMSQ(AE32:AG32-Y32:AA32))</f>
        <v>145.2185913398832</v>
      </c>
      <c r="R32" s="15" cm="1">
        <f t="array" aca="1" ref="R32" ca="1">SQRT(SUMSQ(AH32:AJ32-Y32:AA32))</f>
        <v>74.989310919023666</v>
      </c>
      <c r="S32" s="15" cm="1">
        <f t="array" aca="1" ref="S32" ca="1">SQRT(SUMSQ(AE32:AG32-AB32:AD32))</f>
        <v>73.985157991721564</v>
      </c>
      <c r="T32" s="15" cm="1">
        <f t="array" aca="1" ref="T32" ca="1">SQRT(SUMSQ(AH32:AJ32-AB32:AD32))</f>
        <v>145.67224141870682</v>
      </c>
      <c r="U32" s="16" cm="1">
        <f t="array" aca="1" ref="U32" ca="1">SQRT(SUMSQ(AH32:AJ32-AE32:AG32))</f>
        <v>123.92646155527075</v>
      </c>
      <c r="V32" cm="1">
        <f t="array" aca="1" ref="V32" ca="1">INDIRECT(ADDRESS(V$1,V$2,1,1,$A32))</f>
        <v>0</v>
      </c>
      <c r="W32" cm="1">
        <f t="array" aca="1" ref="W32" ca="1">INDIRECT(ADDRESS(W$1,W$2,1,1,$A32))</f>
        <v>0</v>
      </c>
      <c r="X32" cm="1">
        <f t="array" aca="1" ref="X32" ca="1">INDIRECT(ADDRESS(X$1,X$2,1,1,$A32))</f>
        <v>0</v>
      </c>
      <c r="Y32" cm="1">
        <f t="array" aca="1" ref="Y32" ca="1">INDIRECT(ADDRESS(Y$1,Y$2,1,1,$A32))</f>
        <v>62.481400000000001</v>
      </c>
      <c r="Z32" cm="1">
        <f t="array" aca="1" ref="Z32" ca="1">INDIRECT(ADDRESS(Z$1,Z$2,1,1,$A32))</f>
        <v>37.515599999999999</v>
      </c>
      <c r="AA32" cm="1">
        <f t="array" aca="1" ref="AA32" ca="1">INDIRECT(ADDRESS(AA$1,AA$2,1,1,$A32))</f>
        <v>7.7299999999999994E-2</v>
      </c>
      <c r="AB32" cm="1">
        <f t="array" aca="1" ref="AB32" ca="1">INDIRECT(ADDRESS(AB$1,AB$2,1,1,$A32))</f>
        <v>-63.450800000000001</v>
      </c>
      <c r="AC32" cm="1">
        <f t="array" aca="1" ref="AC32" ca="1">INDIRECT(ADDRESS(AC$1,AC$2,1,1,$A32))</f>
        <v>37.515599999999999</v>
      </c>
      <c r="AD32" cm="1">
        <f t="array" aca="1" ref="AD32" ca="1">INDIRECT(ADDRESS(AD$1,AD$2,1,1,$A32))</f>
        <v>7.0499999999999993E-2</v>
      </c>
      <c r="AE32" cm="1">
        <f t="array" aca="1" ref="AE32" ca="1">INDIRECT(ADDRESS(AE$1,AE$2,1,1,$A32))</f>
        <v>-62.480899999999998</v>
      </c>
      <c r="AF32" cm="1">
        <f t="array" aca="1" ref="AF32" ca="1">INDIRECT(ADDRESS(AF$1,AF$2,1,1,$A32))</f>
        <v>-36.463200000000001</v>
      </c>
      <c r="AG32" cm="1">
        <f t="array" aca="1" ref="AG32" ca="1">INDIRECT(ADDRESS(AG$1,AG$2,1,1,$A32))</f>
        <v>7.7399999999999997E-2</v>
      </c>
      <c r="AH32" cm="1">
        <f t="array" aca="1" ref="AH32" ca="1">INDIRECT(ADDRESS(AH$1,AH$2,1,1,$A32))</f>
        <v>61.441499999999998</v>
      </c>
      <c r="AI32" cm="1">
        <f t="array" aca="1" ref="AI32" ca="1">INDIRECT(ADDRESS(AI$1,AI$2,1,1,$A32))</f>
        <v>-37.466500000000003</v>
      </c>
      <c r="AJ32" cm="1">
        <f t="array" aca="1" ref="AJ32" ca="1">INDIRECT(ADDRESS(AJ$1,AJ$2,1,1,$A32))</f>
        <v>7.0999999999999994E-2</v>
      </c>
      <c r="AK32" s="15" cm="1">
        <f t="array" aca="1" ref="AK32" ca="1">INDIRECT(ADDRESS(AK$1,AK$2,1,1,$A32))</f>
        <v>72.879000000000005</v>
      </c>
      <c r="AL32" s="15" cm="1">
        <f t="array" aca="1" ref="AL32" ca="1">INDIRECT(ADDRESS(AL$1,AL$2,1,1,$A32))</f>
        <v>73.711799999999997</v>
      </c>
      <c r="AM32" s="15" cm="1">
        <f t="array" aca="1" ref="AM32" ca="1">INDIRECT(ADDRESS(AM$1,AM$2,1,1,$A32))</f>
        <v>72.342500000000001</v>
      </c>
      <c r="AN32" s="15" cm="1">
        <f t="array" aca="1" ref="AN32" ca="1">INDIRECT(ADDRESS(AN$1,AN$2,1,1,$A32))</f>
        <v>71.963899999999995</v>
      </c>
      <c r="AO32" s="15" cm="1">
        <f t="array" aca="1" ref="AO32" ca="1">INDIRECT(ADDRESS(AO$1,AO$2,1,1,$A32))</f>
        <v>125.93219999999999</v>
      </c>
      <c r="AP32" s="15" cm="1">
        <f t="array" aca="1" ref="AP32" ca="1">INDIRECT(ADDRESS(AP$1,AP$2,1,1,$A32))</f>
        <v>145.21860000000001</v>
      </c>
      <c r="AQ32" s="15" cm="1">
        <f t="array" aca="1" ref="AQ32" ca="1">INDIRECT(ADDRESS(AQ$1,AQ$2,1,1,$A32))</f>
        <v>74.9893</v>
      </c>
      <c r="AR32" s="15" cm="1">
        <f t="array" aca="1" ref="AR32" ca="1">INDIRECT(ADDRESS(AR$1,AR$2,1,1,$A32))</f>
        <v>73.985200000000006</v>
      </c>
      <c r="AS32" s="15" cm="1">
        <f t="array" aca="1" ref="AS32" ca="1">INDIRECT(ADDRESS(AS$1,AS$2,1,1,$A32))</f>
        <v>145.67230000000001</v>
      </c>
      <c r="AT32" s="15" cm="1">
        <f t="array" aca="1" ref="AT32" ca="1">INDIRECT(ADDRESS(AT$1,AT$2,1,1,$A32))</f>
        <v>123.9265</v>
      </c>
      <c r="AV32" s="15">
        <f t="shared" ca="1" si="0"/>
        <v>-2.0057970033349193E-5</v>
      </c>
      <c r="AW32" s="15">
        <f t="shared" ca="1" si="1"/>
        <v>1.5261464341165265E-6</v>
      </c>
      <c r="AX32" s="15">
        <f t="shared" ca="1" si="2"/>
        <v>2.4165881640669795E-5</v>
      </c>
      <c r="AY32" s="15">
        <f t="shared" ca="1" si="3"/>
        <v>9.1553548600131762E-6</v>
      </c>
      <c r="AZ32" s="15">
        <f t="shared" ca="1" si="4"/>
        <v>-1.8359085629526817E-7</v>
      </c>
      <c r="BA32" s="15">
        <f t="shared" ca="1" si="5"/>
        <v>8.6601168050037813E-6</v>
      </c>
      <c r="BB32" s="15">
        <f t="shared" ca="1" si="6"/>
        <v>-1.0919023665678651E-5</v>
      </c>
      <c r="BC32" s="15">
        <f t="shared" ca="1" si="7"/>
        <v>4.2008278441585389E-5</v>
      </c>
      <c r="BD32" s="15">
        <f t="shared" ca="1" si="8"/>
        <v>5.8581293188808559E-5</v>
      </c>
      <c r="BE32" s="15">
        <f t="shared" ca="1" si="9"/>
        <v>3.8444729256070787E-5</v>
      </c>
      <c r="BG32" s="15" cm="1">
        <f t="array" aca="1" ref="BG32" ca="1">INDIRECT(ADDRESS(BG$1,BG$2,1,1,$A32))</f>
        <v>9.1000000000000004E-3</v>
      </c>
      <c r="BH32" s="15" cm="1">
        <f t="array" aca="1" ref="BH32" ca="1">INDIRECT(ADDRESS(BH$1,BH$2,1,1,$A32))</f>
        <v>5.7999999999999996E-3</v>
      </c>
      <c r="BI32" s="15" cm="1">
        <f t="array" aca="1" ref="BI32" ca="1">INDIRECT(ADDRESS(BI$1,BI$2,1,1,$A32))</f>
        <v>4.8999999999999998E-3</v>
      </c>
      <c r="BJ32" s="15" cm="1">
        <f t="array" aca="1" ref="BJ32" ca="1">INDIRECT(ADDRESS(BJ$1,BJ$2,1,1,$A32))</f>
        <v>8.2000000000000007E-3</v>
      </c>
      <c r="BK32" s="15" cm="1">
        <f t="array" aca="1" ref="BK32" ca="1">INDIRECT(ADDRESS(BK$1,BK$2,1,1,$A32))</f>
        <v>6.6E-3</v>
      </c>
      <c r="BN32" s="32"/>
    </row>
    <row r="33" spans="1:66" x14ac:dyDescent="0.25">
      <c r="A33" t="s">
        <v>76</v>
      </c>
      <c r="B33" t="str" cm="1">
        <f t="array" aca="1" ref="B33" ca="1">LEFT(INDIRECT(ADDRESS(B$1,B$2,1,1,$A33)),FIND("-",INDIRECT(ADDRESS(B$1,B$2,1,1,$A33)))-1)</f>
        <v>P509</v>
      </c>
      <c r="C33" t="str" cm="1">
        <f t="array" aca="1" ref="C33" ca="1">RIGHT(INDIRECT(ADDRESS(B$1,B$2,1,1,$A33)),LEN(INDIRECT(ADDRESS(B$1,B$2,1,1,$A33)))-FIND("-",INDIRECT(ADDRESS(B$1,B$2,1,1,$A33))))</f>
        <v>south</v>
      </c>
      <c r="D33" s="10" cm="1">
        <f t="array" aca="1" ref="D33" ca="1">DATE(MID(INDIRECT(ADDRESS(D$1,D$2,1,1,$A33)),1,4),MID(INDIRECT(ADDRESS(D$1,D$2,1,1,$A33)),5,2),MID(INDIRECT(ADDRESS(D$1,D$2,1,1,$A33)),7,2))+TIME(MID(INDIRECT(ADDRESS(D$1,D$2,1,1,$A33)),10,2),MID(INDIRECT(ADDRESS(D$1,D$2,1,1,$A33)),12,2),0)</f>
        <v>44260.511111111111</v>
      </c>
      <c r="E33" cm="1">
        <f t="array" aca="1" ref="E33" ca="1">INDIRECT(ADDRESS(E$1,E$2,1,1,$A33))</f>
        <v>0</v>
      </c>
      <c r="F33" s="11" cm="1">
        <f t="array" aca="1" ref="F33" ca="1">VALUE(SUBSTITUTE(INDIRECT(ADDRESS(F$1,F$2,1,1,$A33)),"┬░C",""))</f>
        <v>18.899999999999999</v>
      </c>
      <c r="G33" s="12" cm="1">
        <f t="array" aca="1" ref="G33" ca="1">INDIRECT(ADDRESS(G$1,G$2,1,1,$A33))</f>
        <v>25.400200000000002</v>
      </c>
      <c r="H33" cm="1">
        <f t="array" aca="1" ref="H33" ca="1">INDIRECT(ADDRESS(H$1,H$2,1,1,$A33))</f>
        <v>25.4025</v>
      </c>
      <c r="I33" cm="1">
        <f t="array" aca="1" ref="I33" ca="1">INDIRECT(ADDRESS(I$1,I$2,1,1,$A33))</f>
        <v>25.4039</v>
      </c>
      <c r="J33" cm="1">
        <f t="array" aca="1" ref="J33" ca="1">INDIRECT(ADDRESS(J$1,J$2,1,1,$A33))</f>
        <v>25.405000000000001</v>
      </c>
      <c r="K33" s="13" cm="1">
        <f t="array" aca="1" ref="K33" ca="1">INDIRECT(ADDRESS(K$1,K$2,1,1,$A33))</f>
        <v>25.403099999999998</v>
      </c>
      <c r="L33" s="14" cm="1">
        <f t="array" aca="1" ref="L33" ca="1">SQRT(SUMSQ(Y33:AA33-V33:X33))</f>
        <v>72.879654164176713</v>
      </c>
      <c r="M33" s="15" cm="1">
        <f t="array" aca="1" ref="M33" ca="1">SQRT(SUMSQ(AB33:AD33-V33:X33))</f>
        <v>73.711407313454544</v>
      </c>
      <c r="N33" s="15" cm="1">
        <f t="array" aca="1" ref="N33" ca="1">SQRT(SUMSQ(AE33:AG33-V33:X33))</f>
        <v>72.341885590990785</v>
      </c>
      <c r="O33" s="15" cm="1">
        <f t="array" aca="1" ref="O33" ca="1">SQRT(SUMSQ(AH33:AJ33-V33:X33))</f>
        <v>71.964801067535788</v>
      </c>
      <c r="P33" s="15" cm="1">
        <f t="array" aca="1" ref="P33" ca="1">SQRT(SUMSQ(AB33:AD33-Y33:AA33))</f>
        <v>125.93320016262589</v>
      </c>
      <c r="Q33" s="15" cm="1">
        <f t="array" aca="1" ref="Q33" ca="1">SQRT(SUMSQ(AE33:AG33-Y33:AA33))</f>
        <v>145.21864572199399</v>
      </c>
      <c r="R33" s="15" cm="1">
        <f t="array" aca="1" ref="R33" ca="1">SQRT(SUMSQ(AH33:AJ33-Y33:AA33))</f>
        <v>74.989316442410654</v>
      </c>
      <c r="S33" s="15" cm="1">
        <f t="array" aca="1" ref="S33" ca="1">SQRT(SUMSQ(AE33:AG33-AB33:AD33))</f>
        <v>73.984767169803263</v>
      </c>
      <c r="T33" s="15" cm="1">
        <f t="array" aca="1" ref="T33" ca="1">SQRT(SUMSQ(AH33:AJ33-AB33:AD33))</f>
        <v>145.67275582956478</v>
      </c>
      <c r="U33" s="16" cm="1">
        <f t="array" aca="1" ref="U33" ca="1">SQRT(SUMSQ(AH33:AJ33-AE33:AG33))</f>
        <v>123.92636478243845</v>
      </c>
      <c r="V33" cm="1">
        <f t="array" aca="1" ref="V33" ca="1">INDIRECT(ADDRESS(V$1,V$2,1,1,$A33))</f>
        <v>0</v>
      </c>
      <c r="W33" cm="1">
        <f t="array" aca="1" ref="W33" ca="1">INDIRECT(ADDRESS(W$1,W$2,1,1,$A33))</f>
        <v>0</v>
      </c>
      <c r="X33" cm="1">
        <f t="array" aca="1" ref="X33" ca="1">INDIRECT(ADDRESS(X$1,X$2,1,1,$A33))</f>
        <v>0</v>
      </c>
      <c r="Y33" cm="1">
        <f t="array" aca="1" ref="Y33" ca="1">INDIRECT(ADDRESS(Y$1,Y$2,1,1,$A33))</f>
        <v>62.482500000000002</v>
      </c>
      <c r="Z33" cm="1">
        <f t="array" aca="1" ref="Z33" ca="1">INDIRECT(ADDRESS(Z$1,Z$2,1,1,$A33))</f>
        <v>37.515000000000001</v>
      </c>
      <c r="AA33" cm="1">
        <f t="array" aca="1" ref="AA33" ca="1">INDIRECT(ADDRESS(AA$1,AA$2,1,1,$A33))</f>
        <v>7.7200000000000005E-2</v>
      </c>
      <c r="AB33" cm="1">
        <f t="array" aca="1" ref="AB33" ca="1">INDIRECT(ADDRESS(AB$1,AB$2,1,1,$A33))</f>
        <v>-63.450699999999998</v>
      </c>
      <c r="AC33" cm="1">
        <f t="array" aca="1" ref="AC33" ca="1">INDIRECT(ADDRESS(AC$1,AC$2,1,1,$A33))</f>
        <v>37.515000000000001</v>
      </c>
      <c r="AD33" cm="1">
        <f t="array" aca="1" ref="AD33" ca="1">INDIRECT(ADDRESS(AD$1,AD$2,1,1,$A33))</f>
        <v>7.0800000000000002E-2</v>
      </c>
      <c r="AE33" cm="1">
        <f t="array" aca="1" ref="AE33" ca="1">INDIRECT(ADDRESS(AE$1,AE$2,1,1,$A33))</f>
        <v>-62.4801</v>
      </c>
      <c r="AF33" cm="1">
        <f t="array" aca="1" ref="AF33" ca="1">INDIRECT(ADDRESS(AF$1,AF$2,1,1,$A33))</f>
        <v>-36.4634</v>
      </c>
      <c r="AG33" cm="1">
        <f t="array" aca="1" ref="AG33" ca="1">INDIRECT(ADDRESS(AG$1,AG$2,1,1,$A33))</f>
        <v>7.7299999999999994E-2</v>
      </c>
      <c r="AH33" cm="1">
        <f t="array" aca="1" ref="AH33" ca="1">INDIRECT(ADDRESS(AH$1,AH$2,1,1,$A33))</f>
        <v>61.4422</v>
      </c>
      <c r="AI33" cm="1">
        <f t="array" aca="1" ref="AI33" ca="1">INDIRECT(ADDRESS(AI$1,AI$2,1,1,$A33))</f>
        <v>-37.467100000000002</v>
      </c>
      <c r="AJ33" cm="1">
        <f t="array" aca="1" ref="AJ33" ca="1">INDIRECT(ADDRESS(AJ$1,AJ$2,1,1,$A33))</f>
        <v>7.1199999999999999E-2</v>
      </c>
      <c r="AK33" s="15" cm="1">
        <f t="array" aca="1" ref="AK33" ca="1">INDIRECT(ADDRESS(AK$1,AK$2,1,1,$A33))</f>
        <v>72.879599999999996</v>
      </c>
      <c r="AL33" s="15" cm="1">
        <f t="array" aca="1" ref="AL33" ca="1">INDIRECT(ADDRESS(AL$1,AL$2,1,1,$A33))</f>
        <v>73.711399999999998</v>
      </c>
      <c r="AM33" s="15" cm="1">
        <f t="array" aca="1" ref="AM33" ca="1">INDIRECT(ADDRESS(AM$1,AM$2,1,1,$A33))</f>
        <v>72.341899999999995</v>
      </c>
      <c r="AN33" s="15" cm="1">
        <f t="array" aca="1" ref="AN33" ca="1">INDIRECT(ADDRESS(AN$1,AN$2,1,1,$A33))</f>
        <v>71.964799999999997</v>
      </c>
      <c r="AO33" s="15" cm="1">
        <f t="array" aca="1" ref="AO33" ca="1">INDIRECT(ADDRESS(AO$1,AO$2,1,1,$A33))</f>
        <v>125.9332</v>
      </c>
      <c r="AP33" s="15" cm="1">
        <f t="array" aca="1" ref="AP33" ca="1">INDIRECT(ADDRESS(AP$1,AP$2,1,1,$A33))</f>
        <v>145.21860000000001</v>
      </c>
      <c r="AQ33" s="15" cm="1">
        <f t="array" aca="1" ref="AQ33" ca="1">INDIRECT(ADDRESS(AQ$1,AQ$2,1,1,$A33))</f>
        <v>74.9893</v>
      </c>
      <c r="AR33" s="15" cm="1">
        <f t="array" aca="1" ref="AR33" ca="1">INDIRECT(ADDRESS(AR$1,AR$2,1,1,$A33))</f>
        <v>73.984800000000007</v>
      </c>
      <c r="AS33" s="15" cm="1">
        <f t="array" aca="1" ref="AS33" ca="1">INDIRECT(ADDRESS(AS$1,AS$2,1,1,$A33))</f>
        <v>145.6728</v>
      </c>
      <c r="AT33" s="15" cm="1">
        <f t="array" aca="1" ref="AT33" ca="1">INDIRECT(ADDRESS(AT$1,AT$2,1,1,$A33))</f>
        <v>123.9264</v>
      </c>
      <c r="AV33" s="15">
        <f t="shared" ca="1" si="0"/>
        <v>-5.4164176717108603E-5</v>
      </c>
      <c r="AW33" s="15">
        <f t="shared" ca="1" si="1"/>
        <v>-7.3134545459652145E-6</v>
      </c>
      <c r="AX33" s="15">
        <f t="shared" ca="1" si="2"/>
        <v>1.4409009210680779E-5</v>
      </c>
      <c r="AY33" s="15">
        <f t="shared" ca="1" si="3"/>
        <v>-1.0675357913214611E-6</v>
      </c>
      <c r="AZ33" s="15">
        <f t="shared" ca="1" si="4"/>
        <v>-1.6262589497273439E-7</v>
      </c>
      <c r="BA33" s="15">
        <f t="shared" ca="1" si="5"/>
        <v>-4.5721993984670917E-5</v>
      </c>
      <c r="BB33" s="15">
        <f t="shared" ca="1" si="6"/>
        <v>-1.644241065434926E-5</v>
      </c>
      <c r="BC33" s="15">
        <f t="shared" ca="1" si="7"/>
        <v>3.2830196744271234E-5</v>
      </c>
      <c r="BD33" s="15">
        <f t="shared" ca="1" si="8"/>
        <v>4.4170435216983606E-5</v>
      </c>
      <c r="BE33" s="15">
        <f t="shared" ca="1" si="9"/>
        <v>3.5217561546119214E-5</v>
      </c>
      <c r="BG33" s="15" cm="1">
        <f t="array" aca="1" ref="BG33" ca="1">INDIRECT(ADDRESS(BG$1,BG$2,1,1,$A33))</f>
        <v>5.1000000000000004E-3</v>
      </c>
      <c r="BH33" s="15" cm="1">
        <f t="array" aca="1" ref="BH33" ca="1">INDIRECT(ADDRESS(BH$1,BH$2,1,1,$A33))</f>
        <v>4.3E-3</v>
      </c>
      <c r="BI33" s="15" cm="1">
        <f t="array" aca="1" ref="BI33" ca="1">INDIRECT(ADDRESS(BI$1,BI$2,1,1,$A33))</f>
        <v>7.4000000000000003E-3</v>
      </c>
      <c r="BJ33" s="15" cm="1">
        <f t="array" aca="1" ref="BJ33" ca="1">INDIRECT(ADDRESS(BJ$1,BJ$2,1,1,$A33))</f>
        <v>5.3E-3</v>
      </c>
      <c r="BK33" s="15" cm="1">
        <f t="array" aca="1" ref="BK33" ca="1">INDIRECT(ADDRESS(BK$1,BK$2,1,1,$A33))</f>
        <v>4.3E-3</v>
      </c>
      <c r="BN33" s="32"/>
    </row>
    <row r="34" spans="1:66" x14ac:dyDescent="0.25">
      <c r="A34" t="s">
        <v>79</v>
      </c>
      <c r="B34" t="str" cm="1">
        <f t="array" aca="1" ref="B34" ca="1">LEFT(INDIRECT(ADDRESS(B$1,B$2,1,1,$A34)),FIND("-",INDIRECT(ADDRESS(B$1,B$2,1,1,$A34)))-1)</f>
        <v>P509</v>
      </c>
      <c r="C34" t="str" cm="1">
        <f t="array" aca="1" ref="C34" ca="1">RIGHT(INDIRECT(ADDRESS(B$1,B$2,1,1,$A34)),LEN(INDIRECT(ADDRESS(B$1,B$2,1,1,$A34)))-FIND("-",INDIRECT(ADDRESS(B$1,B$2,1,1,$A34))))</f>
        <v>south</v>
      </c>
      <c r="D34" s="10" cm="1">
        <f t="array" aca="1" ref="D34" ca="1">DATE(MID(INDIRECT(ADDRESS(D$1,D$2,1,1,$A34)),1,4),MID(INDIRECT(ADDRESS(D$1,D$2,1,1,$A34)),5,2),MID(INDIRECT(ADDRESS(D$1,D$2,1,1,$A34)),7,2))+TIME(MID(INDIRECT(ADDRESS(D$1,D$2,1,1,$A34)),10,2),MID(INDIRECT(ADDRESS(D$1,D$2,1,1,$A34)),12,2),0)</f>
        <v>44260.513194444444</v>
      </c>
      <c r="E34" cm="1">
        <f t="array" aca="1" ref="E34" ca="1">INDIRECT(ADDRESS(E$1,E$2,1,1,$A34))</f>
        <v>0</v>
      </c>
      <c r="F34" s="11" cm="1">
        <f t="array" aca="1" ref="F34" ca="1">VALUE(SUBSTITUTE(INDIRECT(ADDRESS(F$1,F$2,1,1,$A34)),"┬░C",""))</f>
        <v>18.899999999999999</v>
      </c>
      <c r="G34" s="12" cm="1">
        <f t="array" aca="1" ref="G34" ca="1">INDIRECT(ADDRESS(G$1,G$2,1,1,$A34))</f>
        <v>25.399100000000001</v>
      </c>
      <c r="H34" cm="1">
        <f t="array" aca="1" ref="H34" ca="1">INDIRECT(ADDRESS(H$1,H$2,1,1,$A34))</f>
        <v>25.402999999999999</v>
      </c>
      <c r="I34" cm="1">
        <f t="array" aca="1" ref="I34" ca="1">INDIRECT(ADDRESS(I$1,I$2,1,1,$A34))</f>
        <v>25.403500000000001</v>
      </c>
      <c r="J34" cm="1">
        <f t="array" aca="1" ref="J34" ca="1">INDIRECT(ADDRESS(J$1,J$2,1,1,$A34))</f>
        <v>25.404699999999998</v>
      </c>
      <c r="K34" s="13" cm="1">
        <f t="array" aca="1" ref="K34" ca="1">INDIRECT(ADDRESS(K$1,K$2,1,1,$A34))</f>
        <v>25.403500000000001</v>
      </c>
      <c r="L34" s="14" cm="1">
        <f t="array" aca="1" ref="L34" ca="1">SQRT(SUMSQ(Y34:AA34-V34:X34))</f>
        <v>72.879773280108381</v>
      </c>
      <c r="M34" s="15" cm="1">
        <f t="array" aca="1" ref="M34" ca="1">SQRT(SUMSQ(AB34:AD34-V34:X34))</f>
        <v>73.71178190852531</v>
      </c>
      <c r="N34" s="15" cm="1">
        <f t="array" aca="1" ref="N34" ca="1">SQRT(SUMSQ(AE34:AG34-V34:X34))</f>
        <v>72.342006755549704</v>
      </c>
      <c r="O34" s="15" cm="1">
        <f t="array" aca="1" ref="O34" ca="1">SQRT(SUMSQ(AH34:AJ34-V34:X34))</f>
        <v>71.965126835989111</v>
      </c>
      <c r="P34" s="15" cm="1">
        <f t="array" aca="1" ref="P34" ca="1">SQRT(SUMSQ(AB34:AD34-Y34:AA34))</f>
        <v>125.93330017294869</v>
      </c>
      <c r="Q34" s="15" cm="1">
        <f t="array" aca="1" ref="Q34" ca="1">SQRT(SUMSQ(AE34:AG34-Y34:AA34))</f>
        <v>145.21888460176245</v>
      </c>
      <c r="R34" s="15" cm="1">
        <f t="array" aca="1" ref="R34" ca="1">SQRT(SUMSQ(AH34:AJ34-Y34:AA34))</f>
        <v>74.990012230163018</v>
      </c>
      <c r="S34" s="15" cm="1">
        <f t="array" aca="1" ref="S34" ca="1">SQRT(SUMSQ(AE34:AG34-AB34:AD34))</f>
        <v>73.985067152838354</v>
      </c>
      <c r="T34" s="15" cm="1">
        <f t="array" aca="1" ref="T34" ca="1">SQRT(SUMSQ(AH34:AJ34-AB34:AD34))</f>
        <v>145.67345908191373</v>
      </c>
      <c r="U34" s="16" cm="1">
        <f t="array" aca="1" ref="U34" ca="1">SQRT(SUMSQ(AH34:AJ34-AE34:AG34))</f>
        <v>123.9267680145819</v>
      </c>
      <c r="V34" cm="1">
        <f t="array" aca="1" ref="V34" ca="1">INDIRECT(ADDRESS(V$1,V$2,1,1,$A34))</f>
        <v>0</v>
      </c>
      <c r="W34" cm="1">
        <f t="array" aca="1" ref="W34" ca="1">INDIRECT(ADDRESS(W$1,W$2,1,1,$A34))</f>
        <v>0</v>
      </c>
      <c r="X34" cm="1">
        <f t="array" aca="1" ref="X34" ca="1">INDIRECT(ADDRESS(X$1,X$2,1,1,$A34))</f>
        <v>0</v>
      </c>
      <c r="Y34" cm="1">
        <f t="array" aca="1" ref="Y34" ca="1">INDIRECT(ADDRESS(Y$1,Y$2,1,1,$A34))</f>
        <v>62.482399999999998</v>
      </c>
      <c r="Z34" cm="1">
        <f t="array" aca="1" ref="Z34" ca="1">INDIRECT(ADDRESS(Z$1,Z$2,1,1,$A34))</f>
        <v>37.5154</v>
      </c>
      <c r="AA34" cm="1">
        <f t="array" aca="1" ref="AA34" ca="1">INDIRECT(ADDRESS(AA$1,AA$2,1,1,$A34))</f>
        <v>7.6200000000000004E-2</v>
      </c>
      <c r="AB34" cm="1">
        <f t="array" aca="1" ref="AB34" ca="1">INDIRECT(ADDRESS(AB$1,AB$2,1,1,$A34))</f>
        <v>-63.450899999999997</v>
      </c>
      <c r="AC34" cm="1">
        <f t="array" aca="1" ref="AC34" ca="1">INDIRECT(ADDRESS(AC$1,AC$2,1,1,$A34))</f>
        <v>37.5154</v>
      </c>
      <c r="AD34" cm="1">
        <f t="array" aca="1" ref="AD34" ca="1">INDIRECT(ADDRESS(AD$1,AD$2,1,1,$A34))</f>
        <v>6.9599999999999995E-2</v>
      </c>
      <c r="AE34" cm="1">
        <f t="array" aca="1" ref="AE34" ca="1">INDIRECT(ADDRESS(AE$1,AE$2,1,1,$A34))</f>
        <v>-62.4803</v>
      </c>
      <c r="AF34" cm="1">
        <f t="array" aca="1" ref="AF34" ca="1">INDIRECT(ADDRESS(AF$1,AF$2,1,1,$A34))</f>
        <v>-36.463299999999997</v>
      </c>
      <c r="AG34" cm="1">
        <f t="array" aca="1" ref="AG34" ca="1">INDIRECT(ADDRESS(AG$1,AG$2,1,1,$A34))</f>
        <v>7.6200000000000004E-2</v>
      </c>
      <c r="AH34" cm="1">
        <f t="array" aca="1" ref="AH34" ca="1">INDIRECT(ADDRESS(AH$1,AH$2,1,1,$A34))</f>
        <v>61.442399999999999</v>
      </c>
      <c r="AI34" cm="1">
        <f t="array" aca="1" ref="AI34" ca="1">INDIRECT(ADDRESS(AI$1,AI$2,1,1,$A34))</f>
        <v>-37.467399999999998</v>
      </c>
      <c r="AJ34" cm="1">
        <f t="array" aca="1" ref="AJ34" ca="1">INDIRECT(ADDRESS(AJ$1,AJ$2,1,1,$A34))</f>
        <v>7.0000000000000007E-2</v>
      </c>
      <c r="AK34" s="15" cm="1">
        <f t="array" aca="1" ref="AK34" ca="1">INDIRECT(ADDRESS(AK$1,AK$2,1,1,$A34))</f>
        <v>72.879800000000003</v>
      </c>
      <c r="AL34" s="15" cm="1">
        <f t="array" aca="1" ref="AL34" ca="1">INDIRECT(ADDRESS(AL$1,AL$2,1,1,$A34))</f>
        <v>73.711699999999993</v>
      </c>
      <c r="AM34" s="15" cm="1">
        <f t="array" aca="1" ref="AM34" ca="1">INDIRECT(ADDRESS(AM$1,AM$2,1,1,$A34))</f>
        <v>72.341999999999999</v>
      </c>
      <c r="AN34" s="15" cm="1">
        <f t="array" aca="1" ref="AN34" ca="1">INDIRECT(ADDRESS(AN$1,AN$2,1,1,$A34))</f>
        <v>71.965199999999996</v>
      </c>
      <c r="AO34" s="15" cm="1">
        <f t="array" aca="1" ref="AO34" ca="1">INDIRECT(ADDRESS(AO$1,AO$2,1,1,$A34))</f>
        <v>125.9333</v>
      </c>
      <c r="AP34" s="15" cm="1">
        <f t="array" aca="1" ref="AP34" ca="1">INDIRECT(ADDRESS(AP$1,AP$2,1,1,$A34))</f>
        <v>145.21889999999999</v>
      </c>
      <c r="AQ34" s="15" cm="1">
        <f t="array" aca="1" ref="AQ34" ca="1">INDIRECT(ADDRESS(AQ$1,AQ$2,1,1,$A34))</f>
        <v>74.989999999999995</v>
      </c>
      <c r="AR34" s="15" cm="1">
        <f t="array" aca="1" ref="AR34" ca="1">INDIRECT(ADDRESS(AR$1,AR$2,1,1,$A34))</f>
        <v>73.984999999999999</v>
      </c>
      <c r="AS34" s="15" cm="1">
        <f t="array" aca="1" ref="AS34" ca="1">INDIRECT(ADDRESS(AS$1,AS$2,1,1,$A34))</f>
        <v>145.67349999999999</v>
      </c>
      <c r="AT34" s="15" cm="1">
        <f t="array" aca="1" ref="AT34" ca="1">INDIRECT(ADDRESS(AT$1,AT$2,1,1,$A34))</f>
        <v>123.9269</v>
      </c>
      <c r="AV34" s="15">
        <f t="shared" ca="1" si="0"/>
        <v>2.6719891621951319E-5</v>
      </c>
      <c r="AW34" s="15">
        <f t="shared" ca="1" si="1"/>
        <v>-8.1908525316976011E-5</v>
      </c>
      <c r="AX34" s="15">
        <f t="shared" ca="1" si="2"/>
        <v>-6.755549705417252E-6</v>
      </c>
      <c r="AY34" s="15">
        <f t="shared" ca="1" si="3"/>
        <v>7.3164010885307107E-5</v>
      </c>
      <c r="AZ34" s="15">
        <f t="shared" ca="1" si="4"/>
        <v>-1.7294868825956655E-7</v>
      </c>
      <c r="BA34" s="15">
        <f t="shared" ca="1" si="5"/>
        <v>1.53982375366013E-5</v>
      </c>
      <c r="BB34" s="15">
        <f t="shared" ca="1" si="6"/>
        <v>-1.2230163022763918E-5</v>
      </c>
      <c r="BC34" s="15">
        <f t="shared" ca="1" si="7"/>
        <v>-6.7152838354900268E-5</v>
      </c>
      <c r="BD34" s="15">
        <f t="shared" ca="1" si="8"/>
        <v>4.0918086256169772E-5</v>
      </c>
      <c r="BE34" s="15">
        <f t="shared" ca="1" si="9"/>
        <v>1.3198541810766073E-4</v>
      </c>
      <c r="BG34" s="15" cm="1">
        <f t="array" aca="1" ref="BG34" ca="1">INDIRECT(ADDRESS(BG$1,BG$2,1,1,$A34))</f>
        <v>7.7999999999999996E-3</v>
      </c>
      <c r="BH34" s="15" cm="1">
        <f t="array" aca="1" ref="BH34" ca="1">INDIRECT(ADDRESS(BH$1,BH$2,1,1,$A34))</f>
        <v>6.3E-3</v>
      </c>
      <c r="BI34" s="15" cm="1">
        <f t="array" aca="1" ref="BI34" ca="1">INDIRECT(ADDRESS(BI$1,BI$2,1,1,$A34))</f>
        <v>7.1000000000000004E-3</v>
      </c>
      <c r="BJ34" s="15" cm="1">
        <f t="array" aca="1" ref="BJ34" ca="1">INDIRECT(ADDRESS(BJ$1,BJ$2,1,1,$A34))</f>
        <v>8.8000000000000005E-3</v>
      </c>
      <c r="BK34" s="15" cm="1">
        <f t="array" aca="1" ref="BK34" ca="1">INDIRECT(ADDRESS(BK$1,BK$2,1,1,$A34))</f>
        <v>6.3E-3</v>
      </c>
      <c r="BN34" s="32"/>
    </row>
    <row r="35" spans="1:66" x14ac:dyDescent="0.25">
      <c r="A35" t="s">
        <v>82</v>
      </c>
      <c r="B35" t="str" cm="1">
        <f t="array" aca="1" ref="B35" ca="1">LEFT(INDIRECT(ADDRESS(B$1,B$2,1,1,$A35)),FIND("-",INDIRECT(ADDRESS(B$1,B$2,1,1,$A35)))-1)</f>
        <v>P509</v>
      </c>
      <c r="C35" t="str" cm="1">
        <f t="array" aca="1" ref="C35" ca="1">RIGHT(INDIRECT(ADDRESS(B$1,B$2,1,1,$A35)),LEN(INDIRECT(ADDRESS(B$1,B$2,1,1,$A35)))-FIND("-",INDIRECT(ADDRESS(B$1,B$2,1,1,$A35))))</f>
        <v>south</v>
      </c>
      <c r="D35" s="10" cm="1">
        <f t="array" aca="1" ref="D35" ca="1">DATE(MID(INDIRECT(ADDRESS(D$1,D$2,1,1,$A35)),1,4),MID(INDIRECT(ADDRESS(D$1,D$2,1,1,$A35)),5,2),MID(INDIRECT(ADDRESS(D$1,D$2,1,1,$A35)),7,2))+TIME(MID(INDIRECT(ADDRESS(D$1,D$2,1,1,$A35)),10,2),MID(INDIRECT(ADDRESS(D$1,D$2,1,1,$A35)),12,2),0)</f>
        <v>44260.515972222223</v>
      </c>
      <c r="E35" cm="1">
        <f t="array" aca="1" ref="E35" ca="1">INDIRECT(ADDRESS(E$1,E$2,1,1,$A35))</f>
        <v>0</v>
      </c>
      <c r="F35" s="11" cm="1">
        <f t="array" aca="1" ref="F35" ca="1">VALUE(SUBSTITUTE(INDIRECT(ADDRESS(F$1,F$2,1,1,$A35)),"┬░C",""))</f>
        <v>19</v>
      </c>
      <c r="G35" s="12" cm="1">
        <f t="array" aca="1" ref="G35" ca="1">INDIRECT(ADDRESS(G$1,G$2,1,1,$A35))</f>
        <v>25.3994</v>
      </c>
      <c r="H35" cm="1">
        <f t="array" aca="1" ref="H35" ca="1">INDIRECT(ADDRESS(H$1,H$2,1,1,$A35))</f>
        <v>25.402999999999999</v>
      </c>
      <c r="I35" cm="1">
        <f t="array" aca="1" ref="I35" ca="1">INDIRECT(ADDRESS(I$1,I$2,1,1,$A35))</f>
        <v>25.403600000000001</v>
      </c>
      <c r="J35" cm="1">
        <f t="array" aca="1" ref="J35" ca="1">INDIRECT(ADDRESS(J$1,J$2,1,1,$A35))</f>
        <v>25.405000000000001</v>
      </c>
      <c r="K35" s="13" cm="1">
        <f t="array" aca="1" ref="K35" ca="1">INDIRECT(ADDRESS(K$1,K$2,1,1,$A35))</f>
        <v>25.402999999999999</v>
      </c>
      <c r="L35" s="14" cm="1">
        <f t="array" aca="1" ref="L35" ca="1">SQRT(SUMSQ(Y35:AA35-V35:X35))</f>
        <v>72.879790812680028</v>
      </c>
      <c r="M35" s="15" cm="1">
        <f t="array" aca="1" ref="M35" ca="1">SQRT(SUMSQ(AB35:AD35-V35:X35))</f>
        <v>73.711884171956967</v>
      </c>
      <c r="N35" s="15" cm="1">
        <f t="array" aca="1" ref="N35" ca="1">SQRT(SUMSQ(AE35:AG35-V35:X35))</f>
        <v>72.342014433246192</v>
      </c>
      <c r="O35" s="15" cm="1">
        <f t="array" aca="1" ref="O35" ca="1">SQRT(SUMSQ(AH35:AJ35-V35:X35))</f>
        <v>71.96498580115194</v>
      </c>
      <c r="P35" s="15" cm="1">
        <f t="array" aca="1" ref="P35" ca="1">SQRT(SUMSQ(AB35:AD35-Y35:AA35))</f>
        <v>125.93320016262589</v>
      </c>
      <c r="Q35" s="15" cm="1">
        <f t="array" aca="1" ref="Q35" ca="1">SQRT(SUMSQ(AE35:AG35-Y35:AA35))</f>
        <v>145.21891283507117</v>
      </c>
      <c r="R35" s="15" cm="1">
        <f t="array" aca="1" ref="R35" ca="1">SQRT(SUMSQ(AH35:AJ35-Y35:AA35))</f>
        <v>74.989608084453948</v>
      </c>
      <c r="S35" s="15" cm="1">
        <f t="array" aca="1" ref="S35" ca="1">SQRT(SUMSQ(AE35:AG35-AB35:AD35))</f>
        <v>73.985972306377107</v>
      </c>
      <c r="T35" s="15" cm="1">
        <f t="array" aca="1" ref="T35" ca="1">SQRT(SUMSQ(AH35:AJ35-AB35:AD35))</f>
        <v>145.67342466029964</v>
      </c>
      <c r="U35" s="16" cm="1">
        <f t="array" aca="1" ref="U35" ca="1">SQRT(SUMSQ(AH35:AJ35-AE35:AG35))</f>
        <v>123.92655748022698</v>
      </c>
      <c r="V35" cm="1">
        <f t="array" aca="1" ref="V35" ca="1">INDIRECT(ADDRESS(V$1,V$2,1,1,$A35))</f>
        <v>0</v>
      </c>
      <c r="W35" cm="1">
        <f t="array" aca="1" ref="W35" ca="1">INDIRECT(ADDRESS(W$1,W$2,1,1,$A35))</f>
        <v>0</v>
      </c>
      <c r="X35" cm="1">
        <f t="array" aca="1" ref="X35" ca="1">INDIRECT(ADDRESS(X$1,X$2,1,1,$A35))</f>
        <v>0</v>
      </c>
      <c r="Y35" cm="1">
        <f t="array" aca="1" ref="Y35" ca="1">INDIRECT(ADDRESS(Y$1,Y$2,1,1,$A35))</f>
        <v>62.482300000000002</v>
      </c>
      <c r="Z35" cm="1">
        <f t="array" aca="1" ref="Z35" ca="1">INDIRECT(ADDRESS(Z$1,Z$2,1,1,$A35))</f>
        <v>37.515599999999999</v>
      </c>
      <c r="AA35" cm="1">
        <f t="array" aca="1" ref="AA35" ca="1">INDIRECT(ADDRESS(AA$1,AA$2,1,1,$A35))</f>
        <v>7.6499999999999999E-2</v>
      </c>
      <c r="AB35" cm="1">
        <f t="array" aca="1" ref="AB35" ca="1">INDIRECT(ADDRESS(AB$1,AB$2,1,1,$A35))</f>
        <v>-63.450899999999997</v>
      </c>
      <c r="AC35" cm="1">
        <f t="array" aca="1" ref="AC35" ca="1">INDIRECT(ADDRESS(AC$1,AC$2,1,1,$A35))</f>
        <v>37.515599999999999</v>
      </c>
      <c r="AD35" cm="1">
        <f t="array" aca="1" ref="AD35" ca="1">INDIRECT(ADDRESS(AD$1,AD$2,1,1,$A35))</f>
        <v>7.0099999999999996E-2</v>
      </c>
      <c r="AE35" cm="1">
        <f t="array" aca="1" ref="AE35" ca="1">INDIRECT(ADDRESS(AE$1,AE$2,1,1,$A35))</f>
        <v>-62.479900000000001</v>
      </c>
      <c r="AF35" cm="1">
        <f t="array" aca="1" ref="AF35" ca="1">INDIRECT(ADDRESS(AF$1,AF$2,1,1,$A35))</f>
        <v>-36.463999999999999</v>
      </c>
      <c r="AG35" cm="1">
        <f t="array" aca="1" ref="AG35" ca="1">INDIRECT(ADDRESS(AG$1,AG$2,1,1,$A35))</f>
        <v>7.6499999999999999E-2</v>
      </c>
      <c r="AH35" cm="1">
        <f t="array" aca="1" ref="AH35" ca="1">INDIRECT(ADDRESS(AH$1,AH$2,1,1,$A35))</f>
        <v>61.442599999999999</v>
      </c>
      <c r="AI35" cm="1">
        <f t="array" aca="1" ref="AI35" ca="1">INDIRECT(ADDRESS(AI$1,AI$2,1,1,$A35))</f>
        <v>-37.466799999999999</v>
      </c>
      <c r="AJ35" cm="1">
        <f t="array" aca="1" ref="AJ35" ca="1">INDIRECT(ADDRESS(AJ$1,AJ$2,1,1,$A35))</f>
        <v>7.0599999999999996E-2</v>
      </c>
      <c r="AK35" s="15" cm="1">
        <f t="array" aca="1" ref="AK35" ca="1">INDIRECT(ADDRESS(AK$1,AK$2,1,1,$A35))</f>
        <v>72.879800000000003</v>
      </c>
      <c r="AL35" s="15" cm="1">
        <f t="array" aca="1" ref="AL35" ca="1">INDIRECT(ADDRESS(AL$1,AL$2,1,1,$A35))</f>
        <v>73.7119</v>
      </c>
      <c r="AM35" s="15" cm="1">
        <f t="array" aca="1" ref="AM35" ca="1">INDIRECT(ADDRESS(AM$1,AM$2,1,1,$A35))</f>
        <v>72.341999999999999</v>
      </c>
      <c r="AN35" s="15" cm="1">
        <f t="array" aca="1" ref="AN35" ca="1">INDIRECT(ADDRESS(AN$1,AN$2,1,1,$A35))</f>
        <v>71.965000000000003</v>
      </c>
      <c r="AO35" s="15" cm="1">
        <f t="array" aca="1" ref="AO35" ca="1">INDIRECT(ADDRESS(AO$1,AO$2,1,1,$A35))</f>
        <v>125.9332</v>
      </c>
      <c r="AP35" s="15" cm="1">
        <f t="array" aca="1" ref="AP35" ca="1">INDIRECT(ADDRESS(AP$1,AP$2,1,1,$A35))</f>
        <v>145.21889999999999</v>
      </c>
      <c r="AQ35" s="15" cm="1">
        <f t="array" aca="1" ref="AQ35" ca="1">INDIRECT(ADDRESS(AQ$1,AQ$2,1,1,$A35))</f>
        <v>74.989599999999996</v>
      </c>
      <c r="AR35" s="15" cm="1">
        <f t="array" aca="1" ref="AR35" ca="1">INDIRECT(ADDRESS(AR$1,AR$2,1,1,$A35))</f>
        <v>73.985900000000001</v>
      </c>
      <c r="AS35" s="15" cm="1">
        <f t="array" aca="1" ref="AS35" ca="1">INDIRECT(ADDRESS(AS$1,AS$2,1,1,$A35))</f>
        <v>145.67339999999999</v>
      </c>
      <c r="AT35" s="15" cm="1">
        <f t="array" aca="1" ref="AT35" ca="1">INDIRECT(ADDRESS(AT$1,AT$2,1,1,$A35))</f>
        <v>123.9265</v>
      </c>
      <c r="AV35" s="15">
        <f t="shared" ca="1" si="0"/>
        <v>9.1873199750125423E-6</v>
      </c>
      <c r="AW35" s="15">
        <f t="shared" ca="1" si="1"/>
        <v>1.5828043032684036E-5</v>
      </c>
      <c r="AX35" s="15">
        <f t="shared" ca="1" si="2"/>
        <v>-1.4433246192879778E-5</v>
      </c>
      <c r="AY35" s="15">
        <f t="shared" ca="1" si="3"/>
        <v>1.4198848063529113E-5</v>
      </c>
      <c r="AZ35" s="15">
        <f t="shared" ca="1" si="4"/>
        <v>-1.6262589497273439E-7</v>
      </c>
      <c r="BA35" s="15">
        <f t="shared" ca="1" si="5"/>
        <v>-1.2835071174777113E-5</v>
      </c>
      <c r="BB35" s="15">
        <f t="shared" ca="1" si="6"/>
        <v>-8.08445395250601E-6</v>
      </c>
      <c r="BC35" s="15">
        <f t="shared" ca="1" si="7"/>
        <v>-7.230637710620158E-5</v>
      </c>
      <c r="BD35" s="15">
        <f t="shared" ca="1" si="8"/>
        <v>-2.4660299658307849E-5</v>
      </c>
      <c r="BE35" s="15">
        <f t="shared" ca="1" si="9"/>
        <v>-5.7480226971051707E-5</v>
      </c>
      <c r="BG35" s="15" cm="1">
        <f t="array" aca="1" ref="BG35" ca="1">INDIRECT(ADDRESS(BG$1,BG$2,1,1,$A35))</f>
        <v>7.7000000000000002E-3</v>
      </c>
      <c r="BH35" s="15" cm="1">
        <f t="array" aca="1" ref="BH35" ca="1">INDIRECT(ADDRESS(BH$1,BH$2,1,1,$A35))</f>
        <v>7.0000000000000001E-3</v>
      </c>
      <c r="BI35" s="15" cm="1">
        <f t="array" aca="1" ref="BI35" ca="1">INDIRECT(ADDRESS(BI$1,BI$2,1,1,$A35))</f>
        <v>7.0000000000000001E-3</v>
      </c>
      <c r="BJ35" s="15" cm="1">
        <f t="array" aca="1" ref="BJ35" ca="1">INDIRECT(ADDRESS(BJ$1,BJ$2,1,1,$A35))</f>
        <v>9.4000000000000004E-3</v>
      </c>
      <c r="BK35" s="15" cm="1">
        <f t="array" aca="1" ref="BK35" ca="1">INDIRECT(ADDRESS(BK$1,BK$2,1,1,$A35))</f>
        <v>6.4000000000000003E-3</v>
      </c>
      <c r="BN35" s="32"/>
    </row>
    <row r="36" spans="1:66" x14ac:dyDescent="0.25">
      <c r="A36" t="s">
        <v>85</v>
      </c>
      <c r="B36" t="str" cm="1">
        <f t="array" aca="1" ref="B36" ca="1">LEFT(INDIRECT(ADDRESS(B$1,B$2,1,1,$A36)),FIND("-",INDIRECT(ADDRESS(B$1,B$2,1,1,$A36)))-1)</f>
        <v>P509</v>
      </c>
      <c r="C36" t="str" cm="1">
        <f t="array" aca="1" ref="C36" ca="1">RIGHT(INDIRECT(ADDRESS(B$1,B$2,1,1,$A36)),LEN(INDIRECT(ADDRESS(B$1,B$2,1,1,$A36)))-FIND("-",INDIRECT(ADDRESS(B$1,B$2,1,1,$A36))))</f>
        <v>south</v>
      </c>
      <c r="D36" s="10" cm="1">
        <f t="array" aca="1" ref="D36" ca="1">DATE(MID(INDIRECT(ADDRESS(D$1,D$2,1,1,$A36)),1,4),MID(INDIRECT(ADDRESS(D$1,D$2,1,1,$A36)),5,2),MID(INDIRECT(ADDRESS(D$1,D$2,1,1,$A36)),7,2))+TIME(MID(INDIRECT(ADDRESS(D$1,D$2,1,1,$A36)),10,2),MID(INDIRECT(ADDRESS(D$1,D$2,1,1,$A36)),12,2),0)</f>
        <v>44260.518055555556</v>
      </c>
      <c r="E36" cm="1">
        <f t="array" aca="1" ref="E36" ca="1">INDIRECT(ADDRESS(E$1,E$2,1,1,$A36))</f>
        <v>0</v>
      </c>
      <c r="F36" s="11" cm="1">
        <f t="array" aca="1" ref="F36" ca="1">VALUE(SUBSTITUTE(INDIRECT(ADDRESS(F$1,F$2,1,1,$A36)),"┬░C",""))</f>
        <v>19</v>
      </c>
      <c r="G36" s="12" cm="1">
        <f t="array" aca="1" ref="G36" ca="1">INDIRECT(ADDRESS(G$1,G$2,1,1,$A36))</f>
        <v>25.399699999999999</v>
      </c>
      <c r="H36" cm="1">
        <f t="array" aca="1" ref="H36" ca="1">INDIRECT(ADDRESS(H$1,H$2,1,1,$A36))</f>
        <v>25.402799999999999</v>
      </c>
      <c r="I36" cm="1">
        <f t="array" aca="1" ref="I36" ca="1">INDIRECT(ADDRESS(I$1,I$2,1,1,$A36))</f>
        <v>25.403400000000001</v>
      </c>
      <c r="J36" cm="1">
        <f t="array" aca="1" ref="J36" ca="1">INDIRECT(ADDRESS(J$1,J$2,1,1,$A36))</f>
        <v>25.404599999999999</v>
      </c>
      <c r="K36" s="13" cm="1">
        <f t="array" aca="1" ref="K36" ca="1">INDIRECT(ADDRESS(K$1,K$2,1,1,$A36))</f>
        <v>25.403500000000001</v>
      </c>
      <c r="L36" s="14" cm="1">
        <f t="array" aca="1" ref="L36" ca="1">SQRT(SUMSQ(Y36:AA36-V36:X36))</f>
        <v>72.880477069925931</v>
      </c>
      <c r="M36" s="15" cm="1">
        <f t="array" aca="1" ref="M36" ca="1">SQRT(SUMSQ(AB36:AD36-V36:X36))</f>
        <v>73.71222491758067</v>
      </c>
      <c r="N36" s="15" cm="1">
        <f t="array" aca="1" ref="N36" ca="1">SQRT(SUMSQ(AE36:AG36-V36:X36))</f>
        <v>72.341985867198858</v>
      </c>
      <c r="O36" s="15" cm="1">
        <f t="array" aca="1" ref="O36" ca="1">SQRT(SUMSQ(AH36:AJ36-V36:X36))</f>
        <v>71.964985899324674</v>
      </c>
      <c r="P36" s="15" cm="1">
        <f t="array" aca="1" ref="P36" ca="1">SQRT(SUMSQ(AB36:AD36-Y36:AA36))</f>
        <v>125.93380016262512</v>
      </c>
      <c r="Q36" s="15" cm="1">
        <f t="array" aca="1" ref="Q36" ca="1">SQRT(SUMSQ(AE36:AG36-Y36:AA36))</f>
        <v>145.21956613524915</v>
      </c>
      <c r="R36" s="15" cm="1">
        <f t="array" aca="1" ref="R36" ca="1">SQRT(SUMSQ(AH36:AJ36-Y36:AA36))</f>
        <v>74.990114978242303</v>
      </c>
      <c r="S36" s="15" cm="1">
        <f t="array" aca="1" ref="S36" ca="1">SQRT(SUMSQ(AE36:AG36-AB36:AD36))</f>
        <v>73.986070994140519</v>
      </c>
      <c r="T36" s="15" cm="1">
        <f t="array" aca="1" ref="T36" ca="1">SQRT(SUMSQ(AH36:AJ36-AB36:AD36))</f>
        <v>145.67376776046535</v>
      </c>
      <c r="U36" s="16" cm="1">
        <f t="array" aca="1" ref="U36" ca="1">SQRT(SUMSQ(AH36:AJ36-AE36:AG36))</f>
        <v>123.92676072075795</v>
      </c>
      <c r="V36" cm="1">
        <f t="array" aca="1" ref="V36" ca="1">INDIRECT(ADDRESS(V$1,V$2,1,1,$A36))</f>
        <v>0</v>
      </c>
      <c r="W36" cm="1">
        <f t="array" aca="1" ref="W36" ca="1">INDIRECT(ADDRESS(W$1,W$2,1,1,$A36))</f>
        <v>0</v>
      </c>
      <c r="X36" cm="1">
        <f t="array" aca="1" ref="X36" ca="1">INDIRECT(ADDRESS(X$1,X$2,1,1,$A36))</f>
        <v>0</v>
      </c>
      <c r="Y36" cm="1">
        <f t="array" aca="1" ref="Y36" ca="1">INDIRECT(ADDRESS(Y$1,Y$2,1,1,$A36))</f>
        <v>62.482799999999997</v>
      </c>
      <c r="Z36" cm="1">
        <f t="array" aca="1" ref="Z36" ca="1">INDIRECT(ADDRESS(Z$1,Z$2,1,1,$A36))</f>
        <v>37.516100000000002</v>
      </c>
      <c r="AA36" cm="1">
        <f t="array" aca="1" ref="AA36" ca="1">INDIRECT(ADDRESS(AA$1,AA$2,1,1,$A36))</f>
        <v>7.6700000000000004E-2</v>
      </c>
      <c r="AB36" cm="1">
        <f t="array" aca="1" ref="AB36" ca="1">INDIRECT(ADDRESS(AB$1,AB$2,1,1,$A36))</f>
        <v>-63.451000000000001</v>
      </c>
      <c r="AC36" cm="1">
        <f t="array" aca="1" ref="AC36" ca="1">INDIRECT(ADDRESS(AC$1,AC$2,1,1,$A36))</f>
        <v>37.516100000000002</v>
      </c>
      <c r="AD36" cm="1">
        <f t="array" aca="1" ref="AD36" ca="1">INDIRECT(ADDRESS(AD$1,AD$2,1,1,$A36))</f>
        <v>7.0300000000000001E-2</v>
      </c>
      <c r="AE36" cm="1">
        <f t="array" aca="1" ref="AE36" ca="1">INDIRECT(ADDRESS(AE$1,AE$2,1,1,$A36))</f>
        <v>-62.4801</v>
      </c>
      <c r="AF36" cm="1">
        <f t="array" aca="1" ref="AF36" ca="1">INDIRECT(ADDRESS(AF$1,AF$2,1,1,$A36))</f>
        <v>-36.4636</v>
      </c>
      <c r="AG36" cm="1">
        <f t="array" aca="1" ref="AG36" ca="1">INDIRECT(ADDRESS(AG$1,AG$2,1,1,$A36))</f>
        <v>7.6799999999999993E-2</v>
      </c>
      <c r="AH36" cm="1">
        <f t="array" aca="1" ref="AH36" ca="1">INDIRECT(ADDRESS(AH$1,AH$2,1,1,$A36))</f>
        <v>61.442599999999999</v>
      </c>
      <c r="AI36" cm="1">
        <f t="array" aca="1" ref="AI36" ca="1">INDIRECT(ADDRESS(AI$1,AI$2,1,1,$A36))</f>
        <v>-37.466799999999999</v>
      </c>
      <c r="AJ36" cm="1">
        <f t="array" aca="1" ref="AJ36" ca="1">INDIRECT(ADDRESS(AJ$1,AJ$2,1,1,$A36))</f>
        <v>7.0699999999999999E-2</v>
      </c>
      <c r="AK36" s="15" cm="1">
        <f t="array" aca="1" ref="AK36" ca="1">INDIRECT(ADDRESS(AK$1,AK$2,1,1,$A36))</f>
        <v>72.880499999999998</v>
      </c>
      <c r="AL36" s="15" cm="1">
        <f t="array" aca="1" ref="AL36" ca="1">INDIRECT(ADDRESS(AL$1,AL$2,1,1,$A36))</f>
        <v>73.712199999999996</v>
      </c>
      <c r="AM36" s="15" cm="1">
        <f t="array" aca="1" ref="AM36" ca="1">INDIRECT(ADDRESS(AM$1,AM$2,1,1,$A36))</f>
        <v>72.341999999999999</v>
      </c>
      <c r="AN36" s="15" cm="1">
        <f t="array" aca="1" ref="AN36" ca="1">INDIRECT(ADDRESS(AN$1,AN$2,1,1,$A36))</f>
        <v>71.9649</v>
      </c>
      <c r="AO36" s="15" cm="1">
        <f t="array" aca="1" ref="AO36" ca="1">INDIRECT(ADDRESS(AO$1,AO$2,1,1,$A36))</f>
        <v>125.93380000000001</v>
      </c>
      <c r="AP36" s="15" cm="1">
        <f t="array" aca="1" ref="AP36" ca="1">INDIRECT(ADDRESS(AP$1,AP$2,1,1,$A36))</f>
        <v>145.21960000000001</v>
      </c>
      <c r="AQ36" s="15" cm="1">
        <f t="array" aca="1" ref="AQ36" ca="1">INDIRECT(ADDRESS(AQ$1,AQ$2,1,1,$A36))</f>
        <v>74.990099999999998</v>
      </c>
      <c r="AR36" s="15" cm="1">
        <f t="array" aca="1" ref="AR36" ca="1">INDIRECT(ADDRESS(AR$1,AR$2,1,1,$A36))</f>
        <v>73.986199999999997</v>
      </c>
      <c r="AS36" s="15" cm="1">
        <f t="array" aca="1" ref="AS36" ca="1">INDIRECT(ADDRESS(AS$1,AS$2,1,1,$A36))</f>
        <v>145.6737</v>
      </c>
      <c r="AT36" s="15" cm="1">
        <f t="array" aca="1" ref="AT36" ca="1">INDIRECT(ADDRESS(AT$1,AT$2,1,1,$A36))</f>
        <v>123.9267</v>
      </c>
      <c r="AV36" s="15">
        <f t="shared" ca="1" si="0"/>
        <v>2.2930074067062378E-5</v>
      </c>
      <c r="AW36" s="15">
        <f t="shared" ca="1" si="1"/>
        <v>-2.4917580674355122E-5</v>
      </c>
      <c r="AX36" s="15">
        <f t="shared" ca="1" si="2"/>
        <v>1.4132801140931406E-5</v>
      </c>
      <c r="AY36" s="15">
        <f t="shared" ca="1" si="3"/>
        <v>-8.5899324673732735E-5</v>
      </c>
      <c r="AZ36" s="15">
        <f t="shared" ca="1" si="4"/>
        <v>-1.6262511337572505E-7</v>
      </c>
      <c r="BA36" s="15">
        <f t="shared" ca="1" si="5"/>
        <v>3.3864750861312132E-5</v>
      </c>
      <c r="BB36" s="15">
        <f t="shared" ca="1" si="6"/>
        <v>-1.4978242305119238E-5</v>
      </c>
      <c r="BC36" s="15">
        <f t="shared" ca="1" si="7"/>
        <v>1.2900585947761556E-4</v>
      </c>
      <c r="BD36" s="15">
        <f t="shared" ca="1" si="8"/>
        <v>-6.7760465356059285E-5</v>
      </c>
      <c r="BE36" s="15">
        <f t="shared" ca="1" si="9"/>
        <v>-6.0720757957710703E-5</v>
      </c>
      <c r="BG36" s="15" cm="1">
        <f t="array" aca="1" ref="BG36" ca="1">INDIRECT(ADDRESS(BG$1,BG$2,1,1,$A36))</f>
        <v>7.3000000000000001E-3</v>
      </c>
      <c r="BH36" s="15" cm="1">
        <f t="array" aca="1" ref="BH36" ca="1">INDIRECT(ADDRESS(BH$1,BH$2,1,1,$A36))</f>
        <v>5.7999999999999996E-3</v>
      </c>
      <c r="BI36" s="15" cm="1">
        <f t="array" aca="1" ref="BI36" ca="1">INDIRECT(ADDRESS(BI$1,BI$2,1,1,$A36))</f>
        <v>5.7000000000000002E-3</v>
      </c>
      <c r="BJ36" s="15" cm="1">
        <f t="array" aca="1" ref="BJ36" ca="1">INDIRECT(ADDRESS(BJ$1,BJ$2,1,1,$A36))</f>
        <v>7.0000000000000001E-3</v>
      </c>
      <c r="BK36" s="15" cm="1">
        <f t="array" aca="1" ref="BK36" ca="1">INDIRECT(ADDRESS(BK$1,BK$2,1,1,$A36))</f>
        <v>5.1999999999999998E-3</v>
      </c>
      <c r="BN36" s="32"/>
    </row>
    <row r="37" spans="1:66" x14ac:dyDescent="0.25">
      <c r="A37" t="s">
        <v>52</v>
      </c>
      <c r="B37" t="str" cm="1">
        <f t="array" aca="1" ref="B37" ca="1">LEFT(INDIRECT(ADDRESS(B$1,B$2,1,1,$A37)),FIND("-",INDIRECT(ADDRESS(B$1,B$2,1,1,$A37)))-1)</f>
        <v>P509</v>
      </c>
      <c r="C37" t="str" cm="1">
        <f t="array" aca="1" ref="C37" ca="1">RIGHT(INDIRECT(ADDRESS(B$1,B$2,1,1,$A37)),LEN(INDIRECT(ADDRESS(B$1,B$2,1,1,$A37)))-FIND("-",INDIRECT(ADDRESS(B$1,B$2,1,1,$A37))))</f>
        <v>east</v>
      </c>
      <c r="D37" s="10" cm="1">
        <f t="array" aca="1" ref="D37" ca="1">DATE(MID(INDIRECT(ADDRESS(D$1,D$2,1,1,$A37)),1,4),MID(INDIRECT(ADDRESS(D$1,D$2,1,1,$A37)),5,2),MID(INDIRECT(ADDRESS(D$1,D$2,1,1,$A37)),7,2))+TIME(MID(INDIRECT(ADDRESS(D$1,D$2,1,1,$A37)),10,2),MID(INDIRECT(ADDRESS(D$1,D$2,1,1,$A37)),12,2),0)</f>
        <v>44260.60833333333</v>
      </c>
      <c r="E37" cm="1">
        <f t="array" aca="1" ref="E37" ca="1">INDIRECT(ADDRESS(E$1,E$2,1,1,$A37))</f>
        <v>0</v>
      </c>
      <c r="F37" s="11" cm="1">
        <f t="array" aca="1" ref="F37" ca="1">VALUE(SUBSTITUTE(INDIRECT(ADDRESS(F$1,F$2,1,1,$A37)),"┬░C",""))</f>
        <v>19.5</v>
      </c>
      <c r="G37" s="12" cm="1">
        <f t="array" aca="1" ref="G37" ca="1">INDIRECT(ADDRESS(G$1,G$2,1,1,$A37))</f>
        <v>25.399799999999999</v>
      </c>
      <c r="H37" cm="1">
        <f t="array" aca="1" ref="H37" ca="1">INDIRECT(ADDRESS(H$1,H$2,1,1,$A37))</f>
        <v>25.403300000000002</v>
      </c>
      <c r="I37" cm="1">
        <f t="array" aca="1" ref="I37" ca="1">INDIRECT(ADDRESS(I$1,I$2,1,1,$A37))</f>
        <v>25.403199999999998</v>
      </c>
      <c r="J37" cm="1">
        <f t="array" aca="1" ref="J37" ca="1">INDIRECT(ADDRESS(J$1,J$2,1,1,$A37))</f>
        <v>25.404</v>
      </c>
      <c r="K37" s="13" cm="1">
        <f t="array" aca="1" ref="K37" ca="1">INDIRECT(ADDRESS(K$1,K$2,1,1,$A37))</f>
        <v>25.402899999999999</v>
      </c>
      <c r="L37" s="14" cm="1">
        <f t="array" aca="1" ref="L37" ca="1">SQRT(SUMSQ(Y37:AA37-V37:X37))</f>
        <v>72.880871761869045</v>
      </c>
      <c r="M37" s="15" cm="1">
        <f t="array" aca="1" ref="M37" ca="1">SQRT(SUMSQ(AB37:AD37-V37:X37))</f>
        <v>73.712111565807149</v>
      </c>
      <c r="N37" s="15" cm="1">
        <f t="array" aca="1" ref="N37" ca="1">SQRT(SUMSQ(AE37:AG37-V37:X37))</f>
        <v>72.342309943075492</v>
      </c>
      <c r="O37" s="15" cm="1">
        <f t="array" aca="1" ref="O37" ca="1">SQRT(SUMSQ(AH37:AJ37-V37:X37))</f>
        <v>71.964295013846964</v>
      </c>
      <c r="P37" s="15" cm="1">
        <f t="array" aca="1" ref="P37" ca="1">SQRT(SUMSQ(AB37:AD37-Y37:AA37))</f>
        <v>125.9352001729461</v>
      </c>
      <c r="Q37" s="15" cm="1">
        <f t="array" aca="1" ref="Q37" ca="1">SQRT(SUMSQ(AE37:AG37-Y37:AA37))</f>
        <v>145.22027521372488</v>
      </c>
      <c r="R37" s="15" cm="1">
        <f t="array" aca="1" ref="R37" ca="1">SQRT(SUMSQ(AH37:AJ37-Y37:AA37))</f>
        <v>74.988231824533628</v>
      </c>
      <c r="S37" s="15" cm="1">
        <f t="array" aca="1" ref="S37" ca="1">SQRT(SUMSQ(AE37:AG37-AB37:AD37))</f>
        <v>73.983055532128432</v>
      </c>
      <c r="T37" s="15" cm="1">
        <f t="array" aca="1" ref="T37" ca="1">SQRT(SUMSQ(AH37:AJ37-AB37:AD37))</f>
        <v>145.67296125118759</v>
      </c>
      <c r="U37" s="16" cm="1">
        <f t="array" aca="1" ref="U37" ca="1">SQRT(SUMSQ(AH37:AJ37-AE37:AG37))</f>
        <v>123.92816958924229</v>
      </c>
      <c r="V37" cm="1">
        <f t="array" aca="1" ref="V37" ca="1">INDIRECT(ADDRESS(V$1,V$2,1,1,$A37))</f>
        <v>0</v>
      </c>
      <c r="W37" cm="1">
        <f t="array" aca="1" ref="W37" ca="1">INDIRECT(ADDRESS(W$1,W$2,1,1,$A37))</f>
        <v>0</v>
      </c>
      <c r="X37" cm="1">
        <f t="array" aca="1" ref="X37" ca="1">INDIRECT(ADDRESS(X$1,X$2,1,1,$A37))</f>
        <v>0</v>
      </c>
      <c r="Y37" cm="1">
        <f t="array" aca="1" ref="Y37" ca="1">INDIRECT(ADDRESS(Y$1,Y$2,1,1,$A37))</f>
        <v>62.483800000000002</v>
      </c>
      <c r="Z37" cm="1">
        <f t="array" aca="1" ref="Z37" ca="1">INDIRECT(ADDRESS(Z$1,Z$2,1,1,$A37))</f>
        <v>37.5152</v>
      </c>
      <c r="AA37" cm="1">
        <f t="array" aca="1" ref="AA37" ca="1">INDIRECT(ADDRESS(AA$1,AA$2,1,1,$A37))</f>
        <v>7.7299999999999994E-2</v>
      </c>
      <c r="AB37" cm="1">
        <f t="array" aca="1" ref="AB37" ca="1">INDIRECT(ADDRESS(AB$1,AB$2,1,1,$A37))</f>
        <v>-63.4514</v>
      </c>
      <c r="AC37" cm="1">
        <f t="array" aca="1" ref="AC37" ca="1">INDIRECT(ADDRESS(AC$1,AC$2,1,1,$A37))</f>
        <v>37.5152</v>
      </c>
      <c r="AD37" cm="1">
        <f t="array" aca="1" ref="AD37" ca="1">INDIRECT(ADDRESS(AD$1,AD$2,1,1,$A37))</f>
        <v>7.0699999999999999E-2</v>
      </c>
      <c r="AE37" cm="1">
        <f t="array" aca="1" ref="AE37" ca="1">INDIRECT(ADDRESS(AE$1,AE$2,1,1,$A37))</f>
        <v>-62.481699999999996</v>
      </c>
      <c r="AF37" cm="1">
        <f t="array" aca="1" ref="AF37" ca="1">INDIRECT(ADDRESS(AF$1,AF$2,1,1,$A37))</f>
        <v>-36.461500000000001</v>
      </c>
      <c r="AG37" cm="1">
        <f t="array" aca="1" ref="AG37" ca="1">INDIRECT(ADDRESS(AG$1,AG$2,1,1,$A37))</f>
        <v>7.7399999999999997E-2</v>
      </c>
      <c r="AH37" cm="1">
        <f t="array" aca="1" ref="AH37" ca="1">INDIRECT(ADDRESS(AH$1,AH$2,1,1,$A37))</f>
        <v>61.442399999999999</v>
      </c>
      <c r="AI37" cm="1">
        <f t="array" aca="1" ref="AI37" ca="1">INDIRECT(ADDRESS(AI$1,AI$2,1,1,$A37))</f>
        <v>-37.465800000000002</v>
      </c>
      <c r="AJ37" cm="1">
        <f t="array" aca="1" ref="AJ37" ca="1">INDIRECT(ADDRESS(AJ$1,AJ$2,1,1,$A37))</f>
        <v>7.1199999999999999E-2</v>
      </c>
      <c r="AK37" s="15" cm="1">
        <f t="array" aca="1" ref="AK37" ca="1">INDIRECT(ADDRESS(AK$1,AK$2,1,1,$A37))</f>
        <v>72.880899999999997</v>
      </c>
      <c r="AL37" s="15" cm="1">
        <f t="array" aca="1" ref="AL37" ca="1">INDIRECT(ADDRESS(AL$1,AL$2,1,1,$A37))</f>
        <v>73.712100000000007</v>
      </c>
      <c r="AM37" s="15" cm="1">
        <f t="array" aca="1" ref="AM37" ca="1">INDIRECT(ADDRESS(AM$1,AM$2,1,1,$A37))</f>
        <v>72.342299999999994</v>
      </c>
      <c r="AN37" s="15" cm="1">
        <f t="array" aca="1" ref="AN37" ca="1">INDIRECT(ADDRESS(AN$1,AN$2,1,1,$A37))</f>
        <v>71.964299999999994</v>
      </c>
      <c r="AO37" s="15" cm="1">
        <f t="array" aca="1" ref="AO37" ca="1">INDIRECT(ADDRESS(AO$1,AO$2,1,1,$A37))</f>
        <v>125.9353</v>
      </c>
      <c r="AP37" s="15" cm="1">
        <f t="array" aca="1" ref="AP37" ca="1">INDIRECT(ADDRESS(AP$1,AP$2,1,1,$A37))</f>
        <v>145.22030000000001</v>
      </c>
      <c r="AQ37" s="15" cm="1">
        <f t="array" aca="1" ref="AQ37" ca="1">INDIRECT(ADDRESS(AQ$1,AQ$2,1,1,$A37))</f>
        <v>74.988200000000006</v>
      </c>
      <c r="AR37" s="15" cm="1">
        <f t="array" aca="1" ref="AR37" ca="1">INDIRECT(ADDRESS(AR$1,AR$2,1,1,$A37))</f>
        <v>73.983099999999993</v>
      </c>
      <c r="AS37" s="15" cm="1">
        <f t="array" aca="1" ref="AS37" ca="1">INDIRECT(ADDRESS(AS$1,AS$2,1,1,$A37))</f>
        <v>145.673</v>
      </c>
      <c r="AT37" s="15" cm="1">
        <f t="array" aca="1" ref="AT37" ca="1">INDIRECT(ADDRESS(AT$1,AT$2,1,1,$A37))</f>
        <v>123.9282</v>
      </c>
      <c r="AV37" s="15">
        <f t="shared" ca="1" si="0"/>
        <v>2.8238130951763196E-5</v>
      </c>
      <c r="AW37" s="15">
        <f t="shared" ca="1" si="1"/>
        <v>-1.1565807142233098E-5</v>
      </c>
      <c r="AX37" s="15">
        <f t="shared" ca="1" si="2"/>
        <v>-9.9430754971763236E-6</v>
      </c>
      <c r="AY37" s="15">
        <f t="shared" ca="1" si="3"/>
        <v>4.9861530300177037E-6</v>
      </c>
      <c r="AZ37" s="15">
        <f t="shared" ca="1" si="4"/>
        <v>9.9827053901435647E-5</v>
      </c>
      <c r="BA37" s="15">
        <f t="shared" ca="1" si="5"/>
        <v>2.478627513369247E-5</v>
      </c>
      <c r="BB37" s="15">
        <f t="shared" ca="1" si="6"/>
        <v>-3.1824533621716E-5</v>
      </c>
      <c r="BC37" s="15">
        <f t="shared" ca="1" si="7"/>
        <v>4.446787156098253E-5</v>
      </c>
      <c r="BD37" s="15">
        <f t="shared" ca="1" si="8"/>
        <v>3.8748812414723943E-5</v>
      </c>
      <c r="BE37" s="15">
        <f t="shared" ca="1" si="9"/>
        <v>3.0410757716481385E-5</v>
      </c>
      <c r="BG37" s="15" cm="1">
        <f t="array" aca="1" ref="BG37" ca="1">INDIRECT(ADDRESS(BG$1,BG$2,1,1,$A37))</f>
        <v>4.4000000000000003E-3</v>
      </c>
      <c r="BH37" s="15" cm="1">
        <f t="array" aca="1" ref="BH37" ca="1">INDIRECT(ADDRESS(BH$1,BH$2,1,1,$A37))</f>
        <v>6.4000000000000003E-3</v>
      </c>
      <c r="BI37" s="15" cm="1">
        <f t="array" aca="1" ref="BI37" ca="1">INDIRECT(ADDRESS(BI$1,BI$2,1,1,$A37))</f>
        <v>3.7000000000000002E-3</v>
      </c>
      <c r="BJ37" s="15" cm="1">
        <f t="array" aca="1" ref="BJ37" ca="1">INDIRECT(ADDRESS(BJ$1,BJ$2,1,1,$A37))</f>
        <v>4.5999999999999999E-3</v>
      </c>
      <c r="BK37" s="15" cm="1">
        <f t="array" aca="1" ref="BK37" ca="1">INDIRECT(ADDRESS(BK$1,BK$2,1,1,$A37))</f>
        <v>5.7000000000000002E-3</v>
      </c>
      <c r="BN37" s="32"/>
    </row>
    <row r="38" spans="1:66" x14ac:dyDescent="0.25">
      <c r="A38" t="s">
        <v>55</v>
      </c>
      <c r="B38" t="str" cm="1">
        <f t="array" aca="1" ref="B38" ca="1">LEFT(INDIRECT(ADDRESS(B$1,B$2,1,1,$A38)),FIND("-",INDIRECT(ADDRESS(B$1,B$2,1,1,$A38)))-1)</f>
        <v>P509</v>
      </c>
      <c r="C38" t="str" cm="1">
        <f t="array" aca="1" ref="C38" ca="1">RIGHT(INDIRECT(ADDRESS(B$1,B$2,1,1,$A38)),LEN(INDIRECT(ADDRESS(B$1,B$2,1,1,$A38)))-FIND("-",INDIRECT(ADDRESS(B$1,B$2,1,1,$A38))))</f>
        <v>east</v>
      </c>
      <c r="D38" s="10" cm="1">
        <f t="array" aca="1" ref="D38" ca="1">DATE(MID(INDIRECT(ADDRESS(D$1,D$2,1,1,$A38)),1,4),MID(INDIRECT(ADDRESS(D$1,D$2,1,1,$A38)),5,2),MID(INDIRECT(ADDRESS(D$1,D$2,1,1,$A38)),7,2))+TIME(MID(INDIRECT(ADDRESS(D$1,D$2,1,1,$A38)),10,2),MID(INDIRECT(ADDRESS(D$1,D$2,1,1,$A38)),12,2),0)</f>
        <v>44260.61041666667</v>
      </c>
      <c r="E38" cm="1">
        <f t="array" aca="1" ref="E38" ca="1">INDIRECT(ADDRESS(E$1,E$2,1,1,$A38))</f>
        <v>0</v>
      </c>
      <c r="F38" s="11" cm="1">
        <f t="array" aca="1" ref="F38" ca="1">VALUE(SUBSTITUTE(INDIRECT(ADDRESS(F$1,F$2,1,1,$A38)),"┬░C",""))</f>
        <v>19.5</v>
      </c>
      <c r="G38" s="12" cm="1">
        <f t="array" aca="1" ref="G38" ca="1">INDIRECT(ADDRESS(G$1,G$2,1,1,$A38))</f>
        <v>25.3996</v>
      </c>
      <c r="H38" cm="1">
        <f t="array" aca="1" ref="H38" ca="1">INDIRECT(ADDRESS(H$1,H$2,1,1,$A38))</f>
        <v>25.403099999999998</v>
      </c>
      <c r="I38" cm="1">
        <f t="array" aca="1" ref="I38" ca="1">INDIRECT(ADDRESS(I$1,I$2,1,1,$A38))</f>
        <v>25.403300000000002</v>
      </c>
      <c r="J38" cm="1">
        <f t="array" aca="1" ref="J38" ca="1">INDIRECT(ADDRESS(J$1,J$2,1,1,$A38))</f>
        <v>25.4041</v>
      </c>
      <c r="K38" s="13" cm="1">
        <f t="array" aca="1" ref="K38" ca="1">INDIRECT(ADDRESS(K$1,K$2,1,1,$A38))</f>
        <v>25.4023</v>
      </c>
      <c r="L38" s="14" cm="1">
        <f t="array" aca="1" ref="L38" ca="1">SQRT(SUMSQ(Y38:AA38-V38:X38))</f>
        <v>72.881043336384806</v>
      </c>
      <c r="M38" s="15" cm="1">
        <f t="array" aca="1" ref="M38" ca="1">SQRT(SUMSQ(AB38:AD38-V38:X38))</f>
        <v>73.711939501820197</v>
      </c>
      <c r="N38" s="15" cm="1">
        <f t="array" aca="1" ref="N38" ca="1">SQRT(SUMSQ(AE38:AG38-V38:X38))</f>
        <v>72.343519456133734</v>
      </c>
      <c r="O38" s="15" cm="1">
        <f t="array" aca="1" ref="O38" ca="1">SQRT(SUMSQ(AH38:AJ38-V38:X38))</f>
        <v>71.964447028306978</v>
      </c>
      <c r="P38" s="15" cm="1">
        <f t="array" aca="1" ref="P38" ca="1">SQRT(SUMSQ(AB38:AD38-Y38:AA38))</f>
        <v>125.9352001729461</v>
      </c>
      <c r="Q38" s="15" cm="1">
        <f t="array" aca="1" ref="Q38" ca="1">SQRT(SUMSQ(AE38:AG38-Y38:AA38))</f>
        <v>145.22166097858818</v>
      </c>
      <c r="R38" s="15" cm="1">
        <f t="array" aca="1" ref="R38" ca="1">SQRT(SUMSQ(AH38:AJ38-Y38:AA38))</f>
        <v>74.988030463334624</v>
      </c>
      <c r="S38" s="15" cm="1">
        <f t="array" aca="1" ref="S38" ca="1">SQRT(SUMSQ(AE38:AG38-AB38:AD38))</f>
        <v>73.984243638358578</v>
      </c>
      <c r="T38" s="15" cm="1">
        <f t="array" aca="1" ref="T38" ca="1">SQRT(SUMSQ(AH38:AJ38-AB38:AD38))</f>
        <v>145.67294404250228</v>
      </c>
      <c r="U38" s="16" cm="1">
        <f t="array" aca="1" ref="U38" ca="1">SQRT(SUMSQ(AH38:AJ38-AE38:AG38))</f>
        <v>123.92915822400312</v>
      </c>
      <c r="V38" cm="1">
        <f t="array" aca="1" ref="V38" ca="1">INDIRECT(ADDRESS(V$1,V$2,1,1,$A38))</f>
        <v>0</v>
      </c>
      <c r="W38" cm="1">
        <f t="array" aca="1" ref="W38" ca="1">INDIRECT(ADDRESS(W$1,W$2,1,1,$A38))</f>
        <v>0</v>
      </c>
      <c r="X38" cm="1">
        <f t="array" aca="1" ref="X38" ca="1">INDIRECT(ADDRESS(X$1,X$2,1,1,$A38))</f>
        <v>0</v>
      </c>
      <c r="Y38" cm="1">
        <f t="array" aca="1" ref="Y38" ca="1">INDIRECT(ADDRESS(Y$1,Y$2,1,1,$A38))</f>
        <v>62.484000000000002</v>
      </c>
      <c r="Z38" cm="1">
        <f t="array" aca="1" ref="Z38" ca="1">INDIRECT(ADDRESS(Z$1,Z$2,1,1,$A38))</f>
        <v>37.5152</v>
      </c>
      <c r="AA38" cm="1">
        <f t="array" aca="1" ref="AA38" ca="1">INDIRECT(ADDRESS(AA$1,AA$2,1,1,$A38))</f>
        <v>7.7399999999999997E-2</v>
      </c>
      <c r="AB38" cm="1">
        <f t="array" aca="1" ref="AB38" ca="1">INDIRECT(ADDRESS(AB$1,AB$2,1,1,$A38))</f>
        <v>-63.4512</v>
      </c>
      <c r="AC38" cm="1">
        <f t="array" aca="1" ref="AC38" ca="1">INDIRECT(ADDRESS(AC$1,AC$2,1,1,$A38))</f>
        <v>37.5152</v>
      </c>
      <c r="AD38" cm="1">
        <f t="array" aca="1" ref="AD38" ca="1">INDIRECT(ADDRESS(AD$1,AD$2,1,1,$A38))</f>
        <v>7.0800000000000002E-2</v>
      </c>
      <c r="AE38" cm="1">
        <f t="array" aca="1" ref="AE38" ca="1">INDIRECT(ADDRESS(AE$1,AE$2,1,1,$A38))</f>
        <v>-62.482399999999998</v>
      </c>
      <c r="AF38" cm="1">
        <f t="array" aca="1" ref="AF38" ca="1">INDIRECT(ADDRESS(AF$1,AF$2,1,1,$A38))</f>
        <v>-36.462699999999998</v>
      </c>
      <c r="AG38" cm="1">
        <f t="array" aca="1" ref="AG38" ca="1">INDIRECT(ADDRESS(AG$1,AG$2,1,1,$A38))</f>
        <v>7.7499999999999999E-2</v>
      </c>
      <c r="AH38" cm="1">
        <f t="array" aca="1" ref="AH38" ca="1">INDIRECT(ADDRESS(AH$1,AH$2,1,1,$A38))</f>
        <v>61.442700000000002</v>
      </c>
      <c r="AI38" cm="1">
        <f t="array" aca="1" ref="AI38" ca="1">INDIRECT(ADDRESS(AI$1,AI$2,1,1,$A38))</f>
        <v>-37.465600000000002</v>
      </c>
      <c r="AJ38" cm="1">
        <f t="array" aca="1" ref="AJ38" ca="1">INDIRECT(ADDRESS(AJ$1,AJ$2,1,1,$A38))</f>
        <v>7.1199999999999999E-2</v>
      </c>
      <c r="AK38" s="15" cm="1">
        <f t="array" aca="1" ref="AK38" ca="1">INDIRECT(ADDRESS(AK$1,AK$2,1,1,$A38))</f>
        <v>72.881</v>
      </c>
      <c r="AL38" s="15" cm="1">
        <f t="array" aca="1" ref="AL38" ca="1">INDIRECT(ADDRESS(AL$1,AL$2,1,1,$A38))</f>
        <v>73.712000000000003</v>
      </c>
      <c r="AM38" s="15" cm="1">
        <f t="array" aca="1" ref="AM38" ca="1">INDIRECT(ADDRESS(AM$1,AM$2,1,1,$A38))</f>
        <v>72.343500000000006</v>
      </c>
      <c r="AN38" s="15" cm="1">
        <f t="array" aca="1" ref="AN38" ca="1">INDIRECT(ADDRESS(AN$1,AN$2,1,1,$A38))</f>
        <v>71.964500000000001</v>
      </c>
      <c r="AO38" s="15" cm="1">
        <f t="array" aca="1" ref="AO38" ca="1">INDIRECT(ADDRESS(AO$1,AO$2,1,1,$A38))</f>
        <v>125.93519999999999</v>
      </c>
      <c r="AP38" s="15" cm="1">
        <f t="array" aca="1" ref="AP38" ca="1">INDIRECT(ADDRESS(AP$1,AP$2,1,1,$A38))</f>
        <v>145.2216</v>
      </c>
      <c r="AQ38" s="15" cm="1">
        <f t="array" aca="1" ref="AQ38" ca="1">INDIRECT(ADDRESS(AQ$1,AQ$2,1,1,$A38))</f>
        <v>74.988</v>
      </c>
      <c r="AR38" s="15" cm="1">
        <f t="array" aca="1" ref="AR38" ca="1">INDIRECT(ADDRESS(AR$1,AR$2,1,1,$A38))</f>
        <v>73.984200000000001</v>
      </c>
      <c r="AS38" s="15" cm="1">
        <f t="array" aca="1" ref="AS38" ca="1">INDIRECT(ADDRESS(AS$1,AS$2,1,1,$A38))</f>
        <v>145.673</v>
      </c>
      <c r="AT38" s="15" cm="1">
        <f t="array" aca="1" ref="AT38" ca="1">INDIRECT(ADDRESS(AT$1,AT$2,1,1,$A38))</f>
        <v>123.92919999999999</v>
      </c>
      <c r="AV38" s="15">
        <f t="shared" ca="1" si="0"/>
        <v>-4.3336384806025308E-5</v>
      </c>
      <c r="AW38" s="15">
        <f t="shared" ca="1" si="1"/>
        <v>6.0498179806245389E-5</v>
      </c>
      <c r="AX38" s="15">
        <f t="shared" ca="1" si="2"/>
        <v>-1.9456133728112945E-5</v>
      </c>
      <c r="AY38" s="15">
        <f t="shared" ca="1" si="3"/>
        <v>5.2971693023096122E-5</v>
      </c>
      <c r="AZ38" s="15">
        <f t="shared" ca="1" si="4"/>
        <v>-1.7294610188400839E-7</v>
      </c>
      <c r="BA38" s="15">
        <f t="shared" ca="1" si="5"/>
        <v>-6.0978588180660154E-5</v>
      </c>
      <c r="BB38" s="15">
        <f t="shared" ca="1" si="6"/>
        <v>-3.0463334624641902E-5</v>
      </c>
      <c r="BC38" s="15">
        <f t="shared" ca="1" si="7"/>
        <v>-4.3638358576458813E-5</v>
      </c>
      <c r="BD38" s="15">
        <f t="shared" ca="1" si="8"/>
        <v>5.5957497721692562E-5</v>
      </c>
      <c r="BE38" s="15">
        <f t="shared" ca="1" si="9"/>
        <v>4.1775996876936006E-5</v>
      </c>
      <c r="BG38" s="15" cm="1">
        <f t="array" aca="1" ref="BG38" ca="1">INDIRECT(ADDRESS(BG$1,BG$2,1,1,$A38))</f>
        <v>4.8999999999999998E-3</v>
      </c>
      <c r="BH38" s="15" cm="1">
        <f t="array" aca="1" ref="BH38" ca="1">INDIRECT(ADDRESS(BH$1,BH$2,1,1,$A38))</f>
        <v>7.1999999999999998E-3</v>
      </c>
      <c r="BI38" s="15" cm="1">
        <f t="array" aca="1" ref="BI38" ca="1">INDIRECT(ADDRESS(BI$1,BI$2,1,1,$A38))</f>
        <v>4.1999999999999997E-3</v>
      </c>
      <c r="BJ38" s="15" cm="1">
        <f t="array" aca="1" ref="BJ38" ca="1">INDIRECT(ADDRESS(BJ$1,BJ$2,1,1,$A38))</f>
        <v>6.7999999999999996E-3</v>
      </c>
      <c r="BK38" s="15" cm="1">
        <f t="array" aca="1" ref="BK38" ca="1">INDIRECT(ADDRESS(BK$1,BK$2,1,1,$A38))</f>
        <v>6.1999999999999998E-3</v>
      </c>
      <c r="BN38" s="32"/>
    </row>
    <row r="39" spans="1:66" x14ac:dyDescent="0.25">
      <c r="A39" t="s">
        <v>58</v>
      </c>
      <c r="B39" t="str" cm="1">
        <f t="array" aca="1" ref="B39" ca="1">LEFT(INDIRECT(ADDRESS(B$1,B$2,1,1,$A39)),FIND("-",INDIRECT(ADDRESS(B$1,B$2,1,1,$A39)))-1)</f>
        <v>P509</v>
      </c>
      <c r="C39" t="str" cm="1">
        <f t="array" aca="1" ref="C39" ca="1">RIGHT(INDIRECT(ADDRESS(B$1,B$2,1,1,$A39)),LEN(INDIRECT(ADDRESS(B$1,B$2,1,1,$A39)))-FIND("-",INDIRECT(ADDRESS(B$1,B$2,1,1,$A39))))</f>
        <v>east</v>
      </c>
      <c r="D39" s="10" cm="1">
        <f t="array" aca="1" ref="D39" ca="1">DATE(MID(INDIRECT(ADDRESS(D$1,D$2,1,1,$A39)),1,4),MID(INDIRECT(ADDRESS(D$1,D$2,1,1,$A39)),5,2),MID(INDIRECT(ADDRESS(D$1,D$2,1,1,$A39)),7,2))+TIME(MID(INDIRECT(ADDRESS(D$1,D$2,1,1,$A39)),10,2),MID(INDIRECT(ADDRESS(D$1,D$2,1,1,$A39)),12,2),0)</f>
        <v>44260.613194444442</v>
      </c>
      <c r="E39" cm="1">
        <f t="array" aca="1" ref="E39" ca="1">INDIRECT(ADDRESS(E$1,E$2,1,1,$A39))</f>
        <v>0</v>
      </c>
      <c r="F39" s="11" cm="1">
        <f t="array" aca="1" ref="F39" ca="1">VALUE(SUBSTITUTE(INDIRECT(ADDRESS(F$1,F$2,1,1,$A39)),"┬░C",""))</f>
        <v>19.5</v>
      </c>
      <c r="G39" s="12" cm="1">
        <f t="array" aca="1" ref="G39" ca="1">INDIRECT(ADDRESS(G$1,G$2,1,1,$A39))</f>
        <v>25.3996</v>
      </c>
      <c r="H39" cm="1">
        <f t="array" aca="1" ref="H39" ca="1">INDIRECT(ADDRESS(H$1,H$2,1,1,$A39))</f>
        <v>25.402799999999999</v>
      </c>
      <c r="I39" cm="1">
        <f t="array" aca="1" ref="I39" ca="1">INDIRECT(ADDRESS(I$1,I$2,1,1,$A39))</f>
        <v>25.403400000000001</v>
      </c>
      <c r="J39" cm="1">
        <f t="array" aca="1" ref="J39" ca="1">INDIRECT(ADDRESS(J$1,J$2,1,1,$A39))</f>
        <v>25.404800000000002</v>
      </c>
      <c r="K39" s="13" cm="1">
        <f t="array" aca="1" ref="K39" ca="1">INDIRECT(ADDRESS(K$1,K$2,1,1,$A39))</f>
        <v>25.402100000000001</v>
      </c>
      <c r="L39" s="14" cm="1">
        <f t="array" aca="1" ref="L39" ca="1">SQRT(SUMSQ(Y39:AA39-V39:X39))</f>
        <v>72.881043381252439</v>
      </c>
      <c r="M39" s="15" cm="1">
        <f t="array" aca="1" ref="M39" ca="1">SQRT(SUMSQ(AB39:AD39-V39:X39))</f>
        <v>73.712287786365707</v>
      </c>
      <c r="N39" s="15" cm="1">
        <f t="array" aca="1" ref="N39" ca="1">SQRT(SUMSQ(AE39:AG39-V39:X39))</f>
        <v>72.343713941779342</v>
      </c>
      <c r="O39" s="15" cm="1">
        <f t="array" aca="1" ref="O39" ca="1">SQRT(SUMSQ(AH39:AJ39-V39:X39))</f>
        <v>71.964484714406183</v>
      </c>
      <c r="P39" s="15" cm="1">
        <f t="array" aca="1" ref="P39" ca="1">SQRT(SUMSQ(AB39:AD39-Y39:AA39))</f>
        <v>125.93620017294471</v>
      </c>
      <c r="Q39" s="15" cm="1">
        <f t="array" aca="1" ref="Q39" ca="1">SQRT(SUMSQ(AE39:AG39-Y39:AA39))</f>
        <v>145.22185581664351</v>
      </c>
      <c r="R39" s="15" cm="1">
        <f t="array" aca="1" ref="R39" ca="1">SQRT(SUMSQ(AH39:AJ39-Y39:AA39))</f>
        <v>74.987937417760733</v>
      </c>
      <c r="S39" s="15" cm="1">
        <f t="array" aca="1" ref="S39" ca="1">SQRT(SUMSQ(AE39:AG39-AB39:AD39))</f>
        <v>73.983447636008421</v>
      </c>
      <c r="T39" s="15" cm="1">
        <f t="array" aca="1" ref="T39" ca="1">SQRT(SUMSQ(AH39:AJ39-AB39:AD39))</f>
        <v>145.67332125001477</v>
      </c>
      <c r="U39" s="16" cm="1">
        <f t="array" aca="1" ref="U39" ca="1">SQRT(SUMSQ(AH39:AJ39-AE39:AG39))</f>
        <v>123.92936388419008</v>
      </c>
      <c r="V39" cm="1">
        <f t="array" aca="1" ref="V39" ca="1">INDIRECT(ADDRESS(V$1,V$2,1,1,$A39))</f>
        <v>0</v>
      </c>
      <c r="W39" cm="1">
        <f t="array" aca="1" ref="W39" ca="1">INDIRECT(ADDRESS(W$1,W$2,1,1,$A39))</f>
        <v>0</v>
      </c>
      <c r="X39" cm="1">
        <f t="array" aca="1" ref="X39" ca="1">INDIRECT(ADDRESS(X$1,X$2,1,1,$A39))</f>
        <v>0</v>
      </c>
      <c r="Y39" cm="1">
        <f t="array" aca="1" ref="Y39" ca="1">INDIRECT(ADDRESS(Y$1,Y$2,1,1,$A39))</f>
        <v>62.484299999999998</v>
      </c>
      <c r="Z39" cm="1">
        <f t="array" aca="1" ref="Z39" ca="1">INDIRECT(ADDRESS(Z$1,Z$2,1,1,$A39))</f>
        <v>37.514699999999998</v>
      </c>
      <c r="AA39" cm="1">
        <f t="array" aca="1" ref="AA39" ca="1">INDIRECT(ADDRESS(AA$1,AA$2,1,1,$A39))</f>
        <v>7.7600000000000002E-2</v>
      </c>
      <c r="AB39" cm="1">
        <f t="array" aca="1" ref="AB39" ca="1">INDIRECT(ADDRESS(AB$1,AB$2,1,1,$A39))</f>
        <v>-63.451900000000002</v>
      </c>
      <c r="AC39" cm="1">
        <f t="array" aca="1" ref="AC39" ca="1">INDIRECT(ADDRESS(AC$1,AC$2,1,1,$A39))</f>
        <v>37.514699999999998</v>
      </c>
      <c r="AD39" cm="1">
        <f t="array" aca="1" ref="AD39" ca="1">INDIRECT(ADDRESS(AD$1,AD$2,1,1,$A39))</f>
        <v>7.0999999999999994E-2</v>
      </c>
      <c r="AE39" cm="1">
        <f t="array" aca="1" ref="AE39" ca="1">INDIRECT(ADDRESS(AE$1,AE$2,1,1,$A39))</f>
        <v>-62.482799999999997</v>
      </c>
      <c r="AF39" cm="1">
        <f t="array" aca="1" ref="AF39" ca="1">INDIRECT(ADDRESS(AF$1,AF$2,1,1,$A39))</f>
        <v>-36.462400000000002</v>
      </c>
      <c r="AG39" cm="1">
        <f t="array" aca="1" ref="AG39" ca="1">INDIRECT(ADDRESS(AG$1,AG$2,1,1,$A39))</f>
        <v>7.7700000000000005E-2</v>
      </c>
      <c r="AH39" cm="1">
        <f t="array" aca="1" ref="AH39" ca="1">INDIRECT(ADDRESS(AH$1,AH$2,1,1,$A39))</f>
        <v>61.442500000000003</v>
      </c>
      <c r="AI39" cm="1">
        <f t="array" aca="1" ref="AI39" ca="1">INDIRECT(ADDRESS(AI$1,AI$2,1,1,$A39))</f>
        <v>-37.466000000000001</v>
      </c>
      <c r="AJ39" cm="1">
        <f t="array" aca="1" ref="AJ39" ca="1">INDIRECT(ADDRESS(AJ$1,AJ$2,1,1,$A39))</f>
        <v>7.1400000000000005E-2</v>
      </c>
      <c r="AK39" s="15" cm="1">
        <f t="array" aca="1" ref="AK39" ca="1">INDIRECT(ADDRESS(AK$1,AK$2,1,1,$A39))</f>
        <v>72.881</v>
      </c>
      <c r="AL39" s="15" cm="1">
        <f t="array" aca="1" ref="AL39" ca="1">INDIRECT(ADDRESS(AL$1,AL$2,1,1,$A39))</f>
        <v>73.712299999999999</v>
      </c>
      <c r="AM39" s="15" cm="1">
        <f t="array" aca="1" ref="AM39" ca="1">INDIRECT(ADDRESS(AM$1,AM$2,1,1,$A39))</f>
        <v>72.343699999999998</v>
      </c>
      <c r="AN39" s="15" cm="1">
        <f t="array" aca="1" ref="AN39" ca="1">INDIRECT(ADDRESS(AN$1,AN$2,1,1,$A39))</f>
        <v>71.964500000000001</v>
      </c>
      <c r="AO39" s="15" cm="1">
        <f t="array" aca="1" ref="AO39" ca="1">INDIRECT(ADDRESS(AO$1,AO$2,1,1,$A39))</f>
        <v>125.9362</v>
      </c>
      <c r="AP39" s="15" cm="1">
        <f t="array" aca="1" ref="AP39" ca="1">INDIRECT(ADDRESS(AP$1,AP$2,1,1,$A39))</f>
        <v>145.22190000000001</v>
      </c>
      <c r="AQ39" s="15" cm="1">
        <f t="array" aca="1" ref="AQ39" ca="1">INDIRECT(ADDRESS(AQ$1,AQ$2,1,1,$A39))</f>
        <v>74.988</v>
      </c>
      <c r="AR39" s="15" cm="1">
        <f t="array" aca="1" ref="AR39" ca="1">INDIRECT(ADDRESS(AR$1,AR$2,1,1,$A39))</f>
        <v>73.983500000000006</v>
      </c>
      <c r="AS39" s="15" cm="1">
        <f t="array" aca="1" ref="AS39" ca="1">INDIRECT(ADDRESS(AS$1,AS$2,1,1,$A39))</f>
        <v>145.67339999999999</v>
      </c>
      <c r="AT39" s="15" cm="1">
        <f t="array" aca="1" ref="AT39" ca="1">INDIRECT(ADDRESS(AT$1,AT$2,1,1,$A39))</f>
        <v>123.9294</v>
      </c>
      <c r="AV39" s="15">
        <f t="shared" ca="1" si="0"/>
        <v>-4.3381252439189666E-5</v>
      </c>
      <c r="AW39" s="15">
        <f t="shared" ca="1" si="1"/>
        <v>1.2213634292379538E-5</v>
      </c>
      <c r="AX39" s="15">
        <f t="shared" ca="1" si="2"/>
        <v>-1.394177934344043E-5</v>
      </c>
      <c r="AY39" s="15">
        <f t="shared" ca="1" si="3"/>
        <v>1.5285593818248344E-5</v>
      </c>
      <c r="AZ39" s="15">
        <f t="shared" ca="1" si="4"/>
        <v>-1.729447092202463E-7</v>
      </c>
      <c r="BA39" s="15">
        <f t="shared" ca="1" si="5"/>
        <v>4.4183356493476822E-5</v>
      </c>
      <c r="BB39" s="15">
        <f t="shared" ca="1" si="6"/>
        <v>6.2582239266362194E-5</v>
      </c>
      <c r="BC39" s="15">
        <f t="shared" ca="1" si="7"/>
        <v>5.2363991585480107E-5</v>
      </c>
      <c r="BD39" s="15">
        <f t="shared" ca="1" si="8"/>
        <v>7.8749985220838425E-5</v>
      </c>
      <c r="BE39" s="15">
        <f t="shared" ca="1" si="9"/>
        <v>3.6115809919579078E-5</v>
      </c>
      <c r="BG39" s="15" cm="1">
        <f t="array" aca="1" ref="BG39" ca="1">INDIRECT(ADDRESS(BG$1,BG$2,1,1,$A39))</f>
        <v>4.7999999999999996E-3</v>
      </c>
      <c r="BH39" s="15" cm="1">
        <f t="array" aca="1" ref="BH39" ca="1">INDIRECT(ADDRESS(BH$1,BH$2,1,1,$A39))</f>
        <v>7.1999999999999998E-3</v>
      </c>
      <c r="BI39" s="15" cm="1">
        <f t="array" aca="1" ref="BI39" ca="1">INDIRECT(ADDRESS(BI$1,BI$2,1,1,$A39))</f>
        <v>6.1000000000000004E-3</v>
      </c>
      <c r="BJ39" s="15" cm="1">
        <f t="array" aca="1" ref="BJ39" ca="1">INDIRECT(ADDRESS(BJ$1,BJ$2,1,1,$A39))</f>
        <v>1.2800000000000001E-2</v>
      </c>
      <c r="BK39" s="15" cm="1">
        <f t="array" aca="1" ref="BK39" ca="1">INDIRECT(ADDRESS(BK$1,BK$2,1,1,$A39))</f>
        <v>4.3E-3</v>
      </c>
      <c r="BN39" s="32"/>
    </row>
    <row r="40" spans="1:66" x14ac:dyDescent="0.25">
      <c r="A40" t="s">
        <v>61</v>
      </c>
      <c r="B40" t="str" cm="1">
        <f t="array" aca="1" ref="B40" ca="1">LEFT(INDIRECT(ADDRESS(B$1,B$2,1,1,$A40)),FIND("-",INDIRECT(ADDRESS(B$1,B$2,1,1,$A40)))-1)</f>
        <v>P509</v>
      </c>
      <c r="C40" t="str" cm="1">
        <f t="array" aca="1" ref="C40" ca="1">RIGHT(INDIRECT(ADDRESS(B$1,B$2,1,1,$A40)),LEN(INDIRECT(ADDRESS(B$1,B$2,1,1,$A40)))-FIND("-",INDIRECT(ADDRESS(B$1,B$2,1,1,$A40))))</f>
        <v>east</v>
      </c>
      <c r="D40" s="10" cm="1">
        <f t="array" aca="1" ref="D40" ca="1">DATE(MID(INDIRECT(ADDRESS(D$1,D$2,1,1,$A40)),1,4),MID(INDIRECT(ADDRESS(D$1,D$2,1,1,$A40)),5,2),MID(INDIRECT(ADDRESS(D$1,D$2,1,1,$A40)),7,2))+TIME(MID(INDIRECT(ADDRESS(D$1,D$2,1,1,$A40)),10,2),MID(INDIRECT(ADDRESS(D$1,D$2,1,1,$A40)),12,2),0)</f>
        <v>44260.615277777775</v>
      </c>
      <c r="E40" cm="1">
        <f t="array" aca="1" ref="E40" ca="1">INDIRECT(ADDRESS(E$1,E$2,1,1,$A40))</f>
        <v>0</v>
      </c>
      <c r="F40" s="11" cm="1">
        <f t="array" aca="1" ref="F40" ca="1">VALUE(SUBSTITUTE(INDIRECT(ADDRESS(F$1,F$2,1,1,$A40)),"┬░C",""))</f>
        <v>19.5</v>
      </c>
      <c r="G40" s="12" cm="1">
        <f t="array" aca="1" ref="G40" ca="1">INDIRECT(ADDRESS(G$1,G$2,1,1,$A40))</f>
        <v>25.399799999999999</v>
      </c>
      <c r="H40" cm="1">
        <f t="array" aca="1" ref="H40" ca="1">INDIRECT(ADDRESS(H$1,H$2,1,1,$A40))</f>
        <v>25.4025</v>
      </c>
      <c r="I40" cm="1">
        <f t="array" aca="1" ref="I40" ca="1">INDIRECT(ADDRESS(I$1,I$2,1,1,$A40))</f>
        <v>25.402799999999999</v>
      </c>
      <c r="J40" cm="1">
        <f t="array" aca="1" ref="J40" ca="1">INDIRECT(ADDRESS(J$1,J$2,1,1,$A40))</f>
        <v>25.4041</v>
      </c>
      <c r="K40" s="13" cm="1">
        <f t="array" aca="1" ref="K40" ca="1">INDIRECT(ADDRESS(K$1,K$2,1,1,$A40))</f>
        <v>25.4024</v>
      </c>
      <c r="L40" s="14" cm="1">
        <f t="array" aca="1" ref="L40" ca="1">SQRT(SUMSQ(Y40:AA40-V40:X40))</f>
        <v>72.880906512474169</v>
      </c>
      <c r="M40" s="15" cm="1">
        <f t="array" aca="1" ref="M40" ca="1">SQRT(SUMSQ(AB40:AD40-V40:X40))</f>
        <v>73.712573382971783</v>
      </c>
      <c r="N40" s="15" cm="1">
        <f t="array" aca="1" ref="N40" ca="1">SQRT(SUMSQ(AE40:AG40-V40:X40))</f>
        <v>72.344253587482683</v>
      </c>
      <c r="O40" s="15" cm="1">
        <f t="array" aca="1" ref="O40" ca="1">SQRT(SUMSQ(AH40:AJ40-V40:X40))</f>
        <v>71.964517734644758</v>
      </c>
      <c r="P40" s="15" cm="1">
        <f t="array" aca="1" ref="P40" ca="1">SQRT(SUMSQ(AB40:AD40-Y40:AA40))</f>
        <v>125.93530018902564</v>
      </c>
      <c r="Q40" s="15" cm="1">
        <f t="array" aca="1" ref="Q40" ca="1">SQRT(SUMSQ(AE40:AG40-Y40:AA40))</f>
        <v>145.22224751438742</v>
      </c>
      <c r="R40" s="15" cm="1">
        <f t="array" aca="1" ref="R40" ca="1">SQRT(SUMSQ(AH40:AJ40-Y40:AA40))</f>
        <v>74.988726256017969</v>
      </c>
      <c r="S40" s="15" cm="1">
        <f t="array" aca="1" ref="S40" ca="1">SQRT(SUMSQ(AE40:AG40-AB40:AD40))</f>
        <v>73.984034510899718</v>
      </c>
      <c r="T40" s="15" cm="1">
        <f t="array" aca="1" ref="T40" ca="1">SQRT(SUMSQ(AH40:AJ40-AB40:AD40))</f>
        <v>145.67364729044166</v>
      </c>
      <c r="U40" s="16" cm="1">
        <f t="array" aca="1" ref="U40" ca="1">SQRT(SUMSQ(AH40:AJ40-AE40:AG40))</f>
        <v>123.93026548478784</v>
      </c>
      <c r="V40" cm="1">
        <f t="array" aca="1" ref="V40" ca="1">INDIRECT(ADDRESS(V$1,V$2,1,1,$A40))</f>
        <v>0</v>
      </c>
      <c r="W40" cm="1">
        <f t="array" aca="1" ref="W40" ca="1">INDIRECT(ADDRESS(W$1,W$2,1,1,$A40))</f>
        <v>0</v>
      </c>
      <c r="X40" cm="1">
        <f t="array" aca="1" ref="X40" ca="1">INDIRECT(ADDRESS(X$1,X$2,1,1,$A40))</f>
        <v>0</v>
      </c>
      <c r="Y40" cm="1">
        <f t="array" aca="1" ref="Y40" ca="1">INDIRECT(ADDRESS(Y$1,Y$2,1,1,$A40))</f>
        <v>62.483600000000003</v>
      </c>
      <c r="Z40" cm="1">
        <f t="array" aca="1" ref="Z40" ca="1">INDIRECT(ADDRESS(Z$1,Z$2,1,1,$A40))</f>
        <v>37.515599999999999</v>
      </c>
      <c r="AA40" cm="1">
        <f t="array" aca="1" ref="AA40" ca="1">INDIRECT(ADDRESS(AA$1,AA$2,1,1,$A40))</f>
        <v>7.7600000000000002E-2</v>
      </c>
      <c r="AB40" cm="1">
        <f t="array" aca="1" ref="AB40" ca="1">INDIRECT(ADDRESS(AB$1,AB$2,1,1,$A40))</f>
        <v>-63.451700000000002</v>
      </c>
      <c r="AC40" cm="1">
        <f t="array" aca="1" ref="AC40" ca="1">INDIRECT(ADDRESS(AC$1,AC$2,1,1,$A40))</f>
        <v>37.515599999999999</v>
      </c>
      <c r="AD40" cm="1">
        <f t="array" aca="1" ref="AD40" ca="1">INDIRECT(ADDRESS(AD$1,AD$2,1,1,$A40))</f>
        <v>7.0699999999999999E-2</v>
      </c>
      <c r="AE40" cm="1">
        <f t="array" aca="1" ref="AE40" ca="1">INDIRECT(ADDRESS(AE$1,AE$2,1,1,$A40))</f>
        <v>-62.483600000000003</v>
      </c>
      <c r="AF40" cm="1">
        <f t="array" aca="1" ref="AF40" ca="1">INDIRECT(ADDRESS(AF$1,AF$2,1,1,$A40))</f>
        <v>-36.4621</v>
      </c>
      <c r="AG40" cm="1">
        <f t="array" aca="1" ref="AG40" ca="1">INDIRECT(ADDRESS(AG$1,AG$2,1,1,$A40))</f>
        <v>7.7600000000000002E-2</v>
      </c>
      <c r="AH40" cm="1">
        <f t="array" aca="1" ref="AH40" ca="1">INDIRECT(ADDRESS(AH$1,AH$2,1,1,$A40))</f>
        <v>61.442599999999999</v>
      </c>
      <c r="AI40" cm="1">
        <f t="array" aca="1" ref="AI40" ca="1">INDIRECT(ADDRESS(AI$1,AI$2,1,1,$A40))</f>
        <v>-37.465899999999998</v>
      </c>
      <c r="AJ40" cm="1">
        <f t="array" aca="1" ref="AJ40" ca="1">INDIRECT(ADDRESS(AJ$1,AJ$2,1,1,$A40))</f>
        <v>7.1099999999999997E-2</v>
      </c>
      <c r="AK40" s="15" cm="1">
        <f t="array" aca="1" ref="AK40" ca="1">INDIRECT(ADDRESS(AK$1,AK$2,1,1,$A40))</f>
        <v>72.880899999999997</v>
      </c>
      <c r="AL40" s="15" cm="1">
        <f t="array" aca="1" ref="AL40" ca="1">INDIRECT(ADDRESS(AL$1,AL$2,1,1,$A40))</f>
        <v>73.712599999999995</v>
      </c>
      <c r="AM40" s="15" cm="1">
        <f t="array" aca="1" ref="AM40" ca="1">INDIRECT(ADDRESS(AM$1,AM$2,1,1,$A40))</f>
        <v>72.344200000000001</v>
      </c>
      <c r="AN40" s="15" cm="1">
        <f t="array" aca="1" ref="AN40" ca="1">INDIRECT(ADDRESS(AN$1,AN$2,1,1,$A40))</f>
        <v>71.964500000000001</v>
      </c>
      <c r="AO40" s="15" cm="1">
        <f t="array" aca="1" ref="AO40" ca="1">INDIRECT(ADDRESS(AO$1,AO$2,1,1,$A40))</f>
        <v>125.9353</v>
      </c>
      <c r="AP40" s="15" cm="1">
        <f t="array" aca="1" ref="AP40" ca="1">INDIRECT(ADDRESS(AP$1,AP$2,1,1,$A40))</f>
        <v>145.22219999999999</v>
      </c>
      <c r="AQ40" s="15" cm="1">
        <f t="array" aca="1" ref="AQ40" ca="1">INDIRECT(ADDRESS(AQ$1,AQ$2,1,1,$A40))</f>
        <v>74.988799999999998</v>
      </c>
      <c r="AR40" s="15" cm="1">
        <f t="array" aca="1" ref="AR40" ca="1">INDIRECT(ADDRESS(AR$1,AR$2,1,1,$A40))</f>
        <v>73.984099999999998</v>
      </c>
      <c r="AS40" s="15" cm="1">
        <f t="array" aca="1" ref="AS40" ca="1">INDIRECT(ADDRESS(AS$1,AS$2,1,1,$A40))</f>
        <v>145.6737</v>
      </c>
      <c r="AT40" s="15" cm="1">
        <f t="array" aca="1" ref="AT40" ca="1">INDIRECT(ADDRESS(AT$1,AT$2,1,1,$A40))</f>
        <v>123.9302</v>
      </c>
      <c r="AV40" s="15">
        <f t="shared" ca="1" si="0"/>
        <v>-6.5124741723820989E-6</v>
      </c>
      <c r="AW40" s="15">
        <f t="shared" ca="1" si="1"/>
        <v>2.6617028211717297E-5</v>
      </c>
      <c r="AX40" s="15">
        <f t="shared" ca="1" si="2"/>
        <v>-5.3587482682360132E-5</v>
      </c>
      <c r="AY40" s="15">
        <f t="shared" ca="1" si="3"/>
        <v>-1.773464475718356E-5</v>
      </c>
      <c r="AZ40" s="15">
        <f t="shared" ca="1" si="4"/>
        <v>-1.8902564136169531E-7</v>
      </c>
      <c r="BA40" s="15">
        <f t="shared" ca="1" si="5"/>
        <v>-4.7514387432556759E-5</v>
      </c>
      <c r="BB40" s="15">
        <f t="shared" ca="1" si="6"/>
        <v>7.3743982028418031E-5</v>
      </c>
      <c r="BC40" s="15">
        <f t="shared" ca="1" si="7"/>
        <v>6.5489100279592094E-5</v>
      </c>
      <c r="BD40" s="15">
        <f t="shared" ca="1" si="8"/>
        <v>5.2709558332253437E-5</v>
      </c>
      <c r="BE40" s="15">
        <f t="shared" ca="1" si="9"/>
        <v>-6.5484787839409364E-5</v>
      </c>
      <c r="BG40" s="15" cm="1">
        <f t="array" aca="1" ref="BG40" ca="1">INDIRECT(ADDRESS(BG$1,BG$2,1,1,$A40))</f>
        <v>4.4999999999999997E-3</v>
      </c>
      <c r="BH40" s="15" cm="1">
        <f t="array" aca="1" ref="BH40" ca="1">INDIRECT(ADDRESS(BH$1,BH$2,1,1,$A40))</f>
        <v>5.4999999999999997E-3</v>
      </c>
      <c r="BI40" s="15" cm="1">
        <f t="array" aca="1" ref="BI40" ca="1">INDIRECT(ADDRESS(BI$1,BI$2,1,1,$A40))</f>
        <v>5.0000000000000001E-3</v>
      </c>
      <c r="BJ40" s="15" cm="1">
        <f t="array" aca="1" ref="BJ40" ca="1">INDIRECT(ADDRESS(BJ$1,BJ$2,1,1,$A40))</f>
        <v>1.14E-2</v>
      </c>
      <c r="BK40" s="15" cm="1">
        <f t="array" aca="1" ref="BK40" ca="1">INDIRECT(ADDRESS(BK$1,BK$2,1,1,$A40))</f>
        <v>4.4000000000000003E-3</v>
      </c>
      <c r="BN40" s="32"/>
    </row>
    <row r="41" spans="1:66" x14ac:dyDescent="0.25">
      <c r="A41" t="s">
        <v>64</v>
      </c>
      <c r="B41" t="str" cm="1">
        <f t="array" aca="1" ref="B41" ca="1">LEFT(INDIRECT(ADDRESS(B$1,B$2,1,1,$A41)),FIND("-",INDIRECT(ADDRESS(B$1,B$2,1,1,$A41)))-1)</f>
        <v>P509</v>
      </c>
      <c r="C41" t="str" cm="1">
        <f t="array" aca="1" ref="C41" ca="1">RIGHT(INDIRECT(ADDRESS(B$1,B$2,1,1,$A41)),LEN(INDIRECT(ADDRESS(B$1,B$2,1,1,$A41)))-FIND("-",INDIRECT(ADDRESS(B$1,B$2,1,1,$A41))))</f>
        <v>east</v>
      </c>
      <c r="D41" s="10" cm="1">
        <f t="array" aca="1" ref="D41" ca="1">DATE(MID(INDIRECT(ADDRESS(D$1,D$2,1,1,$A41)),1,4),MID(INDIRECT(ADDRESS(D$1,D$2,1,1,$A41)),5,2),MID(INDIRECT(ADDRESS(D$1,D$2,1,1,$A41)),7,2))+TIME(MID(INDIRECT(ADDRESS(D$1,D$2,1,1,$A41)),10,2),MID(INDIRECT(ADDRESS(D$1,D$2,1,1,$A41)),12,2),0)</f>
        <v>44260.618055555555</v>
      </c>
      <c r="E41" cm="1">
        <f t="array" aca="1" ref="E41" ca="1">INDIRECT(ADDRESS(E$1,E$2,1,1,$A41))</f>
        <v>0</v>
      </c>
      <c r="F41" s="11" cm="1">
        <f t="array" aca="1" ref="F41" ca="1">VALUE(SUBSTITUTE(INDIRECT(ADDRESS(F$1,F$2,1,1,$A41)),"┬░C",""))</f>
        <v>19.600000000000001</v>
      </c>
      <c r="G41" s="12" cm="1">
        <f t="array" aca="1" ref="G41" ca="1">INDIRECT(ADDRESS(G$1,G$2,1,1,$A41))</f>
        <v>25.4</v>
      </c>
      <c r="H41" cm="1">
        <f t="array" aca="1" ref="H41" ca="1">INDIRECT(ADDRESS(H$1,H$2,1,1,$A41))</f>
        <v>25.4023</v>
      </c>
      <c r="I41" cm="1">
        <f t="array" aca="1" ref="I41" ca="1">INDIRECT(ADDRESS(I$1,I$2,1,1,$A41))</f>
        <v>25.402999999999999</v>
      </c>
      <c r="J41" cm="1">
        <f t="array" aca="1" ref="J41" ca="1">INDIRECT(ADDRESS(J$1,J$2,1,1,$A41))</f>
        <v>25.404299999999999</v>
      </c>
      <c r="K41" s="13" cm="1">
        <f t="array" aca="1" ref="K41" ca="1">INDIRECT(ADDRESS(K$1,K$2,1,1,$A41))</f>
        <v>25.402200000000001</v>
      </c>
      <c r="L41" s="14" cm="1">
        <f t="array" aca="1" ref="L41" ca="1">SQRT(SUMSQ(Y41:AA41-V41:X41))</f>
        <v>72.881592749541355</v>
      </c>
      <c r="M41" s="15" cm="1">
        <f t="array" aca="1" ref="M41" ca="1">SQRT(SUMSQ(AB41:AD41-V41:X41))</f>
        <v>73.711717026331712</v>
      </c>
      <c r="N41" s="15" cm="1">
        <f t="array" aca="1" ref="N41" ca="1">SQRT(SUMSQ(AE41:AG41-V41:X41))</f>
        <v>72.343642545561664</v>
      </c>
      <c r="O41" s="15" cm="1">
        <f t="array" aca="1" ref="O41" ca="1">SQRT(SUMSQ(AH41:AJ41-V41:X41))</f>
        <v>71.964964068982894</v>
      </c>
      <c r="P41" s="15" cm="1">
        <f t="array" aca="1" ref="P41" ca="1">SQRT(SUMSQ(AB41:AD41-Y41:AA41))</f>
        <v>125.93570017822587</v>
      </c>
      <c r="Q41" s="15" cm="1">
        <f t="array" aca="1" ref="Q41" ca="1">SQRT(SUMSQ(AE41:AG41-Y41:AA41))</f>
        <v>145.22233356681059</v>
      </c>
      <c r="R41" s="15" cm="1">
        <f t="array" aca="1" ref="R41" ca="1">SQRT(SUMSQ(AH41:AJ41-Y41:AA41))</f>
        <v>74.988435988624275</v>
      </c>
      <c r="S41" s="15" cm="1">
        <f t="array" aca="1" ref="S41" ca="1">SQRT(SUMSQ(AE41:AG41-AB41:AD41))</f>
        <v>73.984038427825766</v>
      </c>
      <c r="T41" s="15" cm="1">
        <f t="array" aca="1" ref="T41" ca="1">SQRT(SUMSQ(AH41:AJ41-AB41:AD41))</f>
        <v>145.67323566667969</v>
      </c>
      <c r="U41" s="16" cm="1">
        <f t="array" aca="1" ref="U41" ca="1">SQRT(SUMSQ(AH41:AJ41-AE41:AG41))</f>
        <v>123.92966306970257</v>
      </c>
      <c r="V41" cm="1">
        <f t="array" aca="1" ref="V41" ca="1">INDIRECT(ADDRESS(V$1,V$2,1,1,$A41))</f>
        <v>0</v>
      </c>
      <c r="W41" cm="1">
        <f t="array" aca="1" ref="W41" ca="1">INDIRECT(ADDRESS(W$1,W$2,1,1,$A41))</f>
        <v>0</v>
      </c>
      <c r="X41" cm="1">
        <f t="array" aca="1" ref="X41" ca="1">INDIRECT(ADDRESS(X$1,X$2,1,1,$A41))</f>
        <v>0</v>
      </c>
      <c r="Y41" cm="1">
        <f t="array" aca="1" ref="Y41" ca="1">INDIRECT(ADDRESS(Y$1,Y$2,1,1,$A41))</f>
        <v>62.484699999999997</v>
      </c>
      <c r="Z41" cm="1">
        <f t="array" aca="1" ref="Z41" ca="1">INDIRECT(ADDRESS(Z$1,Z$2,1,1,$A41))</f>
        <v>37.515099999999997</v>
      </c>
      <c r="AA41" cm="1">
        <f t="array" aca="1" ref="AA41" ca="1">INDIRECT(ADDRESS(AA$1,AA$2,1,1,$A41))</f>
        <v>7.8100000000000003E-2</v>
      </c>
      <c r="AB41" cm="1">
        <f t="array" aca="1" ref="AB41" ca="1">INDIRECT(ADDRESS(AB$1,AB$2,1,1,$A41))</f>
        <v>-63.451000000000001</v>
      </c>
      <c r="AC41" cm="1">
        <f t="array" aca="1" ref="AC41" ca="1">INDIRECT(ADDRESS(AC$1,AC$2,1,1,$A41))</f>
        <v>37.515099999999997</v>
      </c>
      <c r="AD41" cm="1">
        <f t="array" aca="1" ref="AD41" ca="1">INDIRECT(ADDRESS(AD$1,AD$2,1,1,$A41))</f>
        <v>7.1400000000000005E-2</v>
      </c>
      <c r="AE41" cm="1">
        <f t="array" aca="1" ref="AE41" ca="1">INDIRECT(ADDRESS(AE$1,AE$2,1,1,$A41))</f>
        <v>-62.482599999999998</v>
      </c>
      <c r="AF41" cm="1">
        <f t="array" aca="1" ref="AF41" ca="1">INDIRECT(ADDRESS(AF$1,AF$2,1,1,$A41))</f>
        <v>-36.462600000000002</v>
      </c>
      <c r="AG41" cm="1">
        <f t="array" aca="1" ref="AG41" ca="1">INDIRECT(ADDRESS(AG$1,AG$2,1,1,$A41))</f>
        <v>7.8200000000000006E-2</v>
      </c>
      <c r="AH41" cm="1">
        <f t="array" aca="1" ref="AH41" ca="1">INDIRECT(ADDRESS(AH$1,AH$2,1,1,$A41))</f>
        <v>61.442999999999998</v>
      </c>
      <c r="AI41" cm="1">
        <f t="array" aca="1" ref="AI41" ca="1">INDIRECT(ADDRESS(AI$1,AI$2,1,1,$A41))</f>
        <v>-37.466099999999997</v>
      </c>
      <c r="AJ41" cm="1">
        <f t="array" aca="1" ref="AJ41" ca="1">INDIRECT(ADDRESS(AJ$1,AJ$2,1,1,$A41))</f>
        <v>7.1800000000000003E-2</v>
      </c>
      <c r="AK41" s="15" cm="1">
        <f t="array" aca="1" ref="AK41" ca="1">INDIRECT(ADDRESS(AK$1,AK$2,1,1,$A41))</f>
        <v>72.881600000000006</v>
      </c>
      <c r="AL41" s="15" cm="1">
        <f t="array" aca="1" ref="AL41" ca="1">INDIRECT(ADDRESS(AL$1,AL$2,1,1,$A41))</f>
        <v>73.711699999999993</v>
      </c>
      <c r="AM41" s="15" cm="1">
        <f t="array" aca="1" ref="AM41" ca="1">INDIRECT(ADDRESS(AM$1,AM$2,1,1,$A41))</f>
        <v>72.343699999999998</v>
      </c>
      <c r="AN41" s="15" cm="1">
        <f t="array" aca="1" ref="AN41" ca="1">INDIRECT(ADDRESS(AN$1,AN$2,1,1,$A41))</f>
        <v>71.9649</v>
      </c>
      <c r="AO41" s="15" cm="1">
        <f t="array" aca="1" ref="AO41" ca="1">INDIRECT(ADDRESS(AO$1,AO$2,1,1,$A41))</f>
        <v>125.9357</v>
      </c>
      <c r="AP41" s="15" cm="1">
        <f t="array" aca="1" ref="AP41" ca="1">INDIRECT(ADDRESS(AP$1,AP$2,1,1,$A41))</f>
        <v>145.22239999999999</v>
      </c>
      <c r="AQ41" s="15" cm="1">
        <f t="array" aca="1" ref="AQ41" ca="1">INDIRECT(ADDRESS(AQ$1,AQ$2,1,1,$A41))</f>
        <v>74.988399999999999</v>
      </c>
      <c r="AR41" s="15" cm="1">
        <f t="array" aca="1" ref="AR41" ca="1">INDIRECT(ADDRESS(AR$1,AR$2,1,1,$A41))</f>
        <v>73.984099999999998</v>
      </c>
      <c r="AS41" s="15" cm="1">
        <f t="array" aca="1" ref="AS41" ca="1">INDIRECT(ADDRESS(AS$1,AS$2,1,1,$A41))</f>
        <v>145.67320000000001</v>
      </c>
      <c r="AT41" s="15" cm="1">
        <f t="array" aca="1" ref="AT41" ca="1">INDIRECT(ADDRESS(AT$1,AT$2,1,1,$A41))</f>
        <v>123.9297</v>
      </c>
      <c r="AV41" s="15">
        <f t="shared" ca="1" si="0"/>
        <v>7.2504586512422975E-6</v>
      </c>
      <c r="AW41" s="15">
        <f t="shared" ca="1" si="1"/>
        <v>-1.7026331718739129E-5</v>
      </c>
      <c r="AX41" s="15">
        <f t="shared" ca="1" si="2"/>
        <v>5.7454438334048064E-5</v>
      </c>
      <c r="AY41" s="15">
        <f t="shared" ca="1" si="3"/>
        <v>-6.4068982894127657E-5</v>
      </c>
      <c r="AZ41" s="15">
        <f t="shared" ca="1" si="4"/>
        <v>-1.782258749472021E-7</v>
      </c>
      <c r="BA41" s="15">
        <f t="shared" ca="1" si="5"/>
        <v>6.643318940291465E-5</v>
      </c>
      <c r="BB41" s="15">
        <f t="shared" ca="1" si="6"/>
        <v>-3.598862427622862E-5</v>
      </c>
      <c r="BC41" s="15">
        <f t="shared" ca="1" si="7"/>
        <v>6.1572174232082943E-5</v>
      </c>
      <c r="BD41" s="15">
        <f t="shared" ca="1" si="8"/>
        <v>-3.5666679679025037E-5</v>
      </c>
      <c r="BE41" s="15">
        <f t="shared" ca="1" si="9"/>
        <v>3.6930297426351899E-5</v>
      </c>
      <c r="BG41" s="15" cm="1">
        <f t="array" aca="1" ref="BG41" ca="1">INDIRECT(ADDRESS(BG$1,BG$2,1,1,$A41))</f>
        <v>4.4000000000000003E-3</v>
      </c>
      <c r="BH41" s="15" cm="1">
        <f t="array" aca="1" ref="BH41" ca="1">INDIRECT(ADDRESS(BH$1,BH$2,1,1,$A41))</f>
        <v>6.0000000000000001E-3</v>
      </c>
      <c r="BI41" s="15" cm="1">
        <f t="array" aca="1" ref="BI41" ca="1">INDIRECT(ADDRESS(BI$1,BI$2,1,1,$A41))</f>
        <v>6.0000000000000001E-3</v>
      </c>
      <c r="BJ41" s="15" cm="1">
        <f t="array" aca="1" ref="BJ41" ca="1">INDIRECT(ADDRESS(BJ$1,BJ$2,1,1,$A41))</f>
        <v>1.03E-2</v>
      </c>
      <c r="BK41" s="15" cm="1">
        <f t="array" aca="1" ref="BK41" ca="1">INDIRECT(ADDRESS(BK$1,BK$2,1,1,$A41))</f>
        <v>4.3E-3</v>
      </c>
      <c r="BN41" s="32"/>
    </row>
    <row r="42" spans="1:66" x14ac:dyDescent="0.25">
      <c r="A42" t="s">
        <v>67</v>
      </c>
      <c r="B42" t="str" cm="1">
        <f t="array" aca="1" ref="B42" ca="1">LEFT(INDIRECT(ADDRESS(B$1,B$2,1,1,$A42)),FIND("-",INDIRECT(ADDRESS(B$1,B$2,1,1,$A42)))-1)</f>
        <v>P509</v>
      </c>
      <c r="C42" t="str" cm="1">
        <f t="array" aca="1" ref="C42" ca="1">RIGHT(INDIRECT(ADDRESS(B$1,B$2,1,1,$A42)),LEN(INDIRECT(ADDRESS(B$1,B$2,1,1,$A42)))-FIND("-",INDIRECT(ADDRESS(B$1,B$2,1,1,$A42))))</f>
        <v>east</v>
      </c>
      <c r="D42" s="10" cm="1">
        <f t="array" aca="1" ref="D42" ca="1">DATE(MID(INDIRECT(ADDRESS(D$1,D$2,1,1,$A42)),1,4),MID(INDIRECT(ADDRESS(D$1,D$2,1,1,$A42)),5,2),MID(INDIRECT(ADDRESS(D$1,D$2,1,1,$A42)),7,2))+TIME(MID(INDIRECT(ADDRESS(D$1,D$2,1,1,$A42)),10,2),MID(INDIRECT(ADDRESS(D$1,D$2,1,1,$A42)),12,2),0)</f>
        <v>44260.620138888888</v>
      </c>
      <c r="E42" cm="1">
        <f t="array" aca="1" ref="E42" ca="1">INDIRECT(ADDRESS(E$1,E$2,1,1,$A42))</f>
        <v>0</v>
      </c>
      <c r="F42" s="11" cm="1">
        <f t="array" aca="1" ref="F42" ca="1">VALUE(SUBSTITUTE(INDIRECT(ADDRESS(F$1,F$2,1,1,$A42)),"┬░C",""))</f>
        <v>19.600000000000001</v>
      </c>
      <c r="G42" s="12" cm="1">
        <f t="array" aca="1" ref="G42" ca="1">INDIRECT(ADDRESS(G$1,G$2,1,1,$A42))</f>
        <v>25.399699999999999</v>
      </c>
      <c r="H42" cm="1">
        <f t="array" aca="1" ref="H42" ca="1">INDIRECT(ADDRESS(H$1,H$2,1,1,$A42))</f>
        <v>25.402699999999999</v>
      </c>
      <c r="I42" cm="1">
        <f t="array" aca="1" ref="I42" ca="1">INDIRECT(ADDRESS(I$1,I$2,1,1,$A42))</f>
        <v>25.402999999999999</v>
      </c>
      <c r="J42" cm="1">
        <f t="array" aca="1" ref="J42" ca="1">INDIRECT(ADDRESS(J$1,J$2,1,1,$A42))</f>
        <v>25.404699999999998</v>
      </c>
      <c r="K42" s="13" cm="1">
        <f t="array" aca="1" ref="K42" ca="1">INDIRECT(ADDRESS(K$1,K$2,1,1,$A42))</f>
        <v>25.402799999999999</v>
      </c>
      <c r="L42" s="14" cm="1">
        <f t="array" aca="1" ref="L42" ca="1">SQRT(SUMSQ(Y42:AA42-V42:X42))</f>
        <v>72.881385849886257</v>
      </c>
      <c r="M42" s="15" cm="1">
        <f t="array" aca="1" ref="M42" ca="1">SQRT(SUMSQ(AB42:AD42-V42:X42))</f>
        <v>73.712111374251108</v>
      </c>
      <c r="N42" s="15" cm="1">
        <f t="array" aca="1" ref="N42" ca="1">SQRT(SUMSQ(AE42:AG42-V42:X42))</f>
        <v>72.343475725942284</v>
      </c>
      <c r="O42" s="15" cm="1">
        <f t="array" aca="1" ref="O42" ca="1">SQRT(SUMSQ(AH42:AJ42-V42:X42))</f>
        <v>71.96428014549997</v>
      </c>
      <c r="P42" s="15" cm="1">
        <f t="array" aca="1" ref="P42" ca="1">SQRT(SUMSQ(AB42:AD42-Y42:AA42))</f>
        <v>125.9358001677442</v>
      </c>
      <c r="Q42" s="15" cm="1">
        <f t="array" aca="1" ref="Q42" ca="1">SQRT(SUMSQ(AE42:AG42-Y42:AA42))</f>
        <v>145.22195769824202</v>
      </c>
      <c r="R42" s="15" cm="1">
        <f t="array" aca="1" ref="R42" ca="1">SQRT(SUMSQ(AH42:AJ42-Y42:AA42))</f>
        <v>74.98854290983391</v>
      </c>
      <c r="S42" s="15" cm="1">
        <f t="array" aca="1" ref="S42" ca="1">SQRT(SUMSQ(AE42:AG42-AB42:AD42))</f>
        <v>73.983642371405324</v>
      </c>
      <c r="T42" s="15" cm="1">
        <f t="array" aca="1" ref="T42" ca="1">SQRT(SUMSQ(AH42:AJ42-AB42:AD42))</f>
        <v>145.67294419627137</v>
      </c>
      <c r="U42" s="16" cm="1">
        <f t="array" aca="1" ref="U42" ca="1">SQRT(SUMSQ(AH42:AJ42-AE42:AG42))</f>
        <v>123.92896713218424</v>
      </c>
      <c r="V42" cm="1">
        <f t="array" aca="1" ref="V42" ca="1">INDIRECT(ADDRESS(V$1,V$2,1,1,$A42))</f>
        <v>0</v>
      </c>
      <c r="W42" cm="1">
        <f t="array" aca="1" ref="W42" ca="1">INDIRECT(ADDRESS(W$1,W$2,1,1,$A42))</f>
        <v>0</v>
      </c>
      <c r="X42" cm="1">
        <f t="array" aca="1" ref="X42" ca="1">INDIRECT(ADDRESS(X$1,X$2,1,1,$A42))</f>
        <v>0</v>
      </c>
      <c r="Y42" cm="1">
        <f t="array" aca="1" ref="Y42" ca="1">INDIRECT(ADDRESS(Y$1,Y$2,1,1,$A42))</f>
        <v>62.484400000000001</v>
      </c>
      <c r="Z42" cm="1">
        <f t="array" aca="1" ref="Z42" ca="1">INDIRECT(ADDRESS(Z$1,Z$2,1,1,$A42))</f>
        <v>37.5152</v>
      </c>
      <c r="AA42" cm="1">
        <f t="array" aca="1" ref="AA42" ca="1">INDIRECT(ADDRESS(AA$1,AA$2,1,1,$A42))</f>
        <v>7.6999999999999999E-2</v>
      </c>
      <c r="AB42" cm="1">
        <f t="array" aca="1" ref="AB42" ca="1">INDIRECT(ADDRESS(AB$1,AB$2,1,1,$A42))</f>
        <v>-63.4514</v>
      </c>
      <c r="AC42" cm="1">
        <f t="array" aca="1" ref="AC42" ca="1">INDIRECT(ADDRESS(AC$1,AC$2,1,1,$A42))</f>
        <v>37.5152</v>
      </c>
      <c r="AD42" cm="1">
        <f t="array" aca="1" ref="AD42" ca="1">INDIRECT(ADDRESS(AD$1,AD$2,1,1,$A42))</f>
        <v>7.0499999999999993E-2</v>
      </c>
      <c r="AE42" cm="1">
        <f t="array" aca="1" ref="AE42" ca="1">INDIRECT(ADDRESS(AE$1,AE$2,1,1,$A42))</f>
        <v>-62.482700000000001</v>
      </c>
      <c r="AF42" cm="1">
        <f t="array" aca="1" ref="AF42" ca="1">INDIRECT(ADDRESS(AF$1,AF$2,1,1,$A42))</f>
        <v>-36.4621</v>
      </c>
      <c r="AG42" cm="1">
        <f t="array" aca="1" ref="AG42" ca="1">INDIRECT(ADDRESS(AG$1,AG$2,1,1,$A42))</f>
        <v>7.7100000000000002E-2</v>
      </c>
      <c r="AH42" cm="1">
        <f t="array" aca="1" ref="AH42" ca="1">INDIRECT(ADDRESS(AH$1,AH$2,1,1,$A42))</f>
        <v>61.4422</v>
      </c>
      <c r="AI42" cm="1">
        <f t="array" aca="1" ref="AI42" ca="1">INDIRECT(ADDRESS(AI$1,AI$2,1,1,$A42))</f>
        <v>-37.466099999999997</v>
      </c>
      <c r="AJ42" cm="1">
        <f t="array" aca="1" ref="AJ42" ca="1">INDIRECT(ADDRESS(AJ$1,AJ$2,1,1,$A42))</f>
        <v>7.0900000000000005E-2</v>
      </c>
      <c r="AK42" s="15" cm="1">
        <f t="array" aca="1" ref="AK42" ca="1">INDIRECT(ADDRESS(AK$1,AK$2,1,1,$A42))</f>
        <v>72.881399999999999</v>
      </c>
      <c r="AL42" s="15" cm="1">
        <f t="array" aca="1" ref="AL42" ca="1">INDIRECT(ADDRESS(AL$1,AL$2,1,1,$A42))</f>
        <v>73.712100000000007</v>
      </c>
      <c r="AM42" s="15" cm="1">
        <f t="array" aca="1" ref="AM42" ca="1">INDIRECT(ADDRESS(AM$1,AM$2,1,1,$A42))</f>
        <v>72.343400000000003</v>
      </c>
      <c r="AN42" s="15" cm="1">
        <f t="array" aca="1" ref="AN42" ca="1">INDIRECT(ADDRESS(AN$1,AN$2,1,1,$A42))</f>
        <v>71.964299999999994</v>
      </c>
      <c r="AO42" s="15" cm="1">
        <f t="array" aca="1" ref="AO42" ca="1">INDIRECT(ADDRESS(AO$1,AO$2,1,1,$A42))</f>
        <v>125.9358</v>
      </c>
      <c r="AP42" s="15" cm="1">
        <f t="array" aca="1" ref="AP42" ca="1">INDIRECT(ADDRESS(AP$1,AP$2,1,1,$A42))</f>
        <v>145.22200000000001</v>
      </c>
      <c r="AQ42" s="15" cm="1">
        <f t="array" aca="1" ref="AQ42" ca="1">INDIRECT(ADDRESS(AQ$1,AQ$2,1,1,$A42))</f>
        <v>74.988500000000002</v>
      </c>
      <c r="AR42" s="15" cm="1">
        <f t="array" aca="1" ref="AR42" ca="1">INDIRECT(ADDRESS(AR$1,AR$2,1,1,$A42))</f>
        <v>73.983699999999999</v>
      </c>
      <c r="AS42" s="15" cm="1">
        <f t="array" aca="1" ref="AS42" ca="1">INDIRECT(ADDRESS(AS$1,AS$2,1,1,$A42))</f>
        <v>145.673</v>
      </c>
      <c r="AT42" s="15" cm="1">
        <f t="array" aca="1" ref="AT42" ca="1">INDIRECT(ADDRESS(AT$1,AT$2,1,1,$A42))</f>
        <v>123.929</v>
      </c>
      <c r="AV42" s="15">
        <f t="shared" ca="1" si="0"/>
        <v>1.4150113742061876E-5</v>
      </c>
      <c r="AW42" s="15">
        <f t="shared" ca="1" si="1"/>
        <v>-1.1374251101869959E-5</v>
      </c>
      <c r="AX42" s="15">
        <f t="shared" ca="1" si="2"/>
        <v>-7.5725942281223979E-5</v>
      </c>
      <c r="AY42" s="15">
        <f t="shared" ca="1" si="3"/>
        <v>1.9854500024507615E-5</v>
      </c>
      <c r="AZ42" s="15">
        <f t="shared" ca="1" si="4"/>
        <v>-1.6774420430465398E-7</v>
      </c>
      <c r="BA42" s="15">
        <f t="shared" ca="1" si="5"/>
        <v>4.2301757986251687E-5</v>
      </c>
      <c r="BB42" s="15">
        <f t="shared" ca="1" si="6"/>
        <v>-4.2909833908311157E-5</v>
      </c>
      <c r="BC42" s="15">
        <f t="shared" ca="1" si="7"/>
        <v>5.7628594674952183E-5</v>
      </c>
      <c r="BD42" s="15">
        <f t="shared" ca="1" si="8"/>
        <v>5.5803728628234239E-5</v>
      </c>
      <c r="BE42" s="15">
        <f t="shared" ca="1" si="9"/>
        <v>3.2867815761505881E-5</v>
      </c>
      <c r="BG42" s="15" cm="1">
        <f t="array" aca="1" ref="BG42" ca="1">INDIRECT(ADDRESS(BG$1,BG$2,1,1,$A42))</f>
        <v>7.7999999999999996E-3</v>
      </c>
      <c r="BH42" s="15" cm="1">
        <f t="array" aca="1" ref="BH42" ca="1">INDIRECT(ADDRESS(BH$1,BH$2,1,1,$A42))</f>
        <v>5.4999999999999997E-3</v>
      </c>
      <c r="BI42" s="15" cm="1">
        <f t="array" aca="1" ref="BI42" ca="1">INDIRECT(ADDRESS(BI$1,BI$2,1,1,$A42))</f>
        <v>5.8999999999999999E-3</v>
      </c>
      <c r="BJ42" s="15" cm="1">
        <f t="array" aca="1" ref="BJ42" ca="1">INDIRECT(ADDRESS(BJ$1,BJ$2,1,1,$A42))</f>
        <v>1.11E-2</v>
      </c>
      <c r="BK42" s="15" cm="1">
        <f t="array" aca="1" ref="BK42" ca="1">INDIRECT(ADDRESS(BK$1,BK$2,1,1,$A42))</f>
        <v>8.0000000000000002E-3</v>
      </c>
      <c r="BN42" s="32"/>
    </row>
    <row r="43" spans="1:66" x14ac:dyDescent="0.25">
      <c r="D43" s="10"/>
      <c r="F43" s="11"/>
      <c r="G43" s="12"/>
      <c r="K43" s="13"/>
      <c r="L43" s="14"/>
      <c r="M43" s="15"/>
      <c r="N43" s="15"/>
      <c r="O43" s="15"/>
      <c r="P43" s="15"/>
      <c r="Q43" s="15"/>
      <c r="R43" s="15"/>
      <c r="S43" s="15"/>
      <c r="T43" s="15"/>
      <c r="U43" s="16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</row>
    <row r="44" spans="1:66" x14ac:dyDescent="0.25">
      <c r="D44" s="10"/>
      <c r="F44" s="11"/>
      <c r="G44" s="12"/>
      <c r="K44" s="13"/>
      <c r="L44" s="14"/>
      <c r="M44" s="15"/>
      <c r="N44" s="15"/>
      <c r="O44" s="15"/>
      <c r="P44" s="15"/>
      <c r="Q44" s="15"/>
      <c r="R44" s="15"/>
      <c r="S44" s="15"/>
      <c r="T44" s="15"/>
      <c r="U44" s="16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</row>
    <row r="45" spans="1:66" x14ac:dyDescent="0.25">
      <c r="D45" s="10"/>
      <c r="F45" s="11"/>
      <c r="G45" s="12"/>
      <c r="K45" s="13"/>
      <c r="L45" s="14"/>
      <c r="M45" s="15"/>
      <c r="N45" s="15"/>
      <c r="O45" s="15"/>
      <c r="P45" s="15"/>
      <c r="Q45" s="15"/>
      <c r="R45" s="15"/>
      <c r="S45" s="15"/>
      <c r="T45" s="15"/>
      <c r="U45" s="16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</row>
    <row r="46" spans="1:66" x14ac:dyDescent="0.25">
      <c r="D46" s="10"/>
      <c r="F46" s="11"/>
      <c r="G46" s="12"/>
      <c r="K46" s="13"/>
      <c r="L46" s="14"/>
      <c r="M46" s="15"/>
      <c r="N46" s="15"/>
      <c r="O46" s="15"/>
      <c r="P46" s="15"/>
      <c r="Q46" s="15"/>
      <c r="R46" s="15"/>
      <c r="S46" s="15"/>
      <c r="T46" s="15"/>
      <c r="U46" s="16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</row>
    <row r="47" spans="1:66" x14ac:dyDescent="0.25">
      <c r="D47" s="10"/>
      <c r="F47" s="11"/>
      <c r="G47" s="12"/>
      <c r="K47" s="13"/>
      <c r="L47" s="14"/>
      <c r="M47" s="15"/>
      <c r="N47" s="15"/>
      <c r="O47" s="15"/>
      <c r="P47" s="15"/>
      <c r="Q47" s="15"/>
      <c r="R47" s="15"/>
      <c r="S47" s="15"/>
      <c r="T47" s="15"/>
      <c r="U47" s="16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</row>
    <row r="48" spans="1:66" x14ac:dyDescent="0.25">
      <c r="D48" s="10"/>
      <c r="F48" s="11"/>
      <c r="G48" s="12"/>
      <c r="K48" s="13"/>
      <c r="L48" s="14"/>
      <c r="M48" s="15"/>
      <c r="N48" s="15"/>
      <c r="O48" s="15"/>
      <c r="P48" s="15"/>
      <c r="Q48" s="15"/>
      <c r="R48" s="15"/>
      <c r="S48" s="15"/>
      <c r="T48" s="15"/>
      <c r="U48" s="16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</row>
    <row r="49" spans="3:63" x14ac:dyDescent="0.25">
      <c r="F49" s="11"/>
      <c r="G49" s="12"/>
      <c r="K49" s="13"/>
      <c r="L49" s="12"/>
      <c r="U49" s="13"/>
    </row>
    <row r="50" spans="3:63" x14ac:dyDescent="0.25">
      <c r="D50" s="1" t="s">
        <v>40</v>
      </c>
      <c r="E50" s="1"/>
      <c r="F50" s="11">
        <f ca="1">COUNT(F7:F48)</f>
        <v>36</v>
      </c>
      <c r="G50" s="12">
        <f t="shared" ref="G50:AJ50" ca="1" si="10">COUNT(G7:G48)</f>
        <v>36</v>
      </c>
      <c r="H50">
        <f t="shared" ca="1" si="10"/>
        <v>36</v>
      </c>
      <c r="I50">
        <f t="shared" ca="1" si="10"/>
        <v>36</v>
      </c>
      <c r="J50">
        <f t="shared" ca="1" si="10"/>
        <v>36</v>
      </c>
      <c r="K50" s="13">
        <f t="shared" ca="1" si="10"/>
        <v>36</v>
      </c>
      <c r="L50" s="12">
        <f t="shared" ca="1" si="10"/>
        <v>36</v>
      </c>
      <c r="M50">
        <f t="shared" ca="1" si="10"/>
        <v>36</v>
      </c>
      <c r="N50">
        <f t="shared" ca="1" si="10"/>
        <v>36</v>
      </c>
      <c r="O50">
        <f t="shared" ca="1" si="10"/>
        <v>36</v>
      </c>
      <c r="P50">
        <f t="shared" ca="1" si="10"/>
        <v>36</v>
      </c>
      <c r="Q50">
        <f t="shared" ca="1" si="10"/>
        <v>36</v>
      </c>
      <c r="R50">
        <f t="shared" ca="1" si="10"/>
        <v>36</v>
      </c>
      <c r="S50">
        <f t="shared" ca="1" si="10"/>
        <v>36</v>
      </c>
      <c r="T50">
        <f t="shared" ca="1" si="10"/>
        <v>36</v>
      </c>
      <c r="U50" s="13">
        <f t="shared" ca="1" si="10"/>
        <v>36</v>
      </c>
      <c r="V50">
        <f t="shared" ca="1" si="10"/>
        <v>36</v>
      </c>
      <c r="W50">
        <f t="shared" ca="1" si="10"/>
        <v>36</v>
      </c>
      <c r="X50">
        <f t="shared" ca="1" si="10"/>
        <v>36</v>
      </c>
      <c r="Y50">
        <f t="shared" ca="1" si="10"/>
        <v>36</v>
      </c>
      <c r="Z50">
        <f t="shared" ca="1" si="10"/>
        <v>36</v>
      </c>
      <c r="AA50">
        <f t="shared" ca="1" si="10"/>
        <v>36</v>
      </c>
      <c r="AB50">
        <f t="shared" ca="1" si="10"/>
        <v>36</v>
      </c>
      <c r="AC50">
        <f t="shared" ca="1" si="10"/>
        <v>36</v>
      </c>
      <c r="AD50">
        <f t="shared" ca="1" si="10"/>
        <v>36</v>
      </c>
      <c r="AE50">
        <f t="shared" ca="1" si="10"/>
        <v>36</v>
      </c>
      <c r="AF50">
        <f t="shared" ca="1" si="10"/>
        <v>36</v>
      </c>
      <c r="AG50">
        <f t="shared" ca="1" si="10"/>
        <v>36</v>
      </c>
      <c r="AH50">
        <f t="shared" ca="1" si="10"/>
        <v>36</v>
      </c>
      <c r="AI50">
        <f t="shared" ca="1" si="10"/>
        <v>36</v>
      </c>
      <c r="AJ50">
        <f t="shared" ca="1" si="10"/>
        <v>36</v>
      </c>
      <c r="BG50">
        <f t="shared" ref="BG50:BK50" ca="1" si="11">COUNT(BG7:BG48)</f>
        <v>36</v>
      </c>
      <c r="BH50">
        <f t="shared" ca="1" si="11"/>
        <v>36</v>
      </c>
      <c r="BI50">
        <f t="shared" ca="1" si="11"/>
        <v>36</v>
      </c>
      <c r="BJ50">
        <f t="shared" ca="1" si="11"/>
        <v>36</v>
      </c>
      <c r="BK50">
        <f t="shared" ca="1" si="11"/>
        <v>36</v>
      </c>
    </row>
    <row r="51" spans="3:63" x14ac:dyDescent="0.25">
      <c r="D51" s="1" t="s">
        <v>41</v>
      </c>
      <c r="E51" s="1"/>
      <c r="F51" s="17">
        <f t="shared" ref="F51:AJ51" ca="1" si="12">AVERAGE(F7:F48)</f>
        <v>19.241666666666664</v>
      </c>
      <c r="G51" s="18">
        <f t="shared" ca="1" si="12"/>
        <v>25.399630555555557</v>
      </c>
      <c r="H51" s="19">
        <f t="shared" ca="1" si="12"/>
        <v>25.402894444444449</v>
      </c>
      <c r="I51" s="19">
        <f t="shared" ca="1" si="12"/>
        <v>25.403133333333326</v>
      </c>
      <c r="J51" s="19">
        <f t="shared" ca="1" si="12"/>
        <v>25.40466111111111</v>
      </c>
      <c r="K51" s="20">
        <f t="shared" ca="1" si="12"/>
        <v>25.402883333333335</v>
      </c>
      <c r="L51" s="18">
        <f t="shared" ca="1" si="12"/>
        <v>72.880367244901365</v>
      </c>
      <c r="M51" s="19">
        <f t="shared" ca="1" si="12"/>
        <v>73.711881499234835</v>
      </c>
      <c r="N51" s="19">
        <f t="shared" ca="1" si="12"/>
        <v>72.342479483582167</v>
      </c>
      <c r="O51" s="19">
        <f t="shared" ca="1" si="12"/>
        <v>71.964465819160921</v>
      </c>
      <c r="P51" s="19">
        <f t="shared" ca="1" si="12"/>
        <v>125.9341890552224</v>
      </c>
      <c r="Q51" s="19">
        <f t="shared" ca="1" si="12"/>
        <v>145.21994383064535</v>
      </c>
      <c r="R51" s="19">
        <f t="shared" ca="1" si="12"/>
        <v>74.988938546795566</v>
      </c>
      <c r="S51" s="19">
        <f t="shared" ca="1" si="12"/>
        <v>73.984108173574867</v>
      </c>
      <c r="T51" s="19">
        <f t="shared" ca="1" si="12"/>
        <v>145.67290003180631</v>
      </c>
      <c r="U51" s="20">
        <f t="shared" ca="1" si="12"/>
        <v>123.92766963413484</v>
      </c>
      <c r="V51" s="19">
        <f t="shared" ca="1" si="12"/>
        <v>0</v>
      </c>
      <c r="W51" s="19">
        <f t="shared" ca="1" si="12"/>
        <v>0</v>
      </c>
      <c r="X51" s="19">
        <f t="shared" ca="1" si="12"/>
        <v>0</v>
      </c>
      <c r="Y51" s="19">
        <f t="shared" ca="1" si="12"/>
        <v>62.483133333333321</v>
      </c>
      <c r="Z51" s="19">
        <f t="shared" ca="1" si="12"/>
        <v>37.515330555555558</v>
      </c>
      <c r="AA51" s="19">
        <f t="shared" ca="1" si="12"/>
        <v>7.7144444444444432E-2</v>
      </c>
      <c r="AB51" s="19">
        <f t="shared" ca="1" si="12"/>
        <v>-63.451055555555548</v>
      </c>
      <c r="AC51" s="19">
        <f t="shared" ca="1" si="12"/>
        <v>37.515330555555558</v>
      </c>
      <c r="AD51" s="19">
        <f t="shared" ca="1" si="12"/>
        <v>7.068055555555558E-2</v>
      </c>
      <c r="AE51" s="19">
        <f t="shared" ca="1" si="12"/>
        <v>-62.481358333333333</v>
      </c>
      <c r="AF51" s="19">
        <f t="shared" ca="1" si="12"/>
        <v>-36.462422222222223</v>
      </c>
      <c r="AG51" s="19">
        <f t="shared" ca="1" si="12"/>
        <v>7.7219444444444438E-2</v>
      </c>
      <c r="AH51" s="19">
        <f t="shared" ca="1" si="12"/>
        <v>61.442244444444455</v>
      </c>
      <c r="AI51" s="19">
        <f t="shared" ca="1" si="12"/>
        <v>-37.466383333333333</v>
      </c>
      <c r="AJ51" s="19">
        <f t="shared" ca="1" si="12"/>
        <v>7.1116666666666661E-2</v>
      </c>
      <c r="BG51" s="19">
        <f t="shared" ref="BG51:BK51" ca="1" si="13">AVERAGE(BG7:BG48)</f>
        <v>6.7361111111111111E-3</v>
      </c>
      <c r="BH51" s="19">
        <f t="shared" ca="1" si="13"/>
        <v>8.2472222222222218E-3</v>
      </c>
      <c r="BI51" s="19">
        <f t="shared" ca="1" si="13"/>
        <v>6.7833333333333339E-3</v>
      </c>
      <c r="BJ51" s="19">
        <f t="shared" ca="1" si="13"/>
        <v>8.2527777777777773E-3</v>
      </c>
      <c r="BK51" s="19">
        <f t="shared" ca="1" si="13"/>
        <v>7.0916666666666671E-3</v>
      </c>
    </row>
    <row r="52" spans="3:63" x14ac:dyDescent="0.25">
      <c r="D52" s="1" t="s">
        <v>42</v>
      </c>
      <c r="E52" s="1"/>
      <c r="F52" s="21">
        <f ca="1">_xlfn.STDEV.S(F7:F48)</f>
        <v>0.20053499872662076</v>
      </c>
      <c r="G52" s="22">
        <f ca="1">_xlfn.STDEV.S(G7:G48)*1000</f>
        <v>0.46771141556930546</v>
      </c>
      <c r="H52" s="23">
        <f ca="1">_xlfn.STDEV.S(H7:H48)*1000</f>
        <v>0.47445875596416648</v>
      </c>
      <c r="I52" s="23">
        <f t="shared" ref="I52:AJ52" ca="1" si="14">_xlfn.STDEV.S(I7:I48)*1000</f>
        <v>0.39206413469568857</v>
      </c>
      <c r="J52" s="23">
        <f t="shared" ca="1" si="14"/>
        <v>0.36899692432199399</v>
      </c>
      <c r="K52" s="24">
        <f t="shared" ca="1" si="14"/>
        <v>0.51575187832913649</v>
      </c>
      <c r="L52" s="22">
        <f t="shared" ca="1" si="14"/>
        <v>0.64385047443886156</v>
      </c>
      <c r="M52" s="23">
        <f t="shared" ca="1" si="14"/>
        <v>0.47507612681564754</v>
      </c>
      <c r="N52" s="23">
        <f t="shared" ca="1" si="14"/>
        <v>0.87911918578687231</v>
      </c>
      <c r="O52" s="23">
        <f t="shared" ca="1" si="14"/>
        <v>0.44147335242556363</v>
      </c>
      <c r="P52" s="23">
        <f t="shared" ca="1" si="14"/>
        <v>1.2528369702927549</v>
      </c>
      <c r="Q52" s="23">
        <f t="shared" ca="1" si="14"/>
        <v>1.3242934521520313</v>
      </c>
      <c r="R52" s="23">
        <f t="shared" ca="1" si="14"/>
        <v>0.75037031580478764</v>
      </c>
      <c r="S52" s="23">
        <f t="shared" ca="1" si="14"/>
        <v>0.9160140463388543</v>
      </c>
      <c r="T52" s="23">
        <f t="shared" ca="1" si="14"/>
        <v>0.44211530363249951</v>
      </c>
      <c r="U52" s="24">
        <f t="shared" ca="1" si="14"/>
        <v>1.3123363888478436</v>
      </c>
      <c r="V52" s="23">
        <f t="shared" ca="1" si="14"/>
        <v>0</v>
      </c>
      <c r="W52" s="23">
        <f t="shared" ca="1" si="14"/>
        <v>0</v>
      </c>
      <c r="X52" s="23">
        <f t="shared" ca="1" si="14"/>
        <v>0</v>
      </c>
      <c r="Y52" s="23">
        <f t="shared" ca="1" si="14"/>
        <v>0.81170015575770937</v>
      </c>
      <c r="Z52" s="23">
        <f t="shared" ca="1" si="14"/>
        <v>0.43016239089434377</v>
      </c>
      <c r="AA52" s="23">
        <f t="shared" ca="1" si="14"/>
        <v>0.48133412478499771</v>
      </c>
      <c r="AB52" s="23">
        <f t="shared" ca="1" si="14"/>
        <v>0.6531000555353792</v>
      </c>
      <c r="AC52" s="23">
        <f t="shared" ca="1" si="14"/>
        <v>0.43016239089434377</v>
      </c>
      <c r="AD52" s="23">
        <f t="shared" ca="1" si="14"/>
        <v>0.49095792339026678</v>
      </c>
      <c r="AE52" s="23">
        <f t="shared" ca="1" si="14"/>
        <v>1.2375955951532005</v>
      </c>
      <c r="AF52" s="23">
        <f t="shared" ca="1" si="14"/>
        <v>0.73644362061789814</v>
      </c>
      <c r="AG52" s="23">
        <f t="shared" ca="1" si="14"/>
        <v>0.49153953158531533</v>
      </c>
      <c r="AH52" s="23">
        <f t="shared" ca="1" si="14"/>
        <v>0.42858201045165706</v>
      </c>
      <c r="AI52" s="23">
        <f t="shared" ca="1" si="14"/>
        <v>0.62266707453851533</v>
      </c>
      <c r="AJ52" s="23">
        <f t="shared" ca="1" si="14"/>
        <v>0.49655959216535966</v>
      </c>
      <c r="BG52" s="23">
        <f t="shared" ref="BG52:BK52" ca="1" si="15">_xlfn.STDEV.S(BG7:BG48)*1000</f>
        <v>3.1961720656147228</v>
      </c>
      <c r="BH52" s="23">
        <f t="shared" ca="1" si="15"/>
        <v>3.1976318121930833</v>
      </c>
      <c r="BI52" s="23">
        <f t="shared" ca="1" si="15"/>
        <v>3.2201597120994729</v>
      </c>
      <c r="BJ52" s="23">
        <f t="shared" ca="1" si="15"/>
        <v>3.3285334489283613</v>
      </c>
      <c r="BK52" s="23">
        <f t="shared" ca="1" si="15"/>
        <v>3.2201486212373975</v>
      </c>
    </row>
    <row r="53" spans="3:63" x14ac:dyDescent="0.25">
      <c r="D53" s="1" t="s">
        <v>43</v>
      </c>
      <c r="E53" s="1"/>
      <c r="F53" s="11">
        <f t="shared" ref="F53:AJ53" ca="1" si="16">MIN(F7:F48)</f>
        <v>18.899999999999999</v>
      </c>
      <c r="G53" s="14">
        <f t="shared" ca="1" si="16"/>
        <v>25.398599999999998</v>
      </c>
      <c r="H53" s="15">
        <f t="shared" ca="1" si="16"/>
        <v>25.401900000000001</v>
      </c>
      <c r="I53" s="15">
        <f t="shared" ca="1" si="16"/>
        <v>25.4024</v>
      </c>
      <c r="J53" s="15">
        <f t="shared" ca="1" si="16"/>
        <v>25.404</v>
      </c>
      <c r="K53" s="16">
        <f t="shared" ca="1" si="16"/>
        <v>25.401900000000001</v>
      </c>
      <c r="L53" s="14">
        <f t="shared" ca="1" si="16"/>
        <v>72.879020057970038</v>
      </c>
      <c r="M53" s="15">
        <f t="shared" ca="1" si="16"/>
        <v>73.710718675440958</v>
      </c>
      <c r="N53" s="15">
        <f t="shared" ca="1" si="16"/>
        <v>72.341237694830738</v>
      </c>
      <c r="O53" s="15">
        <f t="shared" ca="1" si="16"/>
        <v>71.963356443192666</v>
      </c>
      <c r="P53" s="15">
        <f t="shared" ca="1" si="16"/>
        <v>125.93220018359085</v>
      </c>
      <c r="Q53" s="15">
        <f t="shared" ca="1" si="16"/>
        <v>145.21818379700252</v>
      </c>
      <c r="R53" s="15">
        <f t="shared" ca="1" si="16"/>
        <v>74.987729087431376</v>
      </c>
      <c r="S53" s="15">
        <f t="shared" ca="1" si="16"/>
        <v>73.982751608533732</v>
      </c>
      <c r="T53" s="15">
        <f t="shared" ca="1" si="16"/>
        <v>145.67188126666724</v>
      </c>
      <c r="U53" s="16">
        <f t="shared" ca="1" si="16"/>
        <v>123.92567452057705</v>
      </c>
      <c r="V53">
        <f t="shared" ca="1" si="16"/>
        <v>0</v>
      </c>
      <c r="W53">
        <f t="shared" ca="1" si="16"/>
        <v>0</v>
      </c>
      <c r="X53">
        <f t="shared" ca="1" si="16"/>
        <v>0</v>
      </c>
      <c r="Y53" s="15">
        <f t="shared" ca="1" si="16"/>
        <v>62.481400000000001</v>
      </c>
      <c r="Z53" s="15">
        <f t="shared" ca="1" si="16"/>
        <v>37.514299999999999</v>
      </c>
      <c r="AA53" s="15">
        <f t="shared" ca="1" si="16"/>
        <v>7.6200000000000004E-2</v>
      </c>
      <c r="AB53" s="15">
        <f t="shared" ca="1" si="16"/>
        <v>-63.452300000000001</v>
      </c>
      <c r="AC53" s="15">
        <f t="shared" ca="1" si="16"/>
        <v>37.514299999999999</v>
      </c>
      <c r="AD53" s="15">
        <f t="shared" ca="1" si="16"/>
        <v>6.9599999999999995E-2</v>
      </c>
      <c r="AE53" s="15">
        <f t="shared" ca="1" si="16"/>
        <v>-62.483600000000003</v>
      </c>
      <c r="AF53" s="15">
        <f t="shared" ca="1" si="16"/>
        <v>-36.463999999999999</v>
      </c>
      <c r="AG53" s="15">
        <f t="shared" ca="1" si="16"/>
        <v>7.6200000000000004E-2</v>
      </c>
      <c r="AH53" s="15">
        <f t="shared" ca="1" si="16"/>
        <v>61.441299999999998</v>
      </c>
      <c r="AI53" s="15">
        <f t="shared" ca="1" si="16"/>
        <v>-37.467500000000001</v>
      </c>
      <c r="AJ53" s="15">
        <f t="shared" ca="1" si="16"/>
        <v>7.0000000000000007E-2</v>
      </c>
      <c r="BG53" s="15">
        <f t="shared" ref="BG53:BK53" ca="1" si="17">MIN(BG7:BG48)</f>
        <v>3.3999999999999998E-3</v>
      </c>
      <c r="BH53" s="15">
        <f t="shared" ca="1" si="17"/>
        <v>4.1000000000000003E-3</v>
      </c>
      <c r="BI53" s="15">
        <f t="shared" ca="1" si="17"/>
        <v>3.7000000000000002E-3</v>
      </c>
      <c r="BJ53" s="15">
        <f t="shared" ca="1" si="17"/>
        <v>4.3E-3</v>
      </c>
      <c r="BK53" s="15">
        <f t="shared" ca="1" si="17"/>
        <v>4.3E-3</v>
      </c>
    </row>
    <row r="54" spans="3:63" x14ac:dyDescent="0.25">
      <c r="D54" s="1" t="s">
        <v>44</v>
      </c>
      <c r="E54" s="1"/>
      <c r="F54" s="11">
        <f t="shared" ref="F54:AJ54" ca="1" si="18">MAX(F7:F48)</f>
        <v>19.600000000000001</v>
      </c>
      <c r="G54" s="14">
        <f t="shared" ca="1" si="18"/>
        <v>25.401</v>
      </c>
      <c r="H54" s="15">
        <f t="shared" ca="1" si="18"/>
        <v>25.4039</v>
      </c>
      <c r="I54" s="15">
        <f t="shared" ca="1" si="18"/>
        <v>25.4039</v>
      </c>
      <c r="J54" s="15">
        <f t="shared" ca="1" si="18"/>
        <v>25.4056</v>
      </c>
      <c r="K54" s="16">
        <f t="shared" ca="1" si="18"/>
        <v>25.4038</v>
      </c>
      <c r="L54" s="14">
        <f t="shared" ca="1" si="18"/>
        <v>72.881592749541355</v>
      </c>
      <c r="M54" s="15">
        <f t="shared" ca="1" si="18"/>
        <v>73.712713648935761</v>
      </c>
      <c r="N54" s="15">
        <f t="shared" ca="1" si="18"/>
        <v>72.344253587482683</v>
      </c>
      <c r="O54" s="15">
        <f t="shared" ca="1" si="18"/>
        <v>71.965126835989111</v>
      </c>
      <c r="P54" s="15">
        <f t="shared" ca="1" si="18"/>
        <v>125.93620017294471</v>
      </c>
      <c r="Q54" s="15">
        <f t="shared" ca="1" si="18"/>
        <v>145.22233356681059</v>
      </c>
      <c r="R54" s="15">
        <f t="shared" ca="1" si="18"/>
        <v>74.990121899754243</v>
      </c>
      <c r="S54" s="15">
        <f t="shared" ca="1" si="18"/>
        <v>73.986070994140519</v>
      </c>
      <c r="T54" s="15">
        <f t="shared" ca="1" si="18"/>
        <v>145.67376776046535</v>
      </c>
      <c r="U54" s="16">
        <f t="shared" ca="1" si="18"/>
        <v>123.93026548478784</v>
      </c>
      <c r="V54">
        <f t="shared" ca="1" si="18"/>
        <v>0</v>
      </c>
      <c r="W54">
        <f t="shared" ca="1" si="18"/>
        <v>0</v>
      </c>
      <c r="X54">
        <f t="shared" ca="1" si="18"/>
        <v>0</v>
      </c>
      <c r="Y54" s="15">
        <f t="shared" ca="1" si="18"/>
        <v>62.484699999999997</v>
      </c>
      <c r="Z54" s="15">
        <f t="shared" ca="1" si="18"/>
        <v>37.516399999999997</v>
      </c>
      <c r="AA54" s="15">
        <f t="shared" ca="1" si="18"/>
        <v>7.8100000000000003E-2</v>
      </c>
      <c r="AB54" s="15">
        <f t="shared" ca="1" si="18"/>
        <v>-63.4499</v>
      </c>
      <c r="AC54" s="15">
        <f t="shared" ca="1" si="18"/>
        <v>37.516399999999997</v>
      </c>
      <c r="AD54" s="15">
        <f t="shared" ca="1" si="18"/>
        <v>7.1800000000000003E-2</v>
      </c>
      <c r="AE54" s="15">
        <f t="shared" ca="1" si="18"/>
        <v>-62.479599999999998</v>
      </c>
      <c r="AF54" s="15">
        <f t="shared" ca="1" si="18"/>
        <v>-36.461300000000001</v>
      </c>
      <c r="AG54" s="15">
        <f t="shared" ca="1" si="18"/>
        <v>7.8200000000000006E-2</v>
      </c>
      <c r="AH54" s="15">
        <f t="shared" ca="1" si="18"/>
        <v>61.442999999999998</v>
      </c>
      <c r="AI54" s="15">
        <f t="shared" ca="1" si="18"/>
        <v>-37.465400000000002</v>
      </c>
      <c r="AJ54" s="15">
        <f t="shared" ca="1" si="18"/>
        <v>7.22E-2</v>
      </c>
      <c r="BG54" s="15">
        <f t="shared" ref="BG54:BK54" ca="1" si="19">MAX(BG7:BG48)</f>
        <v>2.01E-2</v>
      </c>
      <c r="BH54" s="15">
        <f t="shared" ca="1" si="19"/>
        <v>1.8700000000000001E-2</v>
      </c>
      <c r="BI54" s="15">
        <f t="shared" ca="1" si="19"/>
        <v>1.7899999999999999E-2</v>
      </c>
      <c r="BJ54" s="15">
        <f t="shared" ca="1" si="19"/>
        <v>1.83E-2</v>
      </c>
      <c r="BK54" s="15">
        <f t="shared" ca="1" si="19"/>
        <v>2.0500000000000001E-2</v>
      </c>
    </row>
    <row r="55" spans="3:63" x14ac:dyDescent="0.25">
      <c r="D55" s="1" t="s">
        <v>45</v>
      </c>
      <c r="E55" s="1"/>
      <c r="F55" s="11">
        <f ca="1">F54-F53</f>
        <v>0.70000000000000284</v>
      </c>
      <c r="G55" s="22">
        <f t="shared" ref="G55:AJ55" ca="1" si="20">(G54-G53)*1000</f>
        <v>2.400000000001512</v>
      </c>
      <c r="H55" s="23">
        <f t="shared" ca="1" si="20"/>
        <v>1.9999999999988916</v>
      </c>
      <c r="I55" s="23">
        <f t="shared" ca="1" si="20"/>
        <v>1.5000000000000568</v>
      </c>
      <c r="J55" s="23">
        <f t="shared" ca="1" si="20"/>
        <v>1.5999999999998238</v>
      </c>
      <c r="K55" s="24">
        <f t="shared" ca="1" si="20"/>
        <v>1.8999999999991246</v>
      </c>
      <c r="L55" s="22">
        <f t="shared" ca="1" si="20"/>
        <v>2.5726915713164544</v>
      </c>
      <c r="M55" s="23">
        <f t="shared" ca="1" si="20"/>
        <v>1.9949734948028208</v>
      </c>
      <c r="N55" s="23">
        <f t="shared" ca="1" si="20"/>
        <v>3.0158926519447959</v>
      </c>
      <c r="O55" s="23">
        <f t="shared" ca="1" si="20"/>
        <v>1.770392796444753</v>
      </c>
      <c r="P55" s="23">
        <f t="shared" ca="1" si="20"/>
        <v>3.9999893538578135</v>
      </c>
      <c r="Q55" s="23">
        <f t="shared" ca="1" si="20"/>
        <v>4.1497698080661394</v>
      </c>
      <c r="R55" s="23">
        <f t="shared" ca="1" si="20"/>
        <v>2.3928123228671438</v>
      </c>
      <c r="S55" s="23">
        <f t="shared" ca="1" si="20"/>
        <v>3.3193856067867955</v>
      </c>
      <c r="T55" s="23">
        <f t="shared" ca="1" si="20"/>
        <v>1.8864937981106777</v>
      </c>
      <c r="U55" s="24">
        <f t="shared" ca="1" si="20"/>
        <v>4.5909642107915261</v>
      </c>
      <c r="V55" s="23">
        <f t="shared" ca="1" si="20"/>
        <v>0</v>
      </c>
      <c r="W55" s="23">
        <f t="shared" ca="1" si="20"/>
        <v>0</v>
      </c>
      <c r="X55" s="23">
        <f t="shared" ca="1" si="20"/>
        <v>0</v>
      </c>
      <c r="Y55" s="23">
        <f t="shared" ca="1" si="20"/>
        <v>3.2999999999958618</v>
      </c>
      <c r="Z55" s="23">
        <f t="shared" ca="1" si="20"/>
        <v>2.0999999999986585</v>
      </c>
      <c r="AA55" s="23">
        <f t="shared" ca="1" si="20"/>
        <v>1.899999999999999</v>
      </c>
      <c r="AB55" s="23">
        <f t="shared" ca="1" si="20"/>
        <v>2.400000000001512</v>
      </c>
      <c r="AC55" s="23">
        <f t="shared" ca="1" si="20"/>
        <v>2.0999999999986585</v>
      </c>
      <c r="AD55" s="23">
        <f t="shared" ca="1" si="20"/>
        <v>2.2000000000000073</v>
      </c>
      <c r="AE55" s="23">
        <f t="shared" ca="1" si="20"/>
        <v>4.0000000000048885</v>
      </c>
      <c r="AF55" s="23">
        <f t="shared" ca="1" si="20"/>
        <v>2.6999999999972601</v>
      </c>
      <c r="AG55" s="23">
        <f t="shared" ca="1" si="20"/>
        <v>2.0000000000000018</v>
      </c>
      <c r="AH55" s="23">
        <f t="shared" ca="1" si="20"/>
        <v>1.6999999999995907</v>
      </c>
      <c r="AI55" s="23">
        <f t="shared" ca="1" si="20"/>
        <v>2.0999999999986585</v>
      </c>
      <c r="AJ55" s="23">
        <f t="shared" ca="1" si="20"/>
        <v>2.1999999999999935</v>
      </c>
      <c r="BG55" s="23">
        <f t="shared" ref="BG55:BK55" ca="1" si="21">(BG54-BG53)*1000</f>
        <v>16.7</v>
      </c>
      <c r="BH55" s="23">
        <f t="shared" ca="1" si="21"/>
        <v>14.600000000000001</v>
      </c>
      <c r="BI55" s="23">
        <f t="shared" ca="1" si="21"/>
        <v>14.2</v>
      </c>
      <c r="BJ55" s="23">
        <f t="shared" ca="1" si="21"/>
        <v>14</v>
      </c>
      <c r="BK55" s="23">
        <f t="shared" ca="1" si="21"/>
        <v>16.2</v>
      </c>
    </row>
    <row r="56" spans="3:63" x14ac:dyDescent="0.25">
      <c r="D56" s="1"/>
      <c r="E56" s="1"/>
      <c r="F56" s="11"/>
      <c r="G56" s="12"/>
      <c r="K56" s="13"/>
      <c r="L56" s="12"/>
      <c r="U56" s="13"/>
    </row>
    <row r="57" spans="3:63" x14ac:dyDescent="0.25">
      <c r="C57" t="s">
        <v>46</v>
      </c>
      <c r="D57" s="1"/>
      <c r="E57" s="1"/>
      <c r="F57" s="11">
        <f ca="1">COUNTIFS($C7:$C48,$C$57)</f>
        <v>18</v>
      </c>
      <c r="G57" s="12">
        <f ca="1">COUNTIFS($C7:$C48,$C$57)</f>
        <v>18</v>
      </c>
      <c r="H57">
        <f t="shared" ref="H57:U57" ca="1" si="22">COUNTIFS($C7:$C48,$C$57)</f>
        <v>18</v>
      </c>
      <c r="I57">
        <f t="shared" ca="1" si="22"/>
        <v>18</v>
      </c>
      <c r="J57">
        <f t="shared" ca="1" si="22"/>
        <v>18</v>
      </c>
      <c r="K57" s="13">
        <f t="shared" ca="1" si="22"/>
        <v>18</v>
      </c>
      <c r="L57" s="12">
        <f t="shared" ca="1" si="22"/>
        <v>18</v>
      </c>
      <c r="M57">
        <f t="shared" ca="1" si="22"/>
        <v>18</v>
      </c>
      <c r="N57">
        <f t="shared" ca="1" si="22"/>
        <v>18</v>
      </c>
      <c r="O57">
        <f t="shared" ca="1" si="22"/>
        <v>18</v>
      </c>
      <c r="P57">
        <f t="shared" ca="1" si="22"/>
        <v>18</v>
      </c>
      <c r="Q57">
        <f t="shared" ca="1" si="22"/>
        <v>18</v>
      </c>
      <c r="R57">
        <f t="shared" ca="1" si="22"/>
        <v>18</v>
      </c>
      <c r="S57">
        <f t="shared" ca="1" si="22"/>
        <v>18</v>
      </c>
      <c r="T57">
        <f t="shared" ca="1" si="22"/>
        <v>18</v>
      </c>
      <c r="U57" s="13">
        <f t="shared" ca="1" si="22"/>
        <v>18</v>
      </c>
    </row>
    <row r="58" spans="3:63" x14ac:dyDescent="0.25">
      <c r="D58" s="1" t="s">
        <v>41</v>
      </c>
      <c r="E58" s="1"/>
      <c r="F58" s="28">
        <f ca="1">AVERAGEIFS(F7:F48,$C7:$C48,$C$57)</f>
        <v>19.311111111111117</v>
      </c>
      <c r="G58" s="14">
        <f t="shared" ref="G58:AJ58" ca="1" si="23">AVERAGEIFS(G7:G48,$C7:$C48,$C$57)</f>
        <v>25.399555555555558</v>
      </c>
      <c r="H58" s="15">
        <f t="shared" ca="1" si="23"/>
        <v>25.402633333333331</v>
      </c>
      <c r="I58" s="15">
        <f t="shared" ca="1" si="23"/>
        <v>25.403111111111112</v>
      </c>
      <c r="J58" s="15">
        <f t="shared" ca="1" si="23"/>
        <v>25.404499999999999</v>
      </c>
      <c r="K58" s="16">
        <f t="shared" ca="1" si="23"/>
        <v>25.402444444444441</v>
      </c>
      <c r="L58" s="14">
        <f t="shared" ca="1" si="23"/>
        <v>72.880823125802124</v>
      </c>
      <c r="M58" s="15">
        <f t="shared" ca="1" si="23"/>
        <v>73.712202202757666</v>
      </c>
      <c r="N58" s="15">
        <f t="shared" ca="1" si="23"/>
        <v>72.343208059861695</v>
      </c>
      <c r="O58" s="15">
        <f t="shared" ca="1" si="23"/>
        <v>71.964263721389273</v>
      </c>
      <c r="P58" s="15">
        <f t="shared" ca="1" si="23"/>
        <v>125.93536128250192</v>
      </c>
      <c r="Q58" s="15">
        <f t="shared" ca="1" si="23"/>
        <v>145.22112494651097</v>
      </c>
      <c r="R58" s="15">
        <f t="shared" ca="1" si="23"/>
        <v>74.988261147749313</v>
      </c>
      <c r="S58" s="15">
        <f t="shared" ca="1" si="23"/>
        <v>73.983363797527957</v>
      </c>
      <c r="T58" s="15">
        <f t="shared" ca="1" si="23"/>
        <v>145.67301841696624</v>
      </c>
      <c r="U58" s="16">
        <f t="shared" ca="1" si="23"/>
        <v>123.9288561168534</v>
      </c>
      <c r="V58" s="15">
        <f t="shared" ca="1" si="23"/>
        <v>0</v>
      </c>
      <c r="W58" s="15">
        <f t="shared" ca="1" si="23"/>
        <v>0</v>
      </c>
      <c r="X58" s="15">
        <f t="shared" ca="1" si="23"/>
        <v>0</v>
      </c>
      <c r="Y58" s="15">
        <f t="shared" ca="1" si="23"/>
        <v>62.483800000000002</v>
      </c>
      <c r="Z58" s="15">
        <f t="shared" ca="1" si="23"/>
        <v>37.51510555555555</v>
      </c>
      <c r="AA58" s="15">
        <f t="shared" ca="1" si="23"/>
        <v>7.7277777777777779E-2</v>
      </c>
      <c r="AB58" s="15">
        <f t="shared" ca="1" si="23"/>
        <v>-63.451561111111104</v>
      </c>
      <c r="AC58" s="15">
        <f t="shared" ca="1" si="23"/>
        <v>37.51510555555555</v>
      </c>
      <c r="AD58" s="15">
        <f t="shared" ca="1" si="23"/>
        <v>7.0716666666666678E-2</v>
      </c>
      <c r="AE58" s="15">
        <f t="shared" ca="1" si="23"/>
        <v>-62.482499999999995</v>
      </c>
      <c r="AF58" s="15">
        <f t="shared" ca="1" si="23"/>
        <v>-36.461911111111107</v>
      </c>
      <c r="AG58" s="15">
        <f t="shared" ca="1" si="23"/>
        <v>7.7355555555555552E-2</v>
      </c>
      <c r="AH58" s="15">
        <f t="shared" ca="1" si="23"/>
        <v>61.442288888888875</v>
      </c>
      <c r="AI58" s="15">
        <f t="shared" ca="1" si="23"/>
        <v>-37.465922222222225</v>
      </c>
      <c r="AJ58" s="15">
        <f t="shared" ca="1" si="23"/>
        <v>7.113888888888889E-2</v>
      </c>
      <c r="BG58" s="15">
        <f t="shared" ref="BG58:BK58" ca="1" si="24">AVERAGEIFS(BG7:BG48,$C7:$C48,$C$57)</f>
        <v>6.9000000000000008E-3</v>
      </c>
      <c r="BH58" s="15">
        <f t="shared" ca="1" si="24"/>
        <v>8.1666666666666676E-3</v>
      </c>
      <c r="BI58" s="15">
        <f t="shared" ca="1" si="24"/>
        <v>6.7166666666666677E-3</v>
      </c>
      <c r="BJ58" s="15">
        <f t="shared" ca="1" si="24"/>
        <v>8.9444444444444441E-3</v>
      </c>
      <c r="BK58" s="15">
        <f t="shared" ca="1" si="24"/>
        <v>7.6388888888888895E-3</v>
      </c>
    </row>
    <row r="59" spans="3:63" x14ac:dyDescent="0.25">
      <c r="D59" s="1" t="s">
        <v>42</v>
      </c>
      <c r="E59" s="1"/>
      <c r="F59" s="28">
        <f t="array" aca="1" ref="F59" ca="1">_xlfn.STDEV.S(IF($C7:$C48=$C$57,F7:F48))</f>
        <v>0.1843554395849904</v>
      </c>
      <c r="G59" s="22">
        <f t="array" aca="1" ref="G59" ca="1">_xlfn.STDEV.S(IF($C7:$C48=$C$57,G7:G48))*1000</f>
        <v>0.44618938503738975</v>
      </c>
      <c r="H59" s="23">
        <f t="array" aca="1" ref="H59" ca="1">_xlfn.STDEV.S(IF($C7:$C48=$C$57,H7:H48))*1000</f>
        <v>0.38653818013938102</v>
      </c>
      <c r="I59" s="23">
        <f t="array" aca="1" ref="I59" ca="1">_xlfn.STDEV.S(IF($C7:$C48=$C$57,I7:I48))*1000</f>
        <v>0.35128150080928033</v>
      </c>
      <c r="J59" s="23">
        <f t="array" aca="1" ref="J59" ca="1">_xlfn.STDEV.S(IF($C7:$C48=$C$57,J7:J48))*1000</f>
        <v>0.29901800063891221</v>
      </c>
      <c r="K59" s="24">
        <f t="array" aca="1" ref="K59" ca="1">_xlfn.STDEV.S(IF($C7:$C48=$C$57,K7:K48))*1000</f>
        <v>0.2833044968018027</v>
      </c>
      <c r="L59" s="22">
        <f t="array" aca="1" ref="L59" ca="1">_xlfn.STDEV.S(IF($C7:$C48=$C$57,L7:L48))*1000</f>
        <v>0.5417770246300041</v>
      </c>
      <c r="M59" s="23">
        <f t="array" aca="1" ref="M59" ca="1">_xlfn.STDEV.S(IF($C7:$C48=$C$57,M7:M48))*1000</f>
        <v>0.31303441389195918</v>
      </c>
      <c r="N59" s="23">
        <f t="array" aca="1" ref="N59" ca="1">_xlfn.STDEV.S(IF($C7:$C48=$C$57,N7:N48))*1000</f>
        <v>0.48845971305629837</v>
      </c>
      <c r="O59" s="23">
        <f t="array" aca="1" ref="O59" ca="1">_xlfn.STDEV.S(IF($C7:$C48=$C$57,O7:O48))*1000</f>
        <v>0.34299813262477441</v>
      </c>
      <c r="P59" s="23">
        <f t="array" aca="1" ref="P59" ca="1">_xlfn.STDEV.S(IF($C7:$C48=$C$57,P7:P48))*1000</f>
        <v>0.43133445007842636</v>
      </c>
      <c r="Q59" s="23">
        <f t="array" aca="1" ref="Q59" ca="1">_xlfn.STDEV.S(IF($C7:$C48=$C$57,Q7:Q48))*1000</f>
        <v>0.70240140328340839</v>
      </c>
      <c r="R59" s="23">
        <f t="array" aca="1" ref="R59" ca="1">_xlfn.STDEV.S(IF($C7:$C48=$C$57,R7:R48))*1000</f>
        <v>0.26179733646547332</v>
      </c>
      <c r="S59" s="23">
        <f t="array" aca="1" ref="S59" ca="1">_xlfn.STDEV.S(IF($C7:$C48=$C$57,S7:S48))*1000</f>
        <v>0.50277440249461303</v>
      </c>
      <c r="T59" s="23">
        <f t="array" aca="1" ref="T59" ca="1">_xlfn.STDEV.S(IF($C7:$C48=$C$57,T7:T48))*1000</f>
        <v>0.33987404990406078</v>
      </c>
      <c r="U59" s="24">
        <f t="array" aca="1" ref="U59" ca="1">_xlfn.STDEV.S(IF($C7:$C48=$C$57,U7:U48))*1000</f>
        <v>0.57897265087258931</v>
      </c>
    </row>
    <row r="60" spans="3:63" x14ac:dyDescent="0.25">
      <c r="D60" s="1"/>
      <c r="E60" s="1"/>
      <c r="F60" s="11"/>
      <c r="G60" s="22"/>
      <c r="H60" s="23"/>
      <c r="I60" s="23"/>
      <c r="J60" s="23"/>
      <c r="K60" s="24"/>
      <c r="L60" s="22"/>
      <c r="M60" s="23"/>
      <c r="N60" s="23"/>
      <c r="O60" s="23"/>
      <c r="P60" s="23"/>
      <c r="Q60" s="23"/>
      <c r="R60" s="23"/>
      <c r="S60" s="23"/>
      <c r="T60" s="23"/>
      <c r="U60" s="24"/>
    </row>
    <row r="61" spans="3:63" x14ac:dyDescent="0.25">
      <c r="C61" t="s">
        <v>47</v>
      </c>
      <c r="D61" s="1"/>
      <c r="E61" s="1"/>
      <c r="F61" s="11">
        <f ca="1">COUNTIFS($C7:$C48,$C$61)</f>
        <v>18</v>
      </c>
      <c r="G61" s="12">
        <f ca="1">COUNTIFS($C7:$C48,$C$61)</f>
        <v>18</v>
      </c>
      <c r="H61">
        <f t="shared" ref="H61:U61" ca="1" si="25">COUNTIFS($C7:$C48,$C$61)</f>
        <v>18</v>
      </c>
      <c r="I61">
        <f t="shared" ca="1" si="25"/>
        <v>18</v>
      </c>
      <c r="J61">
        <f t="shared" ca="1" si="25"/>
        <v>18</v>
      </c>
      <c r="K61" s="13">
        <f t="shared" ca="1" si="25"/>
        <v>18</v>
      </c>
      <c r="L61" s="12">
        <f t="shared" ca="1" si="25"/>
        <v>18</v>
      </c>
      <c r="M61">
        <f t="shared" ca="1" si="25"/>
        <v>18</v>
      </c>
      <c r="N61">
        <f t="shared" ca="1" si="25"/>
        <v>18</v>
      </c>
      <c r="O61">
        <f t="shared" ca="1" si="25"/>
        <v>18</v>
      </c>
      <c r="P61">
        <f t="shared" ca="1" si="25"/>
        <v>18</v>
      </c>
      <c r="Q61">
        <f t="shared" ca="1" si="25"/>
        <v>18</v>
      </c>
      <c r="R61">
        <f t="shared" ca="1" si="25"/>
        <v>18</v>
      </c>
      <c r="S61">
        <f t="shared" ca="1" si="25"/>
        <v>18</v>
      </c>
      <c r="T61">
        <f t="shared" ca="1" si="25"/>
        <v>18</v>
      </c>
      <c r="U61" s="13">
        <f t="shared" ca="1" si="25"/>
        <v>18</v>
      </c>
    </row>
    <row r="62" spans="3:63" x14ac:dyDescent="0.25">
      <c r="D62" s="1" t="s">
        <v>41</v>
      </c>
      <c r="E62" s="1"/>
      <c r="F62" s="28">
        <f t="shared" ref="F62" ca="1" si="26">AVERAGEIFS(F7:F48,$C7:$C48,$C$61)</f>
        <v>19.172222222222221</v>
      </c>
      <c r="G62" s="14">
        <f t="shared" ref="G62:AJ62" ca="1" si="27">AVERAGEIFS(G7:G48,$C7:$C48,$C$61)</f>
        <v>25.399705555555556</v>
      </c>
      <c r="H62" s="15">
        <f t="shared" ca="1" si="27"/>
        <v>25.403155555555557</v>
      </c>
      <c r="I62" s="15">
        <f t="shared" ca="1" si="27"/>
        <v>25.403155555555553</v>
      </c>
      <c r="J62" s="15">
        <f t="shared" ca="1" si="27"/>
        <v>25.404822222222222</v>
      </c>
      <c r="K62" s="16">
        <f t="shared" ca="1" si="27"/>
        <v>25.403322222222226</v>
      </c>
      <c r="L62" s="14">
        <f t="shared" ca="1" si="27"/>
        <v>72.879911364000648</v>
      </c>
      <c r="M62" s="15">
        <f t="shared" ca="1" si="27"/>
        <v>73.711560795712018</v>
      </c>
      <c r="N62" s="15">
        <f t="shared" ca="1" si="27"/>
        <v>72.341750907302625</v>
      </c>
      <c r="O62" s="15">
        <f t="shared" ca="1" si="27"/>
        <v>71.964667916932569</v>
      </c>
      <c r="P62" s="15">
        <f t="shared" ca="1" si="27"/>
        <v>125.93301682794286</v>
      </c>
      <c r="Q62" s="15">
        <f t="shared" ca="1" si="27"/>
        <v>145.21876271477976</v>
      </c>
      <c r="R62" s="15">
        <f t="shared" ca="1" si="27"/>
        <v>74.989615945841877</v>
      </c>
      <c r="S62" s="15">
        <f t="shared" ca="1" si="27"/>
        <v>73.984852549621749</v>
      </c>
      <c r="T62" s="15">
        <f t="shared" ca="1" si="27"/>
        <v>145.67278164664629</v>
      </c>
      <c r="U62" s="16">
        <f t="shared" ca="1" si="27"/>
        <v>123.92648315141641</v>
      </c>
      <c r="V62" s="15">
        <f t="shared" ca="1" si="27"/>
        <v>0</v>
      </c>
      <c r="W62" s="15">
        <f t="shared" ca="1" si="27"/>
        <v>0</v>
      </c>
      <c r="X62" s="15">
        <f t="shared" ca="1" si="27"/>
        <v>0</v>
      </c>
      <c r="Y62" s="15">
        <f t="shared" ca="1" si="27"/>
        <v>62.482466666666674</v>
      </c>
      <c r="Z62" s="15">
        <f t="shared" ca="1" si="27"/>
        <v>37.515555555555551</v>
      </c>
      <c r="AA62" s="15">
        <f t="shared" ca="1" si="27"/>
        <v>7.70111111111111E-2</v>
      </c>
      <c r="AB62" s="15">
        <f t="shared" ca="1" si="27"/>
        <v>-63.450549999999993</v>
      </c>
      <c r="AC62" s="15">
        <f t="shared" ca="1" si="27"/>
        <v>37.515555555555551</v>
      </c>
      <c r="AD62" s="15">
        <f t="shared" ca="1" si="27"/>
        <v>7.0644444444444454E-2</v>
      </c>
      <c r="AE62" s="15">
        <f t="shared" ca="1" si="27"/>
        <v>-62.480216666666671</v>
      </c>
      <c r="AF62" s="15">
        <f t="shared" ca="1" si="27"/>
        <v>-36.462933333333339</v>
      </c>
      <c r="AG62" s="15">
        <f t="shared" ca="1" si="27"/>
        <v>7.7083333333333323E-2</v>
      </c>
      <c r="AH62" s="15">
        <f t="shared" ca="1" si="27"/>
        <v>61.442200000000007</v>
      </c>
      <c r="AI62" s="15">
        <f t="shared" ca="1" si="27"/>
        <v>-37.46684444444444</v>
      </c>
      <c r="AJ62" s="15">
        <f t="shared" ca="1" si="27"/>
        <v>7.1094444444444446E-2</v>
      </c>
      <c r="BG62" s="15">
        <f t="shared" ref="BG62:BK62" ca="1" si="28">AVERAGEIFS(BG7:BG48,$C7:$C48,$C$61)</f>
        <v>6.5722222222222224E-3</v>
      </c>
      <c r="BH62" s="15">
        <f t="shared" ca="1" si="28"/>
        <v>8.3277777777777777E-3</v>
      </c>
      <c r="BI62" s="15">
        <f t="shared" ca="1" si="28"/>
        <v>6.8500000000000011E-3</v>
      </c>
      <c r="BJ62" s="15">
        <f t="shared" ca="1" si="28"/>
        <v>7.5611111111111113E-3</v>
      </c>
      <c r="BK62" s="15">
        <f t="shared" ca="1" si="28"/>
        <v>6.5444444444444447E-3</v>
      </c>
    </row>
    <row r="63" spans="3:63" x14ac:dyDescent="0.25">
      <c r="D63" s="1" t="s">
        <v>42</v>
      </c>
      <c r="E63" s="1"/>
      <c r="F63" s="28">
        <f t="array" aca="1" ref="F63" ca="1">_xlfn.STDEV.S(IF($C7:$C48=$C$61,F7:F48))</f>
        <v>0.19645551975404035</v>
      </c>
      <c r="G63" s="22">
        <f t="array" aca="1" ref="G63" ca="1">_xlfn.STDEV.S(IF($C7:$C48=$C$61,G7:G48))*1000</f>
        <v>0.489263819393221</v>
      </c>
      <c r="H63" s="23">
        <f t="array" aca="1" ref="H63" ca="1">_xlfn.STDEV.S(IF($C7:$C48=$C$61,H7:H48))*1000</f>
        <v>0.41191407188250828</v>
      </c>
      <c r="I63" s="23">
        <f t="array" aca="1" ref="I63" ca="1">_xlfn.STDEV.S(IF($C7:$C48=$C$61,I7:I48))*1000</f>
        <v>0.43820787737245614</v>
      </c>
      <c r="J63" s="23">
        <f t="array" aca="1" ref="J63" ca="1">_xlfn.STDEV.S(IF($C7:$C48=$C$61,J7:J48))*1000</f>
        <v>0.36871087917059581</v>
      </c>
      <c r="K63" s="24">
        <f t="array" aca="1" ref="K63" ca="1">_xlfn.STDEV.S(IF($C7:$C48=$C$61,K7:K48))*1000</f>
        <v>0.24387932299297979</v>
      </c>
      <c r="L63" s="22">
        <f t="array" aca="1" ref="L63" ca="1">_xlfn.STDEV.S(IF($C7:$C48=$C$61,L7:L48))*1000</f>
        <v>0.34618543754071557</v>
      </c>
      <c r="M63" s="23">
        <f t="array" aca="1" ref="M63" ca="1">_xlfn.STDEV.S(IF($C7:$C48=$C$61,M7:M48))*1000</f>
        <v>0.38584820108916296</v>
      </c>
      <c r="N63" s="23">
        <f t="array" aca="1" ref="N63" ca="1">_xlfn.STDEV.S(IF($C7:$C48=$C$61,N7:N48))*1000</f>
        <v>0.47798890110311498</v>
      </c>
      <c r="O63" s="23">
        <f t="array" aca="1" ref="O63" ca="1">_xlfn.STDEV.S(IF($C7:$C48=$C$61,O7:O48))*1000</f>
        <v>0.44398447733345753</v>
      </c>
      <c r="P63" s="23">
        <f t="array" aca="1" ref="P63" ca="1">_xlfn.STDEV.S(IF($C7:$C48=$C$61,P7:P48))*1000</f>
        <v>0.36822084539073402</v>
      </c>
      <c r="Q63" s="23">
        <f t="array" aca="1" ref="Q63" ca="1">_xlfn.STDEV.S(IF($C7:$C48=$C$61,Q7:Q48))*1000</f>
        <v>0.40386805935190218</v>
      </c>
      <c r="R63" s="23">
        <f t="array" aca="1" ref="R63" ca="1">_xlfn.STDEV.S(IF($C7:$C48=$C$61,R7:R48))*1000</f>
        <v>0.3449213178308761</v>
      </c>
      <c r="S63" s="23">
        <f t="array" aca="1" ref="S63" ca="1">_xlfn.STDEV.S(IF($C7:$C48=$C$61,S7:S48))*1000</f>
        <v>0.54896264691912156</v>
      </c>
      <c r="T63" s="23">
        <f t="array" aca="1" ref="T63" ca="1">_xlfn.STDEV.S(IF($C7:$C48=$C$61,T7:T48))*1000</f>
        <v>0.50718496530372836</v>
      </c>
      <c r="U63" s="24">
        <f t="array" aca="1" ref="U63" ca="1">_xlfn.STDEV.S(IF($C7:$C48=$C$61,U7:U48))*1000</f>
        <v>0.47901213352130634</v>
      </c>
    </row>
    <row r="64" spans="3:63" x14ac:dyDescent="0.25">
      <c r="C64" t="s">
        <v>48</v>
      </c>
      <c r="D64" s="1"/>
      <c r="E64" s="1"/>
      <c r="F64" s="11"/>
      <c r="G64" s="12"/>
      <c r="K64" s="13"/>
      <c r="L64" s="12"/>
      <c r="U64" s="13"/>
    </row>
    <row r="65" spans="4:63" ht="15.75" thickBot="1" x14ac:dyDescent="0.3">
      <c r="D65" s="1" t="s">
        <v>49</v>
      </c>
      <c r="E65" s="1"/>
      <c r="F65" s="29">
        <f ca="1">(F62-F58)</f>
        <v>-0.13888888888889639</v>
      </c>
      <c r="G65" s="25">
        <f ca="1">(G62-G58)*1000</f>
        <v>0.14999999999787406</v>
      </c>
      <c r="H65" s="26">
        <f t="shared" ref="H65:AJ65" ca="1" si="29">(H62-H58)*1000</f>
        <v>0.52222222222653158</v>
      </c>
      <c r="I65" s="26">
        <f t="shared" ca="1" si="29"/>
        <v>4.4444444441182895E-2</v>
      </c>
      <c r="J65" s="26">
        <f t="shared" ca="1" si="29"/>
        <v>0.32222222222344499</v>
      </c>
      <c r="K65" s="27">
        <f t="shared" ca="1" si="29"/>
        <v>0.87777777778441646</v>
      </c>
      <c r="L65" s="25">
        <f t="shared" ca="1" si="29"/>
        <v>-0.91176180147556352</v>
      </c>
      <c r="M65" s="26">
        <f t="shared" ca="1" si="29"/>
        <v>-0.64140704564863427</v>
      </c>
      <c r="N65" s="26">
        <f t="shared" ca="1" si="29"/>
        <v>-1.457152559069641</v>
      </c>
      <c r="O65" s="26">
        <f t="shared" ca="1" si="29"/>
        <v>0.40419554329673701</v>
      </c>
      <c r="P65" s="26">
        <f t="shared" ca="1" si="29"/>
        <v>-2.344454559050746</v>
      </c>
      <c r="Q65" s="26">
        <f t="shared" ca="1" si="29"/>
        <v>-2.3622317312117502</v>
      </c>
      <c r="R65" s="26">
        <f t="shared" ca="1" si="29"/>
        <v>1.3547980925636693</v>
      </c>
      <c r="S65" s="26">
        <f t="shared" ca="1" si="29"/>
        <v>1.4887520937918453</v>
      </c>
      <c r="T65" s="26">
        <f t="shared" ca="1" si="29"/>
        <v>-0.23677031995816833</v>
      </c>
      <c r="U65" s="27">
        <f t="shared" ca="1" si="29"/>
        <v>-2.3729654369901709</v>
      </c>
      <c r="V65" s="23">
        <f t="shared" ca="1" si="29"/>
        <v>0</v>
      </c>
      <c r="W65" s="23">
        <f t="shared" ca="1" si="29"/>
        <v>0</v>
      </c>
      <c r="X65" s="23">
        <f t="shared" ca="1" si="29"/>
        <v>0</v>
      </c>
      <c r="Y65" s="23">
        <f t="shared" ca="1" si="29"/>
        <v>-1.3333333333278574</v>
      </c>
      <c r="Z65" s="23">
        <f t="shared" ca="1" si="29"/>
        <v>0.4500000000007276</v>
      </c>
      <c r="AA65" s="23">
        <f t="shared" ca="1" si="29"/>
        <v>-0.26666666666667893</v>
      </c>
      <c r="AB65" s="23">
        <f t="shared" ca="1" si="29"/>
        <v>1.0111111111115179</v>
      </c>
      <c r="AC65" s="23">
        <f t="shared" ca="1" si="29"/>
        <v>0.4500000000007276</v>
      </c>
      <c r="AD65" s="23">
        <f t="shared" ca="1" si="29"/>
        <v>-7.222222222222352E-2</v>
      </c>
      <c r="AE65" s="23">
        <f t="shared" ca="1" si="29"/>
        <v>2.283333333323867</v>
      </c>
      <c r="AF65" s="23">
        <f t="shared" ca="1" si="29"/>
        <v>-1.0222222222324717</v>
      </c>
      <c r="AG65" s="23">
        <f t="shared" ca="1" si="29"/>
        <v>-0.27222222222222925</v>
      </c>
      <c r="AH65" s="23">
        <f t="shared" ca="1" si="29"/>
        <v>-8.8888888868154936E-2</v>
      </c>
      <c r="AI65" s="23">
        <f t="shared" ca="1" si="29"/>
        <v>-0.92222222221494121</v>
      </c>
      <c r="AJ65" s="23">
        <f t="shared" ca="1" si="29"/>
        <v>-4.4444444444444176E-2</v>
      </c>
      <c r="BG65" s="23">
        <f t="shared" ref="BG65:BK65" ca="1" si="30">(BG62-BG58)*1000</f>
        <v>-0.32777777777777839</v>
      </c>
      <c r="BH65" s="23">
        <f t="shared" ca="1" si="30"/>
        <v>0.16111111111111015</v>
      </c>
      <c r="BI65" s="23">
        <f t="shared" ca="1" si="30"/>
        <v>0.13333333333333339</v>
      </c>
      <c r="BJ65" s="23">
        <f t="shared" ca="1" si="30"/>
        <v>-1.3833333333333329</v>
      </c>
      <c r="BK65" s="23">
        <f t="shared" ca="1" si="30"/>
        <v>-1.0944444444444448</v>
      </c>
    </row>
    <row r="68" spans="4:63" x14ac:dyDescent="0.25">
      <c r="G68" s="30">
        <f ca="1">G52/1000</f>
        <v>4.6771141556930547E-4</v>
      </c>
      <c r="H68" s="30">
        <f t="shared" ref="H68:AJ68" ca="1" si="31">H52/1000</f>
        <v>4.7445875596416646E-4</v>
      </c>
      <c r="I68" s="30">
        <f t="shared" ca="1" si="31"/>
        <v>3.920641346956886E-4</v>
      </c>
      <c r="J68" s="30">
        <f t="shared" ca="1" si="31"/>
        <v>3.6899692432199401E-4</v>
      </c>
      <c r="K68" s="30">
        <f t="shared" ca="1" si="31"/>
        <v>5.1575187832913648E-4</v>
      </c>
      <c r="L68" s="30">
        <f t="shared" ca="1" si="31"/>
        <v>6.4385047443886153E-4</v>
      </c>
      <c r="M68" s="30">
        <f t="shared" ca="1" si="31"/>
        <v>4.7507612681564756E-4</v>
      </c>
      <c r="N68" s="30">
        <f t="shared" ca="1" si="31"/>
        <v>8.7911918578687236E-4</v>
      </c>
      <c r="O68" s="30">
        <f t="shared" ca="1" si="31"/>
        <v>4.4147335242556362E-4</v>
      </c>
      <c r="P68" s="30">
        <f t="shared" ca="1" si="31"/>
        <v>1.2528369702927548E-3</v>
      </c>
      <c r="Q68" s="30">
        <f t="shared" ca="1" si="31"/>
        <v>1.3242934521520314E-3</v>
      </c>
      <c r="R68" s="30">
        <f t="shared" ca="1" si="31"/>
        <v>7.5037031580478769E-4</v>
      </c>
      <c r="S68" s="30">
        <f t="shared" ca="1" si="31"/>
        <v>9.1601404633885435E-4</v>
      </c>
      <c r="T68" s="30">
        <f t="shared" ca="1" si="31"/>
        <v>4.4211530363249949E-4</v>
      </c>
      <c r="U68" s="30">
        <f t="shared" ca="1" si="31"/>
        <v>1.3123363888478436E-3</v>
      </c>
      <c r="V68" s="30">
        <f t="shared" ca="1" si="31"/>
        <v>0</v>
      </c>
      <c r="W68" s="30">
        <f t="shared" ca="1" si="31"/>
        <v>0</v>
      </c>
      <c r="X68" s="30">
        <f t="shared" ca="1" si="31"/>
        <v>0</v>
      </c>
      <c r="Y68" s="30">
        <f t="shared" ca="1" si="31"/>
        <v>8.1170015575770941E-4</v>
      </c>
      <c r="Z68" s="30">
        <f t="shared" ca="1" si="31"/>
        <v>4.301623908943438E-4</v>
      </c>
      <c r="AA68" s="30">
        <f t="shared" ca="1" si="31"/>
        <v>4.8133412478499769E-4</v>
      </c>
      <c r="AB68" s="30">
        <f t="shared" ca="1" si="31"/>
        <v>6.5310005553537924E-4</v>
      </c>
      <c r="AC68" s="30">
        <f t="shared" ca="1" si="31"/>
        <v>4.301623908943438E-4</v>
      </c>
      <c r="AD68" s="30">
        <f t="shared" ca="1" si="31"/>
        <v>4.9095792339026679E-4</v>
      </c>
      <c r="AE68" s="30">
        <f t="shared" ca="1" si="31"/>
        <v>1.2375955951532006E-3</v>
      </c>
      <c r="AF68" s="30">
        <f t="shared" ca="1" si="31"/>
        <v>7.3644362061789815E-4</v>
      </c>
      <c r="AG68" s="30">
        <f t="shared" ca="1" si="31"/>
        <v>4.915395315853153E-4</v>
      </c>
      <c r="AH68" s="30">
        <f t="shared" ca="1" si="31"/>
        <v>4.2858201045165706E-4</v>
      </c>
      <c r="AI68" s="30">
        <f t="shared" ca="1" si="31"/>
        <v>6.2266707453851537E-4</v>
      </c>
      <c r="AJ68" s="30">
        <f t="shared" ca="1" si="31"/>
        <v>4.9655959216535965E-4</v>
      </c>
      <c r="BG68" s="30">
        <f t="shared" ref="BG68:BK68" ca="1" si="32">BG52/1000</f>
        <v>3.1961720656147226E-3</v>
      </c>
      <c r="BH68" s="30">
        <f t="shared" ca="1" si="32"/>
        <v>3.1976318121930834E-3</v>
      </c>
      <c r="BI68" s="30">
        <f t="shared" ca="1" si="32"/>
        <v>3.2201597120994729E-3</v>
      </c>
      <c r="BJ68" s="30">
        <f t="shared" ca="1" si="32"/>
        <v>3.3285334489283613E-3</v>
      </c>
      <c r="BK68" s="30">
        <f t="shared" ca="1" si="32"/>
        <v>3.2201486212373974E-3</v>
      </c>
    </row>
    <row r="85" spans="4:21" x14ac:dyDescent="0.25">
      <c r="D85">
        <v>1</v>
      </c>
      <c r="F85">
        <v>0</v>
      </c>
      <c r="G85" s="15">
        <f ca="1">G53</f>
        <v>25.398599999999998</v>
      </c>
      <c r="H85" s="15">
        <f t="shared" ref="H85:U85" ca="1" si="33">H53</f>
        <v>25.401900000000001</v>
      </c>
      <c r="I85" s="15">
        <f t="shared" ca="1" si="33"/>
        <v>25.4024</v>
      </c>
      <c r="J85" s="15">
        <f t="shared" ca="1" si="33"/>
        <v>25.404</v>
      </c>
      <c r="K85" s="15">
        <f t="shared" ca="1" si="33"/>
        <v>25.401900000000001</v>
      </c>
      <c r="L85" s="15">
        <f t="shared" ca="1" si="33"/>
        <v>72.879020057970038</v>
      </c>
      <c r="M85" s="15">
        <f t="shared" ca="1" si="33"/>
        <v>73.710718675440958</v>
      </c>
      <c r="N85" s="15">
        <f t="shared" ca="1" si="33"/>
        <v>72.341237694830738</v>
      </c>
      <c r="O85" s="15">
        <f t="shared" ca="1" si="33"/>
        <v>71.963356443192666</v>
      </c>
      <c r="P85" s="15">
        <f t="shared" ca="1" si="33"/>
        <v>125.93220018359085</v>
      </c>
      <c r="Q85" s="15">
        <f t="shared" ca="1" si="33"/>
        <v>145.21818379700252</v>
      </c>
      <c r="R85" s="15">
        <f t="shared" ca="1" si="33"/>
        <v>74.987729087431376</v>
      </c>
      <c r="S85" s="15">
        <f t="shared" ca="1" si="33"/>
        <v>73.982751608533732</v>
      </c>
      <c r="T85" s="15">
        <f t="shared" ca="1" si="33"/>
        <v>145.67188126666724</v>
      </c>
      <c r="U85" s="15">
        <f t="shared" ca="1" si="33"/>
        <v>123.92567452057705</v>
      </c>
    </row>
    <row r="86" spans="4:21" x14ac:dyDescent="0.25">
      <c r="D86">
        <v>2</v>
      </c>
      <c r="F86">
        <v>0.5</v>
      </c>
      <c r="G86" s="15">
        <f ca="1">G$85+$F86/1000</f>
        <v>25.399099999999997</v>
      </c>
      <c r="H86" s="15">
        <f t="shared" ref="H86:U86" ca="1" si="34">H$85+$F86/1000</f>
        <v>25.4024</v>
      </c>
      <c r="I86" s="15">
        <f t="shared" ca="1" si="34"/>
        <v>25.402899999999999</v>
      </c>
      <c r="J86" s="15">
        <f t="shared" ca="1" si="34"/>
        <v>25.404499999999999</v>
      </c>
      <c r="K86" s="15">
        <f t="shared" ca="1" si="34"/>
        <v>25.4024</v>
      </c>
      <c r="L86" s="15">
        <f t="shared" ca="1" si="34"/>
        <v>72.879520057970041</v>
      </c>
      <c r="M86" s="15">
        <f t="shared" ca="1" si="34"/>
        <v>73.711218675440961</v>
      </c>
      <c r="N86" s="15">
        <f t="shared" ca="1" si="34"/>
        <v>72.341737694830741</v>
      </c>
      <c r="O86" s="15">
        <f t="shared" ca="1" si="34"/>
        <v>71.963856443192668</v>
      </c>
      <c r="P86" s="15">
        <f t="shared" ca="1" si="34"/>
        <v>125.93270018359085</v>
      </c>
      <c r="Q86" s="15">
        <f t="shared" ca="1" si="34"/>
        <v>145.21868379700251</v>
      </c>
      <c r="R86" s="15">
        <f t="shared" ca="1" si="34"/>
        <v>74.988229087431378</v>
      </c>
      <c r="S86" s="15">
        <f t="shared" ca="1" si="34"/>
        <v>73.983251608533735</v>
      </c>
      <c r="T86" s="15">
        <f t="shared" ca="1" si="34"/>
        <v>145.67238126666723</v>
      </c>
      <c r="U86" s="15">
        <f t="shared" ca="1" si="34"/>
        <v>123.92617452057705</v>
      </c>
    </row>
    <row r="87" spans="4:21" x14ac:dyDescent="0.25">
      <c r="D87">
        <v>3</v>
      </c>
      <c r="F87">
        <v>1</v>
      </c>
      <c r="G87" s="15">
        <f t="shared" ref="G87:U103" ca="1" si="35">G$85+$F87/1000</f>
        <v>25.3996</v>
      </c>
      <c r="H87" s="15">
        <f t="shared" ca="1" si="35"/>
        <v>25.402900000000002</v>
      </c>
      <c r="I87" s="15">
        <f t="shared" ca="1" si="35"/>
        <v>25.403400000000001</v>
      </c>
      <c r="J87" s="15">
        <f t="shared" ca="1" si="35"/>
        <v>25.405000000000001</v>
      </c>
      <c r="K87" s="15">
        <f t="shared" ca="1" si="35"/>
        <v>25.402900000000002</v>
      </c>
      <c r="L87" s="15">
        <f t="shared" ca="1" si="35"/>
        <v>72.880020057970043</v>
      </c>
      <c r="M87" s="15">
        <f t="shared" ca="1" si="35"/>
        <v>73.711718675440963</v>
      </c>
      <c r="N87" s="15">
        <f t="shared" ca="1" si="35"/>
        <v>72.342237694830743</v>
      </c>
      <c r="O87" s="15">
        <f t="shared" ca="1" si="35"/>
        <v>71.964356443192671</v>
      </c>
      <c r="P87" s="15">
        <f t="shared" ca="1" si="35"/>
        <v>125.93320018359086</v>
      </c>
      <c r="Q87" s="15">
        <f t="shared" ca="1" si="35"/>
        <v>145.21918379700253</v>
      </c>
      <c r="R87" s="15">
        <f t="shared" ca="1" si="35"/>
        <v>74.988729087431381</v>
      </c>
      <c r="S87" s="15">
        <f t="shared" ca="1" si="35"/>
        <v>73.983751608533737</v>
      </c>
      <c r="T87" s="15">
        <f t="shared" ca="1" si="35"/>
        <v>145.67288126666725</v>
      </c>
      <c r="U87" s="15">
        <f t="shared" ca="1" si="35"/>
        <v>123.92667452057705</v>
      </c>
    </row>
    <row r="88" spans="4:21" x14ac:dyDescent="0.25">
      <c r="D88">
        <v>4</v>
      </c>
      <c r="F88">
        <v>1.5</v>
      </c>
      <c r="G88" s="15">
        <f t="shared" ca="1" si="35"/>
        <v>25.400099999999998</v>
      </c>
      <c r="H88" s="15">
        <f t="shared" ca="1" si="35"/>
        <v>25.403400000000001</v>
      </c>
      <c r="I88" s="15">
        <f t="shared" ca="1" si="35"/>
        <v>25.4039</v>
      </c>
      <c r="J88" s="15">
        <f t="shared" ca="1" si="35"/>
        <v>25.4055</v>
      </c>
      <c r="K88" s="15">
        <f t="shared" ca="1" si="35"/>
        <v>25.403400000000001</v>
      </c>
      <c r="L88" s="15">
        <f t="shared" ca="1" si="35"/>
        <v>72.880520057970031</v>
      </c>
      <c r="M88" s="15">
        <f t="shared" ca="1" si="35"/>
        <v>73.712218675440951</v>
      </c>
      <c r="N88" s="15">
        <f t="shared" ca="1" si="35"/>
        <v>72.342737694830731</v>
      </c>
      <c r="O88" s="15">
        <f t="shared" ca="1" si="35"/>
        <v>71.964856443192659</v>
      </c>
      <c r="P88" s="15">
        <f t="shared" ca="1" si="35"/>
        <v>125.93370018359084</v>
      </c>
      <c r="Q88" s="15">
        <f t="shared" ca="1" si="35"/>
        <v>145.21968379700252</v>
      </c>
      <c r="R88" s="15">
        <f t="shared" ca="1" si="35"/>
        <v>74.989229087431369</v>
      </c>
      <c r="S88" s="15">
        <f t="shared" ca="1" si="35"/>
        <v>73.984251608533725</v>
      </c>
      <c r="T88" s="15">
        <f t="shared" ca="1" si="35"/>
        <v>145.67338126666723</v>
      </c>
      <c r="U88" s="15">
        <f t="shared" ca="1" si="35"/>
        <v>123.92717452057704</v>
      </c>
    </row>
    <row r="89" spans="4:21" x14ac:dyDescent="0.25">
      <c r="D89">
        <v>5</v>
      </c>
      <c r="F89">
        <v>2</v>
      </c>
      <c r="G89" s="15">
        <f t="shared" ca="1" si="35"/>
        <v>25.400599999999997</v>
      </c>
      <c r="H89" s="15">
        <f t="shared" ca="1" si="35"/>
        <v>25.4039</v>
      </c>
      <c r="I89" s="15">
        <f t="shared" ca="1" si="35"/>
        <v>25.404399999999999</v>
      </c>
      <c r="J89" s="15">
        <f t="shared" ca="1" si="35"/>
        <v>25.405999999999999</v>
      </c>
      <c r="K89" s="15">
        <f t="shared" ca="1" si="35"/>
        <v>25.4039</v>
      </c>
      <c r="L89" s="15">
        <f t="shared" ca="1" si="35"/>
        <v>72.881020057970034</v>
      </c>
      <c r="M89" s="15">
        <f t="shared" ca="1" si="35"/>
        <v>73.712718675440954</v>
      </c>
      <c r="N89" s="15">
        <f t="shared" ca="1" si="35"/>
        <v>72.343237694830734</v>
      </c>
      <c r="O89" s="15">
        <f t="shared" ca="1" si="35"/>
        <v>71.965356443192661</v>
      </c>
      <c r="P89" s="15">
        <f t="shared" ca="1" si="35"/>
        <v>125.93420018359085</v>
      </c>
      <c r="Q89" s="15">
        <f t="shared" ca="1" si="35"/>
        <v>145.22018379700253</v>
      </c>
      <c r="R89" s="15">
        <f t="shared" ca="1" si="35"/>
        <v>74.989729087431371</v>
      </c>
      <c r="S89" s="15">
        <f t="shared" ca="1" si="35"/>
        <v>73.984751608533728</v>
      </c>
      <c r="T89" s="15">
        <f t="shared" ca="1" si="35"/>
        <v>145.67388126666725</v>
      </c>
      <c r="U89" s="15">
        <f t="shared" ca="1" si="35"/>
        <v>123.92767452057704</v>
      </c>
    </row>
    <row r="90" spans="4:21" x14ac:dyDescent="0.25">
      <c r="D90">
        <v>6</v>
      </c>
      <c r="F90">
        <v>2.5</v>
      </c>
      <c r="G90" s="15">
        <f t="shared" ca="1" si="35"/>
        <v>25.4011</v>
      </c>
      <c r="H90" s="15">
        <f t="shared" ca="1" si="35"/>
        <v>25.404400000000003</v>
      </c>
      <c r="I90" s="15">
        <f t="shared" ca="1" si="35"/>
        <v>25.404900000000001</v>
      </c>
      <c r="J90" s="15">
        <f t="shared" ca="1" si="35"/>
        <v>25.406500000000001</v>
      </c>
      <c r="K90" s="15">
        <f t="shared" ca="1" si="35"/>
        <v>25.404400000000003</v>
      </c>
      <c r="L90" s="15">
        <f t="shared" ca="1" si="35"/>
        <v>72.881520057970036</v>
      </c>
      <c r="M90" s="15">
        <f t="shared" ca="1" si="35"/>
        <v>73.713218675440956</v>
      </c>
      <c r="N90" s="15">
        <f t="shared" ca="1" si="35"/>
        <v>72.343737694830736</v>
      </c>
      <c r="O90" s="15">
        <f t="shared" ca="1" si="35"/>
        <v>71.965856443192664</v>
      </c>
      <c r="P90" s="15">
        <f t="shared" ca="1" si="35"/>
        <v>125.93470018359085</v>
      </c>
      <c r="Q90" s="15">
        <f t="shared" ca="1" si="35"/>
        <v>145.22068379700252</v>
      </c>
      <c r="R90" s="15">
        <f t="shared" ca="1" si="35"/>
        <v>74.990229087431374</v>
      </c>
      <c r="S90" s="15">
        <f t="shared" ca="1" si="35"/>
        <v>73.98525160853373</v>
      </c>
      <c r="T90" s="15">
        <f t="shared" ca="1" si="35"/>
        <v>145.67438126666724</v>
      </c>
      <c r="U90" s="15">
        <f t="shared" ca="1" si="35"/>
        <v>123.92817452057704</v>
      </c>
    </row>
    <row r="91" spans="4:21" x14ac:dyDescent="0.25">
      <c r="D91">
        <v>7</v>
      </c>
      <c r="F91">
        <v>3</v>
      </c>
      <c r="G91" s="15">
        <f t="shared" ca="1" si="35"/>
        <v>25.401599999999998</v>
      </c>
      <c r="H91" s="15">
        <f t="shared" ca="1" si="35"/>
        <v>25.404900000000001</v>
      </c>
      <c r="I91" s="15">
        <f t="shared" ca="1" si="35"/>
        <v>25.4054</v>
      </c>
      <c r="J91" s="15">
        <f t="shared" ca="1" si="35"/>
        <v>25.407</v>
      </c>
      <c r="K91" s="15">
        <f t="shared" ca="1" si="35"/>
        <v>25.404900000000001</v>
      </c>
      <c r="L91" s="15">
        <f t="shared" ca="1" si="35"/>
        <v>72.882020057970038</v>
      </c>
      <c r="M91" s="15">
        <f t="shared" ca="1" si="35"/>
        <v>73.713718675440958</v>
      </c>
      <c r="N91" s="15">
        <f t="shared" ca="1" si="35"/>
        <v>72.344237694830738</v>
      </c>
      <c r="O91" s="15">
        <f t="shared" ca="1" si="35"/>
        <v>71.966356443192666</v>
      </c>
      <c r="P91" s="15">
        <f t="shared" ca="1" si="35"/>
        <v>125.93520018359085</v>
      </c>
      <c r="Q91" s="15">
        <f t="shared" ca="1" si="35"/>
        <v>145.22118379700251</v>
      </c>
      <c r="R91" s="15">
        <f t="shared" ca="1" si="35"/>
        <v>74.990729087431376</v>
      </c>
      <c r="S91" s="15">
        <f t="shared" ca="1" si="35"/>
        <v>73.985751608533732</v>
      </c>
      <c r="T91" s="15">
        <f t="shared" ca="1" si="35"/>
        <v>145.67488126666723</v>
      </c>
      <c r="U91" s="15">
        <f t="shared" ca="1" si="35"/>
        <v>123.92867452057705</v>
      </c>
    </row>
    <row r="92" spans="4:21" x14ac:dyDescent="0.25">
      <c r="D92">
        <v>8</v>
      </c>
      <c r="F92">
        <v>3.5</v>
      </c>
      <c r="G92" s="15">
        <f t="shared" ca="1" si="35"/>
        <v>25.402099999999997</v>
      </c>
      <c r="H92" s="15">
        <f t="shared" ca="1" si="35"/>
        <v>25.4054</v>
      </c>
      <c r="I92" s="15">
        <f t="shared" ca="1" si="35"/>
        <v>25.405899999999999</v>
      </c>
      <c r="J92" s="15">
        <f t="shared" ca="1" si="35"/>
        <v>25.407499999999999</v>
      </c>
      <c r="K92" s="15">
        <f t="shared" ca="1" si="35"/>
        <v>25.4054</v>
      </c>
      <c r="L92" s="15">
        <f t="shared" ca="1" si="35"/>
        <v>72.882520057970041</v>
      </c>
      <c r="M92" s="15">
        <f t="shared" ca="1" si="35"/>
        <v>73.714218675440961</v>
      </c>
      <c r="N92" s="15">
        <f t="shared" ca="1" si="35"/>
        <v>72.344737694830741</v>
      </c>
      <c r="O92" s="15">
        <f t="shared" ca="1" si="35"/>
        <v>71.966856443192668</v>
      </c>
      <c r="P92" s="15">
        <f t="shared" ca="1" si="35"/>
        <v>125.93570018359085</v>
      </c>
      <c r="Q92" s="15">
        <f t="shared" ca="1" si="35"/>
        <v>145.22168379700253</v>
      </c>
      <c r="R92" s="15">
        <f t="shared" ca="1" si="35"/>
        <v>74.991229087431378</v>
      </c>
      <c r="S92" s="15">
        <f t="shared" ca="1" si="35"/>
        <v>73.986251608533735</v>
      </c>
      <c r="T92" s="15">
        <f t="shared" ca="1" si="35"/>
        <v>145.67538126666724</v>
      </c>
      <c r="U92" s="15">
        <f t="shared" ca="1" si="35"/>
        <v>123.92917452057705</v>
      </c>
    </row>
    <row r="93" spans="4:21" x14ac:dyDescent="0.25">
      <c r="D93">
        <v>9</v>
      </c>
      <c r="F93">
        <v>4</v>
      </c>
      <c r="G93" s="15">
        <f t="shared" ca="1" si="35"/>
        <v>25.4026</v>
      </c>
      <c r="H93" s="15">
        <f t="shared" ca="1" si="35"/>
        <v>25.405900000000003</v>
      </c>
      <c r="I93" s="15">
        <f t="shared" ca="1" si="35"/>
        <v>25.406400000000001</v>
      </c>
      <c r="J93" s="15">
        <f t="shared" ca="1" si="35"/>
        <v>25.408000000000001</v>
      </c>
      <c r="K93" s="15">
        <f t="shared" ca="1" si="35"/>
        <v>25.405900000000003</v>
      </c>
      <c r="L93" s="15">
        <f t="shared" ca="1" si="35"/>
        <v>72.883020057970043</v>
      </c>
      <c r="M93" s="15">
        <f t="shared" ca="1" si="35"/>
        <v>73.714718675440963</v>
      </c>
      <c r="N93" s="15">
        <f t="shared" ca="1" si="35"/>
        <v>72.345237694830743</v>
      </c>
      <c r="O93" s="15">
        <f t="shared" ca="1" si="35"/>
        <v>71.967356443192671</v>
      </c>
      <c r="P93" s="15">
        <f t="shared" ca="1" si="35"/>
        <v>125.93620018359086</v>
      </c>
      <c r="Q93" s="15">
        <f t="shared" ca="1" si="35"/>
        <v>145.22218379700251</v>
      </c>
      <c r="R93" s="15">
        <f t="shared" ca="1" si="35"/>
        <v>74.991729087431381</v>
      </c>
      <c r="S93" s="15">
        <f t="shared" ca="1" si="35"/>
        <v>73.986751608533737</v>
      </c>
      <c r="T93" s="15">
        <f t="shared" ca="1" si="35"/>
        <v>145.67588126666723</v>
      </c>
      <c r="U93" s="15">
        <f t="shared" ca="1" si="35"/>
        <v>123.92967452057705</v>
      </c>
    </row>
    <row r="94" spans="4:21" x14ac:dyDescent="0.25">
      <c r="D94">
        <v>10</v>
      </c>
      <c r="F94">
        <v>4.5</v>
      </c>
      <c r="G94" s="15">
        <f t="shared" ca="1" si="35"/>
        <v>25.403099999999998</v>
      </c>
      <c r="H94" s="15">
        <f t="shared" ca="1" si="35"/>
        <v>25.406400000000001</v>
      </c>
      <c r="I94" s="15">
        <f t="shared" ca="1" si="35"/>
        <v>25.4069</v>
      </c>
      <c r="J94" s="15">
        <f t="shared" ca="1" si="35"/>
        <v>25.4085</v>
      </c>
      <c r="K94" s="15">
        <f t="shared" ca="1" si="35"/>
        <v>25.406400000000001</v>
      </c>
      <c r="L94" s="15">
        <f t="shared" ca="1" si="35"/>
        <v>72.883520057970031</v>
      </c>
      <c r="M94" s="15">
        <f t="shared" ca="1" si="35"/>
        <v>73.715218675440951</v>
      </c>
      <c r="N94" s="15">
        <f t="shared" ca="1" si="35"/>
        <v>72.345737694830731</v>
      </c>
      <c r="O94" s="15">
        <f t="shared" ca="1" si="35"/>
        <v>71.967856443192659</v>
      </c>
      <c r="P94" s="15">
        <f t="shared" ca="1" si="35"/>
        <v>125.93670018359084</v>
      </c>
      <c r="Q94" s="15">
        <f t="shared" ca="1" si="35"/>
        <v>145.22268379700253</v>
      </c>
      <c r="R94" s="15">
        <f t="shared" ca="1" si="35"/>
        <v>74.992229087431369</v>
      </c>
      <c r="S94" s="15">
        <f t="shared" ca="1" si="35"/>
        <v>73.987251608533725</v>
      </c>
      <c r="T94" s="15">
        <f t="shared" ca="1" si="35"/>
        <v>145.67638126666725</v>
      </c>
      <c r="U94" s="15">
        <f t="shared" ca="1" si="35"/>
        <v>123.93017452057704</v>
      </c>
    </row>
    <row r="95" spans="4:21" x14ac:dyDescent="0.25">
      <c r="D95">
        <v>11</v>
      </c>
      <c r="F95">
        <v>5</v>
      </c>
      <c r="G95" s="15">
        <f t="shared" ca="1" si="35"/>
        <v>25.403599999999997</v>
      </c>
      <c r="H95" s="15">
        <f t="shared" ca="1" si="35"/>
        <v>25.4069</v>
      </c>
      <c r="I95" s="15">
        <f t="shared" ca="1" si="35"/>
        <v>25.407399999999999</v>
      </c>
      <c r="J95" s="15">
        <f t="shared" ca="1" si="35"/>
        <v>25.408999999999999</v>
      </c>
      <c r="K95" s="15">
        <f t="shared" ca="1" si="35"/>
        <v>25.4069</v>
      </c>
      <c r="L95" s="15">
        <f t="shared" ca="1" si="35"/>
        <v>72.884020057970034</v>
      </c>
      <c r="M95" s="15">
        <f t="shared" ca="1" si="35"/>
        <v>73.715718675440954</v>
      </c>
      <c r="N95" s="15">
        <f t="shared" ca="1" si="35"/>
        <v>72.346237694830734</v>
      </c>
      <c r="O95" s="15">
        <f t="shared" ca="1" si="35"/>
        <v>71.968356443192661</v>
      </c>
      <c r="P95" s="15">
        <f t="shared" ca="1" si="35"/>
        <v>125.93720018359085</v>
      </c>
      <c r="Q95" s="15">
        <f t="shared" ca="1" si="35"/>
        <v>145.22318379700252</v>
      </c>
      <c r="R95" s="15">
        <f t="shared" ca="1" si="35"/>
        <v>74.992729087431371</v>
      </c>
      <c r="S95" s="15">
        <f t="shared" ca="1" si="35"/>
        <v>73.987751608533728</v>
      </c>
      <c r="T95" s="15">
        <f t="shared" ca="1" si="35"/>
        <v>145.67688126666724</v>
      </c>
      <c r="U95" s="15">
        <f t="shared" ca="1" si="35"/>
        <v>123.93067452057704</v>
      </c>
    </row>
    <row r="96" spans="4:21" x14ac:dyDescent="0.25">
      <c r="D96">
        <v>12</v>
      </c>
      <c r="F96">
        <v>5.5</v>
      </c>
      <c r="G96" s="15">
        <f t="shared" ca="1" si="35"/>
        <v>25.4041</v>
      </c>
      <c r="H96" s="15">
        <f t="shared" ca="1" si="35"/>
        <v>25.407400000000003</v>
      </c>
      <c r="I96" s="15">
        <f t="shared" ca="1" si="35"/>
        <v>25.407900000000001</v>
      </c>
      <c r="J96" s="15">
        <f t="shared" ca="1" si="35"/>
        <v>25.409500000000001</v>
      </c>
      <c r="K96" s="15">
        <f t="shared" ca="1" si="35"/>
        <v>25.407400000000003</v>
      </c>
      <c r="L96" s="15">
        <f t="shared" ca="1" si="35"/>
        <v>72.884520057970036</v>
      </c>
      <c r="M96" s="15">
        <f t="shared" ca="1" si="35"/>
        <v>73.716218675440956</v>
      </c>
      <c r="N96" s="15">
        <f t="shared" ca="1" si="35"/>
        <v>72.346737694830736</v>
      </c>
      <c r="O96" s="15">
        <f t="shared" ca="1" si="35"/>
        <v>71.968856443192664</v>
      </c>
      <c r="P96" s="15">
        <f t="shared" ca="1" si="35"/>
        <v>125.93770018359085</v>
      </c>
      <c r="Q96" s="15">
        <f t="shared" ca="1" si="35"/>
        <v>145.22368379700254</v>
      </c>
      <c r="R96" s="15">
        <f t="shared" ca="1" si="35"/>
        <v>74.993229087431374</v>
      </c>
      <c r="S96" s="15">
        <f t="shared" ca="1" si="35"/>
        <v>73.98825160853373</v>
      </c>
      <c r="T96" s="15">
        <f t="shared" ca="1" si="35"/>
        <v>145.67738126666725</v>
      </c>
      <c r="U96" s="15">
        <f t="shared" ca="1" si="35"/>
        <v>123.93117452057704</v>
      </c>
    </row>
    <row r="97" spans="4:21" x14ac:dyDescent="0.25">
      <c r="D97">
        <v>13</v>
      </c>
      <c r="F97">
        <v>6</v>
      </c>
      <c r="G97" s="15">
        <f t="shared" ca="1" si="35"/>
        <v>25.404599999999999</v>
      </c>
      <c r="H97" s="15">
        <f t="shared" ca="1" si="35"/>
        <v>25.407900000000001</v>
      </c>
      <c r="I97" s="15">
        <f t="shared" ca="1" si="35"/>
        <v>25.4084</v>
      </c>
      <c r="J97" s="15">
        <f t="shared" ca="1" si="35"/>
        <v>25.41</v>
      </c>
      <c r="K97" s="15">
        <f t="shared" ca="1" si="35"/>
        <v>25.407900000000001</v>
      </c>
      <c r="L97" s="15">
        <f t="shared" ca="1" si="35"/>
        <v>72.885020057970038</v>
      </c>
      <c r="M97" s="15">
        <f t="shared" ca="1" si="35"/>
        <v>73.716718675440958</v>
      </c>
      <c r="N97" s="15">
        <f t="shared" ca="1" si="35"/>
        <v>72.347237694830739</v>
      </c>
      <c r="O97" s="15">
        <f t="shared" ca="1" si="35"/>
        <v>71.969356443192666</v>
      </c>
      <c r="P97" s="15">
        <f t="shared" ca="1" si="35"/>
        <v>125.93820018359085</v>
      </c>
      <c r="Q97" s="15">
        <f t="shared" ca="1" si="35"/>
        <v>145.22418379700252</v>
      </c>
      <c r="R97" s="15">
        <f t="shared" ca="1" si="35"/>
        <v>74.993729087431376</v>
      </c>
      <c r="S97" s="15">
        <f t="shared" ca="1" si="35"/>
        <v>73.988751608533732</v>
      </c>
      <c r="T97" s="15">
        <f t="shared" ca="1" si="35"/>
        <v>145.67788126666724</v>
      </c>
      <c r="U97" s="15">
        <f t="shared" ca="1" si="35"/>
        <v>123.93167452057705</v>
      </c>
    </row>
    <row r="98" spans="4:21" x14ac:dyDescent="0.25">
      <c r="D98">
        <v>14</v>
      </c>
      <c r="F98">
        <v>6.5</v>
      </c>
      <c r="G98" s="15">
        <f t="shared" ca="1" si="35"/>
        <v>25.405099999999997</v>
      </c>
      <c r="H98" s="15">
        <f t="shared" ca="1" si="35"/>
        <v>25.4084</v>
      </c>
      <c r="I98" s="15">
        <f t="shared" ca="1" si="35"/>
        <v>25.408899999999999</v>
      </c>
      <c r="J98" s="15">
        <f t="shared" ca="1" si="35"/>
        <v>25.410499999999999</v>
      </c>
      <c r="K98" s="15">
        <f t="shared" ca="1" si="35"/>
        <v>25.4084</v>
      </c>
      <c r="L98" s="15">
        <f t="shared" ca="1" si="35"/>
        <v>72.885520057970041</v>
      </c>
      <c r="M98" s="15">
        <f t="shared" ca="1" si="35"/>
        <v>73.717218675440961</v>
      </c>
      <c r="N98" s="15">
        <f t="shared" ca="1" si="35"/>
        <v>72.347737694830741</v>
      </c>
      <c r="O98" s="15">
        <f t="shared" ca="1" si="35"/>
        <v>71.969856443192668</v>
      </c>
      <c r="P98" s="15">
        <f t="shared" ca="1" si="35"/>
        <v>125.93870018359085</v>
      </c>
      <c r="Q98" s="15">
        <f t="shared" ca="1" si="35"/>
        <v>145.22468379700251</v>
      </c>
      <c r="R98" s="15">
        <f t="shared" ca="1" si="35"/>
        <v>74.994229087431378</v>
      </c>
      <c r="S98" s="15">
        <f t="shared" ca="1" si="35"/>
        <v>73.989251608533735</v>
      </c>
      <c r="T98" s="15">
        <f t="shared" ca="1" si="35"/>
        <v>145.67838126666723</v>
      </c>
      <c r="U98" s="15">
        <f t="shared" ca="1" si="35"/>
        <v>123.93217452057705</v>
      </c>
    </row>
    <row r="99" spans="4:21" x14ac:dyDescent="0.25">
      <c r="D99">
        <v>15</v>
      </c>
      <c r="F99">
        <v>7</v>
      </c>
      <c r="G99" s="15">
        <f t="shared" ca="1" si="35"/>
        <v>25.4056</v>
      </c>
      <c r="H99" s="15">
        <f t="shared" ca="1" si="35"/>
        <v>25.408900000000003</v>
      </c>
      <c r="I99" s="15">
        <f t="shared" ca="1" si="35"/>
        <v>25.409400000000002</v>
      </c>
      <c r="J99" s="15">
        <f t="shared" ca="1" si="35"/>
        <v>25.411000000000001</v>
      </c>
      <c r="K99" s="15">
        <f t="shared" ca="1" si="35"/>
        <v>25.408900000000003</v>
      </c>
      <c r="L99" s="15">
        <f t="shared" ca="1" si="35"/>
        <v>72.886020057970043</v>
      </c>
      <c r="M99" s="15">
        <f t="shared" ca="1" si="35"/>
        <v>73.717718675440963</v>
      </c>
      <c r="N99" s="15">
        <f t="shared" ca="1" si="35"/>
        <v>72.348237694830743</v>
      </c>
      <c r="O99" s="15">
        <f t="shared" ca="1" si="35"/>
        <v>71.970356443192671</v>
      </c>
      <c r="P99" s="15">
        <f t="shared" ca="1" si="35"/>
        <v>125.93920018359086</v>
      </c>
      <c r="Q99" s="15">
        <f t="shared" ca="1" si="35"/>
        <v>145.22518379700253</v>
      </c>
      <c r="R99" s="15">
        <f t="shared" ca="1" si="35"/>
        <v>74.994729087431381</v>
      </c>
      <c r="S99" s="15">
        <f t="shared" ca="1" si="35"/>
        <v>73.989751608533737</v>
      </c>
      <c r="T99" s="15">
        <f t="shared" ca="1" si="35"/>
        <v>145.67888126666725</v>
      </c>
      <c r="U99" s="15">
        <f t="shared" ca="1" si="35"/>
        <v>123.93267452057705</v>
      </c>
    </row>
    <row r="100" spans="4:21" x14ac:dyDescent="0.25">
      <c r="D100">
        <v>16</v>
      </c>
      <c r="F100">
        <v>7.5</v>
      </c>
      <c r="G100" s="15">
        <f t="shared" ca="1" si="35"/>
        <v>25.406099999999999</v>
      </c>
      <c r="H100" s="15">
        <f t="shared" ca="1" si="35"/>
        <v>25.409400000000002</v>
      </c>
      <c r="I100" s="15">
        <f t="shared" ca="1" si="35"/>
        <v>25.4099</v>
      </c>
      <c r="J100" s="15">
        <f t="shared" ca="1" si="35"/>
        <v>25.4115</v>
      </c>
      <c r="K100" s="15">
        <f t="shared" ca="1" si="35"/>
        <v>25.409400000000002</v>
      </c>
      <c r="L100" s="15">
        <f t="shared" ca="1" si="35"/>
        <v>72.886520057970031</v>
      </c>
      <c r="M100" s="15">
        <f t="shared" ca="1" si="35"/>
        <v>73.718218675440951</v>
      </c>
      <c r="N100" s="15">
        <f t="shared" ca="1" si="35"/>
        <v>72.348737694830731</v>
      </c>
      <c r="O100" s="15">
        <f t="shared" ca="1" si="35"/>
        <v>71.970856443192659</v>
      </c>
      <c r="P100" s="15">
        <f t="shared" ca="1" si="35"/>
        <v>125.93970018359084</v>
      </c>
      <c r="Q100" s="15">
        <f t="shared" ca="1" si="35"/>
        <v>145.22568379700252</v>
      </c>
      <c r="R100" s="15">
        <f t="shared" ca="1" si="35"/>
        <v>74.995229087431369</v>
      </c>
      <c r="S100" s="15">
        <f t="shared" ca="1" si="35"/>
        <v>73.990251608533725</v>
      </c>
      <c r="T100" s="15">
        <f t="shared" ca="1" si="35"/>
        <v>145.67938126666724</v>
      </c>
      <c r="U100" s="15">
        <f t="shared" ca="1" si="35"/>
        <v>123.93317452057704</v>
      </c>
    </row>
    <row r="101" spans="4:21" x14ac:dyDescent="0.25">
      <c r="D101">
        <v>17</v>
      </c>
      <c r="F101">
        <v>8</v>
      </c>
      <c r="G101" s="15">
        <f t="shared" ca="1" si="35"/>
        <v>25.406599999999997</v>
      </c>
      <c r="H101" s="15">
        <f t="shared" ca="1" si="35"/>
        <v>25.4099</v>
      </c>
      <c r="I101" s="15">
        <f t="shared" ca="1" si="35"/>
        <v>25.410399999999999</v>
      </c>
      <c r="J101" s="15">
        <f t="shared" ca="1" si="35"/>
        <v>25.411999999999999</v>
      </c>
      <c r="K101" s="15">
        <f t="shared" ca="1" si="35"/>
        <v>25.4099</v>
      </c>
      <c r="L101" s="15">
        <f t="shared" ca="1" si="35"/>
        <v>72.887020057970034</v>
      </c>
      <c r="M101" s="15">
        <f t="shared" ca="1" si="35"/>
        <v>73.718718675440954</v>
      </c>
      <c r="N101" s="15">
        <f t="shared" ca="1" si="35"/>
        <v>72.349237694830734</v>
      </c>
      <c r="O101" s="15">
        <f t="shared" ca="1" si="35"/>
        <v>71.971356443192661</v>
      </c>
      <c r="P101" s="15">
        <f t="shared" ca="1" si="35"/>
        <v>125.94020018359085</v>
      </c>
      <c r="Q101" s="15">
        <f t="shared" ca="1" si="35"/>
        <v>145.22618379700253</v>
      </c>
      <c r="R101" s="15">
        <f t="shared" ca="1" si="35"/>
        <v>74.995729087431371</v>
      </c>
      <c r="S101" s="15">
        <f t="shared" ca="1" si="35"/>
        <v>73.990751608533728</v>
      </c>
      <c r="T101" s="15">
        <f t="shared" ca="1" si="35"/>
        <v>145.67988126666725</v>
      </c>
      <c r="U101" s="15">
        <f t="shared" ca="1" si="35"/>
        <v>123.93367452057704</v>
      </c>
    </row>
    <row r="102" spans="4:21" x14ac:dyDescent="0.25">
      <c r="D102">
        <v>18</v>
      </c>
      <c r="F102">
        <v>8.5</v>
      </c>
      <c r="G102" s="15">
        <f t="shared" ca="1" si="35"/>
        <v>25.4071</v>
      </c>
      <c r="H102" s="15">
        <f t="shared" ca="1" si="35"/>
        <v>25.410400000000003</v>
      </c>
      <c r="I102" s="15">
        <f t="shared" ca="1" si="35"/>
        <v>25.410900000000002</v>
      </c>
      <c r="J102" s="15">
        <f t="shared" ca="1" si="35"/>
        <v>25.412500000000001</v>
      </c>
      <c r="K102" s="15">
        <f t="shared" ca="1" si="35"/>
        <v>25.410400000000003</v>
      </c>
      <c r="L102" s="15">
        <f t="shared" ca="1" si="35"/>
        <v>72.887520057970036</v>
      </c>
      <c r="M102" s="15">
        <f t="shared" ca="1" si="35"/>
        <v>73.719218675440956</v>
      </c>
      <c r="N102" s="15">
        <f t="shared" ca="1" si="35"/>
        <v>72.349737694830736</v>
      </c>
      <c r="O102" s="15">
        <f t="shared" ca="1" si="35"/>
        <v>71.971856443192664</v>
      </c>
      <c r="P102" s="15">
        <f t="shared" ca="1" si="35"/>
        <v>125.94070018359085</v>
      </c>
      <c r="Q102" s="15">
        <f t="shared" ca="1" si="35"/>
        <v>145.22668379700252</v>
      </c>
      <c r="R102" s="15">
        <f t="shared" ca="1" si="35"/>
        <v>74.996229087431374</v>
      </c>
      <c r="S102" s="15">
        <f t="shared" ca="1" si="35"/>
        <v>73.99125160853373</v>
      </c>
      <c r="T102" s="15">
        <f t="shared" ca="1" si="35"/>
        <v>145.68038126666724</v>
      </c>
      <c r="U102" s="15">
        <f t="shared" ca="1" si="35"/>
        <v>123.93417452057705</v>
      </c>
    </row>
    <row r="103" spans="4:21" x14ac:dyDescent="0.25">
      <c r="D103">
        <v>19</v>
      </c>
      <c r="F103">
        <v>9</v>
      </c>
      <c r="G103" s="15">
        <f t="shared" ca="1" si="35"/>
        <v>25.407599999999999</v>
      </c>
      <c r="H103" s="15">
        <f t="shared" ca="1" si="35"/>
        <v>25.410900000000002</v>
      </c>
      <c r="I103" s="15">
        <f t="shared" ca="1" si="35"/>
        <v>25.4114</v>
      </c>
      <c r="J103" s="15">
        <f t="shared" ca="1" si="35"/>
        <v>25.413</v>
      </c>
      <c r="K103" s="15">
        <f t="shared" ca="1" si="35"/>
        <v>25.410900000000002</v>
      </c>
      <c r="L103" s="15">
        <f t="shared" ca="1" si="35"/>
        <v>72.888020057970039</v>
      </c>
      <c r="M103" s="15">
        <f t="shared" ca="1" si="35"/>
        <v>73.719718675440959</v>
      </c>
      <c r="N103" s="15">
        <f t="shared" ca="1" si="35"/>
        <v>72.350237694830739</v>
      </c>
      <c r="O103" s="15">
        <f t="shared" ca="1" si="35"/>
        <v>71.972356443192666</v>
      </c>
      <c r="P103" s="15">
        <f t="shared" ca="1" si="35"/>
        <v>125.94120018359085</v>
      </c>
      <c r="Q103" s="15">
        <f t="shared" ca="1" si="35"/>
        <v>145.22718379700251</v>
      </c>
      <c r="R103" s="15">
        <f t="shared" ca="1" si="35"/>
        <v>74.996729087431376</v>
      </c>
      <c r="S103" s="15">
        <f t="shared" ca="1" si="35"/>
        <v>73.991751608533733</v>
      </c>
      <c r="T103" s="15">
        <f t="shared" ca="1" si="35"/>
        <v>145.68088126666723</v>
      </c>
      <c r="U103" s="15">
        <f t="shared" ca="1" si="35"/>
        <v>123.93467452057705</v>
      </c>
    </row>
    <row r="104" spans="4:21" x14ac:dyDescent="0.25">
      <c r="D104">
        <v>20</v>
      </c>
      <c r="F104">
        <v>9.5</v>
      </c>
      <c r="G104" s="15">
        <f t="shared" ref="G104:U110" ca="1" si="36">G$85+$F104/1000</f>
        <v>25.408099999999997</v>
      </c>
      <c r="H104" s="15">
        <f t="shared" ca="1" si="36"/>
        <v>25.4114</v>
      </c>
      <c r="I104" s="15">
        <f t="shared" ca="1" si="36"/>
        <v>25.411899999999999</v>
      </c>
      <c r="J104" s="15">
        <f t="shared" ca="1" si="36"/>
        <v>25.413499999999999</v>
      </c>
      <c r="K104" s="15">
        <f t="shared" ca="1" si="36"/>
        <v>25.4114</v>
      </c>
      <c r="L104" s="15">
        <f t="shared" ca="1" si="36"/>
        <v>72.888520057970041</v>
      </c>
      <c r="M104" s="15">
        <f t="shared" ca="1" si="36"/>
        <v>73.720218675440961</v>
      </c>
      <c r="N104" s="15">
        <f t="shared" ca="1" si="36"/>
        <v>72.350737694830741</v>
      </c>
      <c r="O104" s="15">
        <f t="shared" ca="1" si="36"/>
        <v>71.972856443192669</v>
      </c>
      <c r="P104" s="15">
        <f t="shared" ca="1" si="36"/>
        <v>125.94170018359085</v>
      </c>
      <c r="Q104" s="15">
        <f t="shared" ca="1" si="36"/>
        <v>145.22768379700253</v>
      </c>
      <c r="R104" s="15">
        <f t="shared" ca="1" si="36"/>
        <v>74.997229087431379</v>
      </c>
      <c r="S104" s="15">
        <f t="shared" ca="1" si="36"/>
        <v>73.992251608533735</v>
      </c>
      <c r="T104" s="15">
        <f t="shared" ca="1" si="36"/>
        <v>145.68138126666724</v>
      </c>
      <c r="U104" s="15">
        <f t="shared" ca="1" si="36"/>
        <v>123.93517452057705</v>
      </c>
    </row>
    <row r="105" spans="4:21" x14ac:dyDescent="0.25">
      <c r="D105">
        <v>21</v>
      </c>
      <c r="F105">
        <v>10</v>
      </c>
      <c r="G105" s="15">
        <f t="shared" ca="1" si="36"/>
        <v>25.4086</v>
      </c>
      <c r="H105" s="15">
        <f t="shared" ca="1" si="36"/>
        <v>25.411900000000003</v>
      </c>
      <c r="I105" s="15">
        <f t="shared" ca="1" si="36"/>
        <v>25.412400000000002</v>
      </c>
      <c r="J105" s="15">
        <f t="shared" ca="1" si="36"/>
        <v>25.414000000000001</v>
      </c>
      <c r="K105" s="15">
        <f t="shared" ca="1" si="36"/>
        <v>25.411900000000003</v>
      </c>
      <c r="L105" s="15">
        <f t="shared" ca="1" si="36"/>
        <v>72.889020057970043</v>
      </c>
      <c r="M105" s="15">
        <f t="shared" ca="1" si="36"/>
        <v>73.720718675440963</v>
      </c>
      <c r="N105" s="15">
        <f t="shared" ca="1" si="36"/>
        <v>72.351237694830743</v>
      </c>
      <c r="O105" s="15">
        <f t="shared" ca="1" si="36"/>
        <v>71.973356443192671</v>
      </c>
      <c r="P105" s="15">
        <f t="shared" ca="1" si="36"/>
        <v>125.94220018359086</v>
      </c>
      <c r="Q105" s="15">
        <f t="shared" ca="1" si="36"/>
        <v>145.22818379700252</v>
      </c>
      <c r="R105" s="15">
        <f t="shared" ca="1" si="36"/>
        <v>74.997729087431381</v>
      </c>
      <c r="S105" s="15">
        <f t="shared" ca="1" si="36"/>
        <v>73.992751608533737</v>
      </c>
      <c r="T105" s="15">
        <f t="shared" ca="1" si="36"/>
        <v>145.68188126666723</v>
      </c>
      <c r="U105" s="15">
        <f t="shared" ca="1" si="36"/>
        <v>123.93567452057705</v>
      </c>
    </row>
    <row r="106" spans="4:21" x14ac:dyDescent="0.25">
      <c r="D106">
        <v>22</v>
      </c>
      <c r="F106">
        <v>10.5</v>
      </c>
      <c r="G106" s="15">
        <f t="shared" ca="1" si="36"/>
        <v>25.409099999999999</v>
      </c>
      <c r="H106" s="15">
        <f t="shared" ca="1" si="36"/>
        <v>25.412400000000002</v>
      </c>
      <c r="I106" s="15">
        <f t="shared" ca="1" si="36"/>
        <v>25.4129</v>
      </c>
      <c r="J106" s="15">
        <f t="shared" ca="1" si="36"/>
        <v>25.4145</v>
      </c>
      <c r="K106" s="15">
        <f t="shared" ca="1" si="36"/>
        <v>25.412400000000002</v>
      </c>
      <c r="L106" s="15">
        <f t="shared" ca="1" si="36"/>
        <v>72.889520057970032</v>
      </c>
      <c r="M106" s="15">
        <f t="shared" ca="1" si="36"/>
        <v>73.721218675440952</v>
      </c>
      <c r="N106" s="15">
        <f t="shared" ca="1" si="36"/>
        <v>72.351737694830732</v>
      </c>
      <c r="O106" s="15">
        <f t="shared" ca="1" si="36"/>
        <v>71.973856443192659</v>
      </c>
      <c r="P106" s="15">
        <f t="shared" ca="1" si="36"/>
        <v>125.94270018359084</v>
      </c>
      <c r="Q106" s="15">
        <f t="shared" ca="1" si="36"/>
        <v>145.22868379700253</v>
      </c>
      <c r="R106" s="15">
        <f t="shared" ca="1" si="36"/>
        <v>74.998229087431369</v>
      </c>
      <c r="S106" s="15">
        <f t="shared" ca="1" si="36"/>
        <v>73.993251608533726</v>
      </c>
      <c r="T106" s="15">
        <f t="shared" ca="1" si="36"/>
        <v>145.68238126666725</v>
      </c>
      <c r="U106" s="15">
        <f t="shared" ca="1" si="36"/>
        <v>123.93617452057704</v>
      </c>
    </row>
    <row r="107" spans="4:21" x14ac:dyDescent="0.25">
      <c r="D107">
        <v>23</v>
      </c>
      <c r="F107">
        <v>11</v>
      </c>
      <c r="G107" s="15">
        <f t="shared" ca="1" si="36"/>
        <v>25.409599999999998</v>
      </c>
      <c r="H107" s="15">
        <f t="shared" ca="1" si="36"/>
        <v>25.4129</v>
      </c>
      <c r="I107" s="15">
        <f t="shared" ca="1" si="36"/>
        <v>25.413399999999999</v>
      </c>
      <c r="J107" s="15">
        <f t="shared" ca="1" si="36"/>
        <v>25.414999999999999</v>
      </c>
      <c r="K107" s="15">
        <f t="shared" ca="1" si="36"/>
        <v>25.4129</v>
      </c>
      <c r="L107" s="15">
        <f t="shared" ca="1" si="36"/>
        <v>72.890020057970034</v>
      </c>
      <c r="M107" s="15">
        <f t="shared" ca="1" si="36"/>
        <v>73.721718675440954</v>
      </c>
      <c r="N107" s="15">
        <f t="shared" ca="1" si="36"/>
        <v>72.352237694830734</v>
      </c>
      <c r="O107" s="15">
        <f t="shared" ca="1" si="36"/>
        <v>71.974356443192661</v>
      </c>
      <c r="P107" s="15">
        <f t="shared" ca="1" si="36"/>
        <v>125.94320018359085</v>
      </c>
      <c r="Q107" s="15">
        <f t="shared" ca="1" si="36"/>
        <v>145.22918379700252</v>
      </c>
      <c r="R107" s="15">
        <f t="shared" ca="1" si="36"/>
        <v>74.998729087431371</v>
      </c>
      <c r="S107" s="15">
        <f t="shared" ca="1" si="36"/>
        <v>73.993751608533728</v>
      </c>
      <c r="T107" s="15">
        <f t="shared" ca="1" si="36"/>
        <v>145.68288126666724</v>
      </c>
      <c r="U107" s="15">
        <f t="shared" ca="1" si="36"/>
        <v>123.93667452057704</v>
      </c>
    </row>
    <row r="108" spans="4:21" x14ac:dyDescent="0.25">
      <c r="D108">
        <v>24</v>
      </c>
      <c r="F108">
        <v>11.5</v>
      </c>
      <c r="G108" s="15">
        <f t="shared" ca="1" si="36"/>
        <v>25.4101</v>
      </c>
      <c r="H108" s="15">
        <f t="shared" ca="1" si="36"/>
        <v>25.413400000000003</v>
      </c>
      <c r="I108" s="15">
        <f t="shared" ca="1" si="36"/>
        <v>25.413900000000002</v>
      </c>
      <c r="J108" s="15">
        <f t="shared" ca="1" si="36"/>
        <v>25.415500000000002</v>
      </c>
      <c r="K108" s="15">
        <f t="shared" ca="1" si="36"/>
        <v>25.413400000000003</v>
      </c>
      <c r="L108" s="15">
        <f t="shared" ca="1" si="36"/>
        <v>72.890520057970036</v>
      </c>
      <c r="M108" s="15">
        <f t="shared" ca="1" si="36"/>
        <v>73.722218675440956</v>
      </c>
      <c r="N108" s="15">
        <f t="shared" ca="1" si="36"/>
        <v>72.352737694830736</v>
      </c>
      <c r="O108" s="15">
        <f t="shared" ca="1" si="36"/>
        <v>71.974856443192664</v>
      </c>
      <c r="P108" s="15">
        <f t="shared" ca="1" si="36"/>
        <v>125.94370018359085</v>
      </c>
      <c r="Q108" s="15">
        <f t="shared" ca="1" si="36"/>
        <v>145.22968379700254</v>
      </c>
      <c r="R108" s="15">
        <f t="shared" ca="1" si="36"/>
        <v>74.999229087431374</v>
      </c>
      <c r="S108" s="15">
        <f t="shared" ca="1" si="36"/>
        <v>73.99425160853373</v>
      </c>
      <c r="T108" s="15">
        <f t="shared" ca="1" si="36"/>
        <v>145.68338126666725</v>
      </c>
      <c r="U108" s="15">
        <f t="shared" ca="1" si="36"/>
        <v>123.93717452057705</v>
      </c>
    </row>
    <row r="109" spans="4:21" x14ac:dyDescent="0.25">
      <c r="D109">
        <v>25</v>
      </c>
      <c r="F109">
        <v>12</v>
      </c>
      <c r="G109" s="15">
        <f t="shared" ca="1" si="36"/>
        <v>25.410599999999999</v>
      </c>
      <c r="H109" s="15">
        <f t="shared" ca="1" si="36"/>
        <v>25.413900000000002</v>
      </c>
      <c r="I109" s="15">
        <f t="shared" ca="1" si="36"/>
        <v>25.414400000000001</v>
      </c>
      <c r="J109" s="15">
        <f t="shared" ca="1" si="36"/>
        <v>25.416</v>
      </c>
      <c r="K109" s="15">
        <f t="shared" ca="1" si="36"/>
        <v>25.413900000000002</v>
      </c>
      <c r="L109" s="15">
        <f t="shared" ca="1" si="36"/>
        <v>72.891020057970039</v>
      </c>
      <c r="M109" s="15">
        <f t="shared" ca="1" si="36"/>
        <v>73.722718675440959</v>
      </c>
      <c r="N109" s="15">
        <f t="shared" ca="1" si="36"/>
        <v>72.353237694830739</v>
      </c>
      <c r="O109" s="15">
        <f t="shared" ca="1" si="36"/>
        <v>71.975356443192666</v>
      </c>
      <c r="P109" s="15">
        <f t="shared" ca="1" si="36"/>
        <v>125.94420018359085</v>
      </c>
      <c r="Q109" s="15">
        <f t="shared" ca="1" si="36"/>
        <v>145.23018379700252</v>
      </c>
      <c r="R109" s="15">
        <f t="shared" ca="1" si="36"/>
        <v>74.999729087431376</v>
      </c>
      <c r="S109" s="15">
        <f t="shared" ca="1" si="36"/>
        <v>73.994751608533733</v>
      </c>
      <c r="T109" s="15">
        <f t="shared" ca="1" si="36"/>
        <v>145.68388126666724</v>
      </c>
      <c r="U109" s="15">
        <f t="shared" ca="1" si="36"/>
        <v>123.93767452057705</v>
      </c>
    </row>
    <row r="110" spans="4:21" x14ac:dyDescent="0.25">
      <c r="D110">
        <v>26</v>
      </c>
      <c r="F110">
        <v>12.5</v>
      </c>
      <c r="G110" s="15">
        <f t="shared" ca="1" si="36"/>
        <v>25.411099999999998</v>
      </c>
      <c r="H110" s="15">
        <f t="shared" ca="1" si="36"/>
        <v>25.414400000000001</v>
      </c>
      <c r="I110" s="15">
        <f t="shared" ca="1" si="36"/>
        <v>25.414899999999999</v>
      </c>
      <c r="J110" s="15">
        <f t="shared" ca="1" si="36"/>
        <v>25.416499999999999</v>
      </c>
      <c r="K110" s="15">
        <f t="shared" ca="1" si="36"/>
        <v>25.414400000000001</v>
      </c>
      <c r="L110" s="15">
        <f t="shared" ca="1" si="36"/>
        <v>72.891520057970041</v>
      </c>
      <c r="M110" s="15">
        <f t="shared" ca="1" si="36"/>
        <v>73.723218675440961</v>
      </c>
      <c r="N110" s="15">
        <f t="shared" ca="1" si="36"/>
        <v>72.353737694830741</v>
      </c>
      <c r="O110" s="15">
        <f t="shared" ca="1" si="36"/>
        <v>71.975856443192669</v>
      </c>
      <c r="P110" s="15">
        <f t="shared" ca="1" si="36"/>
        <v>125.94470018359085</v>
      </c>
      <c r="Q110" s="15">
        <f t="shared" ca="1" si="36"/>
        <v>145.23068379700251</v>
      </c>
      <c r="R110" s="15">
        <f t="shared" ca="1" si="36"/>
        <v>75.000229087431379</v>
      </c>
      <c r="S110" s="15">
        <f t="shared" ca="1" si="36"/>
        <v>73.995251608533735</v>
      </c>
      <c r="T110" s="15">
        <f t="shared" ca="1" si="36"/>
        <v>145.68438126666723</v>
      </c>
      <c r="U110" s="15">
        <f t="shared" ca="1" si="36"/>
        <v>123.93817452057705</v>
      </c>
    </row>
    <row r="112" spans="4:21" x14ac:dyDescent="0.25">
      <c r="D112">
        <v>1</v>
      </c>
      <c r="G112">
        <f t="array" aca="1" ref="G112:G138" ca="1">FREQUENCY(G7:G48,G85:G110)</f>
        <v>1</v>
      </c>
      <c r="H112">
        <f t="array" aca="1" ref="H112:H138" ca="1">FREQUENCY(H7:H48,H85:H110)</f>
        <v>1</v>
      </c>
      <c r="I112">
        <f t="array" aca="1" ref="I112:I138" ca="1">FREQUENCY(I7:I48,I85:I110)</f>
        <v>1</v>
      </c>
      <c r="J112">
        <f t="array" aca="1" ref="J112:J138" ca="1">FREQUENCY(J7:J48,J85:J110)</f>
        <v>1</v>
      </c>
      <c r="K112">
        <f t="array" aca="1" ref="K112:K138" ca="1">FREQUENCY(K7:K48,K85:K110)</f>
        <v>1</v>
      </c>
      <c r="L112">
        <f t="array" aca="1" ref="L112:L138" ca="1">FREQUENCY(L7:L48,L85:L110)</f>
        <v>1</v>
      </c>
      <c r="M112">
        <f t="array" aca="1" ref="M112:M138" ca="1">FREQUENCY(M7:M48,M85:M110)</f>
        <v>1</v>
      </c>
      <c r="N112">
        <f t="array" aca="1" ref="N112:N138" ca="1">FREQUENCY(N7:N48,N85:N110)</f>
        <v>1</v>
      </c>
      <c r="O112">
        <f t="array" aca="1" ref="O112:O138" ca="1">FREQUENCY(O7:O48,O85:O110)</f>
        <v>1</v>
      </c>
      <c r="P112">
        <f t="array" aca="1" ref="P112:P138" ca="1">FREQUENCY(P7:P48,P85:P110)</f>
        <v>1</v>
      </c>
      <c r="Q112">
        <f t="array" aca="1" ref="Q112:Q138" ca="1">FREQUENCY(Q7:Q48,Q85:Q110)</f>
        <v>1</v>
      </c>
      <c r="R112">
        <f t="array" aca="1" ref="R112:R138" ca="1">FREQUENCY(R7:R48,R85:R110)</f>
        <v>1</v>
      </c>
      <c r="S112">
        <f t="array" aca="1" ref="S112:S138" ca="1">FREQUENCY(S7:S48,S85:S110)</f>
        <v>1</v>
      </c>
      <c r="T112">
        <f t="array" aca="1" ref="T112:T138" ca="1">FREQUENCY(T7:T48,T85:T110)</f>
        <v>1</v>
      </c>
      <c r="U112">
        <f t="array" aca="1" ref="U112:U138" ca="1">FREQUENCY(U7:U48,U85:U110)</f>
        <v>1</v>
      </c>
    </row>
    <row r="113" spans="4:21" x14ac:dyDescent="0.25">
      <c r="D113">
        <v>2</v>
      </c>
      <c r="G113">
        <f ca="1"/>
        <v>2</v>
      </c>
      <c r="H113">
        <f ca="1"/>
        <v>4</v>
      </c>
      <c r="I113">
        <f ca="1"/>
        <v>12</v>
      </c>
      <c r="J113">
        <f ca="1"/>
        <v>12</v>
      </c>
      <c r="K113">
        <f ca="1"/>
        <v>10</v>
      </c>
      <c r="L113">
        <f ca="1"/>
        <v>0</v>
      </c>
      <c r="M113">
        <f ca="1"/>
        <v>1</v>
      </c>
      <c r="N113">
        <f ca="1"/>
        <v>10</v>
      </c>
      <c r="O113">
        <f ca="1"/>
        <v>2</v>
      </c>
      <c r="P113">
        <f ca="1"/>
        <v>4</v>
      </c>
      <c r="Q113">
        <f ca="1"/>
        <v>8</v>
      </c>
      <c r="R113">
        <f ca="1"/>
        <v>7</v>
      </c>
      <c r="S113">
        <f ca="1"/>
        <v>8</v>
      </c>
      <c r="T113">
        <f ca="1"/>
        <v>3</v>
      </c>
      <c r="U113">
        <f ca="1"/>
        <v>5</v>
      </c>
    </row>
    <row r="114" spans="4:21" x14ac:dyDescent="0.25">
      <c r="D114">
        <v>3</v>
      </c>
      <c r="G114">
        <f ca="1"/>
        <v>16</v>
      </c>
      <c r="H114">
        <f ca="1"/>
        <v>16</v>
      </c>
      <c r="I114">
        <f ca="1"/>
        <v>16</v>
      </c>
      <c r="J114">
        <f ca="1"/>
        <v>19</v>
      </c>
      <c r="K114">
        <f ca="1"/>
        <v>7</v>
      </c>
      <c r="L114">
        <f ca="1"/>
        <v>15</v>
      </c>
      <c r="M114">
        <f ca="1"/>
        <v>12</v>
      </c>
      <c r="N114">
        <f ca="1"/>
        <v>5</v>
      </c>
      <c r="O114">
        <f ca="1"/>
        <v>10</v>
      </c>
      <c r="P114">
        <f ca="1"/>
        <v>7</v>
      </c>
      <c r="Q114">
        <f ca="1"/>
        <v>7</v>
      </c>
      <c r="R114">
        <f ca="1"/>
        <v>10</v>
      </c>
      <c r="S114">
        <f ca="1"/>
        <v>5</v>
      </c>
      <c r="T114">
        <f ca="1"/>
        <v>15</v>
      </c>
      <c r="U114">
        <f ca="1"/>
        <v>5</v>
      </c>
    </row>
    <row r="115" spans="4:21" x14ac:dyDescent="0.25">
      <c r="D115">
        <v>4</v>
      </c>
      <c r="G115">
        <f ca="1"/>
        <v>13</v>
      </c>
      <c r="H115">
        <f ca="1"/>
        <v>10</v>
      </c>
      <c r="I115">
        <f ca="1"/>
        <v>7</v>
      </c>
      <c r="J115">
        <f ca="1"/>
        <v>3</v>
      </c>
      <c r="K115">
        <f ca="1"/>
        <v>12</v>
      </c>
      <c r="L115">
        <f ca="1"/>
        <v>7</v>
      </c>
      <c r="M115">
        <f ca="1"/>
        <v>11</v>
      </c>
      <c r="N115">
        <f ca="1"/>
        <v>4</v>
      </c>
      <c r="O115">
        <f ca="1"/>
        <v>15</v>
      </c>
      <c r="P115">
        <f ca="1"/>
        <v>5</v>
      </c>
      <c r="Q115">
        <f ca="1"/>
        <v>1</v>
      </c>
      <c r="R115">
        <f ca="1"/>
        <v>3</v>
      </c>
      <c r="S115">
        <f ca="1"/>
        <v>5</v>
      </c>
      <c r="T115">
        <f ca="1"/>
        <v>12</v>
      </c>
      <c r="U115">
        <f ca="1"/>
        <v>5</v>
      </c>
    </row>
    <row r="116" spans="4:21" x14ac:dyDescent="0.25">
      <c r="D116">
        <v>5</v>
      </c>
      <c r="G116">
        <f ca="1"/>
        <v>3</v>
      </c>
      <c r="H116">
        <f ca="1"/>
        <v>5</v>
      </c>
      <c r="I116">
        <f ca="1"/>
        <v>0</v>
      </c>
      <c r="J116">
        <f ca="1"/>
        <v>1</v>
      </c>
      <c r="K116">
        <f ca="1"/>
        <v>6</v>
      </c>
      <c r="L116">
        <f ca="1"/>
        <v>5</v>
      </c>
      <c r="M116">
        <f ca="1"/>
        <v>11</v>
      </c>
      <c r="N116">
        <f ca="1"/>
        <v>7</v>
      </c>
      <c r="O116">
        <f ca="1"/>
        <v>8</v>
      </c>
      <c r="P116">
        <f ca="1"/>
        <v>1</v>
      </c>
      <c r="Q116">
        <f ca="1"/>
        <v>2</v>
      </c>
      <c r="R116">
        <f ca="1"/>
        <v>9</v>
      </c>
      <c r="S116">
        <f ca="1"/>
        <v>5</v>
      </c>
      <c r="T116">
        <f ca="1"/>
        <v>5</v>
      </c>
      <c r="U116">
        <f ca="1"/>
        <v>2</v>
      </c>
    </row>
    <row r="117" spans="4:21" x14ac:dyDescent="0.25">
      <c r="D117">
        <v>6</v>
      </c>
      <c r="G117">
        <f ca="1"/>
        <v>1</v>
      </c>
      <c r="H117">
        <f ca="1"/>
        <v>0</v>
      </c>
      <c r="I117">
        <f ca="1"/>
        <v>0</v>
      </c>
      <c r="J117">
        <f ca="1"/>
        <v>0</v>
      </c>
      <c r="K117">
        <f ca="1"/>
        <v>0</v>
      </c>
      <c r="L117">
        <f ca="1"/>
        <v>6</v>
      </c>
      <c r="M117">
        <f ca="1"/>
        <v>0</v>
      </c>
      <c r="N117">
        <f ca="1"/>
        <v>8</v>
      </c>
      <c r="O117">
        <f ca="1"/>
        <v>0</v>
      </c>
      <c r="P117">
        <f ca="1"/>
        <v>2</v>
      </c>
      <c r="Q117">
        <f ca="1"/>
        <v>5</v>
      </c>
      <c r="R117">
        <f ca="1"/>
        <v>6</v>
      </c>
      <c r="S117">
        <f ca="1"/>
        <v>9</v>
      </c>
      <c r="T117">
        <f ca="1"/>
        <v>0</v>
      </c>
      <c r="U117">
        <f ca="1"/>
        <v>3</v>
      </c>
    </row>
    <row r="118" spans="4:21" x14ac:dyDescent="0.25">
      <c r="D118">
        <v>7</v>
      </c>
      <c r="G118">
        <f ca="1"/>
        <v>0</v>
      </c>
      <c r="H118">
        <f ca="1"/>
        <v>0</v>
      </c>
      <c r="I118">
        <f ca="1"/>
        <v>0</v>
      </c>
      <c r="J118">
        <f ca="1"/>
        <v>0</v>
      </c>
      <c r="K118">
        <f ca="1"/>
        <v>0</v>
      </c>
      <c r="L118">
        <f ca="1"/>
        <v>2</v>
      </c>
      <c r="M118">
        <f ca="1"/>
        <v>0</v>
      </c>
      <c r="N118">
        <f ca="1"/>
        <v>0</v>
      </c>
      <c r="O118">
        <f ca="1"/>
        <v>0</v>
      </c>
      <c r="P118">
        <f ca="1"/>
        <v>6</v>
      </c>
      <c r="Q118">
        <f ca="1"/>
        <v>3</v>
      </c>
      <c r="R118">
        <f ca="1"/>
        <v>0</v>
      </c>
      <c r="S118">
        <f ca="1"/>
        <v>1</v>
      </c>
      <c r="T118">
        <f ca="1"/>
        <v>0</v>
      </c>
      <c r="U118">
        <f ca="1"/>
        <v>4</v>
      </c>
    </row>
    <row r="119" spans="4:21" x14ac:dyDescent="0.25">
      <c r="D119">
        <v>8</v>
      </c>
      <c r="G119">
        <f ca="1"/>
        <v>0</v>
      </c>
      <c r="H119">
        <f ca="1"/>
        <v>0</v>
      </c>
      <c r="I119">
        <f ca="1"/>
        <v>0</v>
      </c>
      <c r="J119">
        <f ca="1"/>
        <v>0</v>
      </c>
      <c r="K119">
        <f ca="1"/>
        <v>0</v>
      </c>
      <c r="L119">
        <f ca="1"/>
        <v>0</v>
      </c>
      <c r="M119">
        <f ca="1"/>
        <v>0</v>
      </c>
      <c r="N119">
        <f ca="1"/>
        <v>1</v>
      </c>
      <c r="O119">
        <f ca="1"/>
        <v>0</v>
      </c>
      <c r="P119">
        <f ca="1"/>
        <v>6</v>
      </c>
      <c r="Q119">
        <f ca="1"/>
        <v>5</v>
      </c>
      <c r="R119">
        <f ca="1"/>
        <v>0</v>
      </c>
      <c r="S119">
        <f ca="1"/>
        <v>2</v>
      </c>
      <c r="T119">
        <f ca="1"/>
        <v>0</v>
      </c>
      <c r="U119">
        <f ca="1"/>
        <v>6</v>
      </c>
    </row>
    <row r="120" spans="4:21" x14ac:dyDescent="0.25">
      <c r="D120">
        <v>9</v>
      </c>
      <c r="G120">
        <f ca="1"/>
        <v>0</v>
      </c>
      <c r="H120">
        <f ca="1"/>
        <v>0</v>
      </c>
      <c r="I120">
        <f ca="1"/>
        <v>0</v>
      </c>
      <c r="J120">
        <f ca="1"/>
        <v>0</v>
      </c>
      <c r="K120">
        <f ca="1"/>
        <v>0</v>
      </c>
      <c r="L120">
        <f ca="1"/>
        <v>0</v>
      </c>
      <c r="M120">
        <f ca="1"/>
        <v>0</v>
      </c>
      <c r="N120">
        <f ca="1"/>
        <v>0</v>
      </c>
      <c r="O120">
        <f ca="1"/>
        <v>0</v>
      </c>
      <c r="P120">
        <f ca="1"/>
        <v>4</v>
      </c>
      <c r="Q120">
        <f ca="1"/>
        <v>2</v>
      </c>
      <c r="R120">
        <f ca="1"/>
        <v>0</v>
      </c>
      <c r="S120">
        <f ca="1"/>
        <v>0</v>
      </c>
      <c r="T120">
        <f ca="1"/>
        <v>0</v>
      </c>
      <c r="U120">
        <f ca="1"/>
        <v>4</v>
      </c>
    </row>
    <row r="121" spans="4:21" x14ac:dyDescent="0.25">
      <c r="D121">
        <v>10</v>
      </c>
      <c r="G121">
        <f ca="1"/>
        <v>0</v>
      </c>
      <c r="H121">
        <f ca="1"/>
        <v>0</v>
      </c>
      <c r="I121">
        <f ca="1"/>
        <v>0</v>
      </c>
      <c r="J121">
        <f ca="1"/>
        <v>0</v>
      </c>
      <c r="K121">
        <f ca="1"/>
        <v>0</v>
      </c>
      <c r="L121">
        <f ca="1"/>
        <v>0</v>
      </c>
      <c r="M121">
        <f ca="1"/>
        <v>0</v>
      </c>
      <c r="N121">
        <f ca="1"/>
        <v>0</v>
      </c>
      <c r="O121">
        <f ca="1"/>
        <v>0</v>
      </c>
      <c r="P121">
        <f ca="1"/>
        <v>0</v>
      </c>
      <c r="Q121">
        <f ca="1"/>
        <v>2</v>
      </c>
      <c r="R121">
        <f ca="1"/>
        <v>0</v>
      </c>
      <c r="S121">
        <f ca="1"/>
        <v>0</v>
      </c>
      <c r="T121">
        <f ca="1"/>
        <v>0</v>
      </c>
      <c r="U121">
        <f ca="1"/>
        <v>0</v>
      </c>
    </row>
    <row r="122" spans="4:21" x14ac:dyDescent="0.25">
      <c r="D122">
        <v>11</v>
      </c>
      <c r="G122">
        <f ca="1"/>
        <v>0</v>
      </c>
      <c r="H122">
        <f ca="1"/>
        <v>0</v>
      </c>
      <c r="I122">
        <f ca="1"/>
        <v>0</v>
      </c>
      <c r="J122">
        <f ca="1"/>
        <v>0</v>
      </c>
      <c r="K122">
        <f ca="1"/>
        <v>0</v>
      </c>
      <c r="L122">
        <f ca="1"/>
        <v>0</v>
      </c>
      <c r="M122">
        <f ca="1"/>
        <v>0</v>
      </c>
      <c r="N122">
        <f ca="1"/>
        <v>0</v>
      </c>
      <c r="O122">
        <f ca="1"/>
        <v>0</v>
      </c>
      <c r="P122">
        <f ca="1"/>
        <v>0</v>
      </c>
      <c r="Q122">
        <f ca="1"/>
        <v>0</v>
      </c>
      <c r="R122">
        <f ca="1"/>
        <v>0</v>
      </c>
      <c r="S122">
        <f ca="1"/>
        <v>0</v>
      </c>
      <c r="T122">
        <f ca="1"/>
        <v>0</v>
      </c>
      <c r="U122">
        <f ca="1"/>
        <v>1</v>
      </c>
    </row>
    <row r="123" spans="4:21" x14ac:dyDescent="0.25">
      <c r="D123">
        <v>12</v>
      </c>
      <c r="G123">
        <f ca="1"/>
        <v>0</v>
      </c>
      <c r="H123">
        <f ca="1"/>
        <v>0</v>
      </c>
      <c r="I123">
        <f ca="1"/>
        <v>0</v>
      </c>
      <c r="J123">
        <f ca="1"/>
        <v>0</v>
      </c>
      <c r="K123">
        <f ca="1"/>
        <v>0</v>
      </c>
      <c r="L123">
        <f ca="1"/>
        <v>0</v>
      </c>
      <c r="M123">
        <f ca="1"/>
        <v>0</v>
      </c>
      <c r="N123">
        <f ca="1"/>
        <v>0</v>
      </c>
      <c r="O123">
        <f ca="1"/>
        <v>0</v>
      </c>
      <c r="P123">
        <f ca="1"/>
        <v>0</v>
      </c>
      <c r="Q123">
        <f ca="1"/>
        <v>0</v>
      </c>
      <c r="R123">
        <f ca="1"/>
        <v>0</v>
      </c>
      <c r="S123">
        <f ca="1"/>
        <v>0</v>
      </c>
      <c r="T123">
        <f ca="1"/>
        <v>0</v>
      </c>
      <c r="U123">
        <f ca="1"/>
        <v>0</v>
      </c>
    </row>
    <row r="124" spans="4:21" x14ac:dyDescent="0.25">
      <c r="D124">
        <v>13</v>
      </c>
      <c r="G124">
        <f ca="1"/>
        <v>0</v>
      </c>
      <c r="H124">
        <f ca="1"/>
        <v>0</v>
      </c>
      <c r="I124">
        <f ca="1"/>
        <v>0</v>
      </c>
      <c r="J124">
        <f ca="1"/>
        <v>0</v>
      </c>
      <c r="K124">
        <f ca="1"/>
        <v>0</v>
      </c>
      <c r="L124">
        <f ca="1"/>
        <v>0</v>
      </c>
      <c r="M124">
        <f ca="1"/>
        <v>0</v>
      </c>
      <c r="N124">
        <f ca="1"/>
        <v>0</v>
      </c>
      <c r="O124">
        <f ca="1"/>
        <v>0</v>
      </c>
      <c r="P124">
        <f ca="1"/>
        <v>0</v>
      </c>
      <c r="Q124">
        <f ca="1"/>
        <v>0</v>
      </c>
      <c r="R124">
        <f ca="1"/>
        <v>0</v>
      </c>
      <c r="S124">
        <f ca="1"/>
        <v>0</v>
      </c>
      <c r="T124">
        <f ca="1"/>
        <v>0</v>
      </c>
      <c r="U124">
        <f ca="1"/>
        <v>0</v>
      </c>
    </row>
    <row r="125" spans="4:21" x14ac:dyDescent="0.25">
      <c r="D125">
        <v>14</v>
      </c>
      <c r="G125">
        <f ca="1"/>
        <v>0</v>
      </c>
      <c r="H125">
        <f ca="1"/>
        <v>0</v>
      </c>
      <c r="I125">
        <f ca="1"/>
        <v>0</v>
      </c>
      <c r="J125">
        <f ca="1"/>
        <v>0</v>
      </c>
      <c r="K125">
        <f ca="1"/>
        <v>0</v>
      </c>
      <c r="L125">
        <f ca="1"/>
        <v>0</v>
      </c>
      <c r="M125">
        <f ca="1"/>
        <v>0</v>
      </c>
      <c r="N125">
        <f ca="1"/>
        <v>0</v>
      </c>
      <c r="O125">
        <f ca="1"/>
        <v>0</v>
      </c>
      <c r="P125">
        <f ca="1"/>
        <v>0</v>
      </c>
      <c r="Q125">
        <f ca="1"/>
        <v>0</v>
      </c>
      <c r="R125">
        <f ca="1"/>
        <v>0</v>
      </c>
      <c r="S125">
        <f ca="1"/>
        <v>0</v>
      </c>
      <c r="T125">
        <f ca="1"/>
        <v>0</v>
      </c>
      <c r="U125">
        <f ca="1"/>
        <v>0</v>
      </c>
    </row>
    <row r="126" spans="4:21" x14ac:dyDescent="0.25">
      <c r="D126">
        <v>15</v>
      </c>
      <c r="G126">
        <f ca="1"/>
        <v>0</v>
      </c>
      <c r="H126">
        <f ca="1"/>
        <v>0</v>
      </c>
      <c r="I126">
        <f ca="1"/>
        <v>0</v>
      </c>
      <c r="J126">
        <f ca="1"/>
        <v>0</v>
      </c>
      <c r="K126">
        <f ca="1"/>
        <v>0</v>
      </c>
      <c r="L126">
        <f ca="1"/>
        <v>0</v>
      </c>
      <c r="M126">
        <f ca="1"/>
        <v>0</v>
      </c>
      <c r="N126">
        <f ca="1"/>
        <v>0</v>
      </c>
      <c r="O126">
        <f ca="1"/>
        <v>0</v>
      </c>
      <c r="P126">
        <f ca="1"/>
        <v>0</v>
      </c>
      <c r="Q126">
        <f ca="1"/>
        <v>0</v>
      </c>
      <c r="R126">
        <f ca="1"/>
        <v>0</v>
      </c>
      <c r="S126">
        <f ca="1"/>
        <v>0</v>
      </c>
      <c r="T126">
        <f ca="1"/>
        <v>0</v>
      </c>
      <c r="U126">
        <f ca="1"/>
        <v>0</v>
      </c>
    </row>
    <row r="127" spans="4:21" x14ac:dyDescent="0.25">
      <c r="D127">
        <v>16</v>
      </c>
      <c r="G127">
        <f ca="1"/>
        <v>0</v>
      </c>
      <c r="H127">
        <f ca="1"/>
        <v>0</v>
      </c>
      <c r="I127">
        <f ca="1"/>
        <v>0</v>
      </c>
      <c r="J127">
        <f ca="1"/>
        <v>0</v>
      </c>
      <c r="K127">
        <f ca="1"/>
        <v>0</v>
      </c>
      <c r="L127">
        <f ca="1"/>
        <v>0</v>
      </c>
      <c r="M127">
        <f ca="1"/>
        <v>0</v>
      </c>
      <c r="N127">
        <f ca="1"/>
        <v>0</v>
      </c>
      <c r="O127">
        <f ca="1"/>
        <v>0</v>
      </c>
      <c r="P127">
        <f ca="1"/>
        <v>0</v>
      </c>
      <c r="Q127">
        <f ca="1"/>
        <v>0</v>
      </c>
      <c r="R127">
        <f ca="1"/>
        <v>0</v>
      </c>
      <c r="S127">
        <f ca="1"/>
        <v>0</v>
      </c>
      <c r="T127">
        <f ca="1"/>
        <v>0</v>
      </c>
      <c r="U127">
        <f ca="1"/>
        <v>0</v>
      </c>
    </row>
    <row r="128" spans="4:21" x14ac:dyDescent="0.25">
      <c r="D128">
        <v>17</v>
      </c>
      <c r="G128">
        <f ca="1"/>
        <v>0</v>
      </c>
      <c r="H128">
        <f ca="1"/>
        <v>0</v>
      </c>
      <c r="I128">
        <f ca="1"/>
        <v>0</v>
      </c>
      <c r="J128">
        <f ca="1"/>
        <v>0</v>
      </c>
      <c r="K128">
        <f ca="1"/>
        <v>0</v>
      </c>
      <c r="L128">
        <f ca="1"/>
        <v>0</v>
      </c>
      <c r="M128">
        <f ca="1"/>
        <v>0</v>
      </c>
      <c r="N128">
        <f ca="1"/>
        <v>0</v>
      </c>
      <c r="O128">
        <f ca="1"/>
        <v>0</v>
      </c>
      <c r="P128">
        <f ca="1"/>
        <v>0</v>
      </c>
      <c r="Q128">
        <f ca="1"/>
        <v>0</v>
      </c>
      <c r="R128">
        <f ca="1"/>
        <v>0</v>
      </c>
      <c r="S128">
        <f ca="1"/>
        <v>0</v>
      </c>
      <c r="T128">
        <f ca="1"/>
        <v>0</v>
      </c>
      <c r="U128">
        <f ca="1"/>
        <v>0</v>
      </c>
    </row>
    <row r="129" spans="4:21" x14ac:dyDescent="0.25">
      <c r="D129">
        <v>18</v>
      </c>
      <c r="G129">
        <f ca="1"/>
        <v>0</v>
      </c>
      <c r="H129">
        <f ca="1"/>
        <v>0</v>
      </c>
      <c r="I129">
        <f ca="1"/>
        <v>0</v>
      </c>
      <c r="J129">
        <f ca="1"/>
        <v>0</v>
      </c>
      <c r="K129">
        <f ca="1"/>
        <v>0</v>
      </c>
      <c r="L129">
        <f ca="1"/>
        <v>0</v>
      </c>
      <c r="M129">
        <f ca="1"/>
        <v>0</v>
      </c>
      <c r="N129">
        <f ca="1"/>
        <v>0</v>
      </c>
      <c r="O129">
        <f ca="1"/>
        <v>0</v>
      </c>
      <c r="P129">
        <f ca="1"/>
        <v>0</v>
      </c>
      <c r="Q129">
        <f ca="1"/>
        <v>0</v>
      </c>
      <c r="R129">
        <f ca="1"/>
        <v>0</v>
      </c>
      <c r="S129">
        <f ca="1"/>
        <v>0</v>
      </c>
      <c r="T129">
        <f ca="1"/>
        <v>0</v>
      </c>
      <c r="U129">
        <f ca="1"/>
        <v>0</v>
      </c>
    </row>
    <row r="130" spans="4:21" x14ac:dyDescent="0.25">
      <c r="D130">
        <v>19</v>
      </c>
      <c r="G130">
        <f ca="1"/>
        <v>0</v>
      </c>
      <c r="H130">
        <f ca="1"/>
        <v>0</v>
      </c>
      <c r="I130">
        <f ca="1"/>
        <v>0</v>
      </c>
      <c r="J130">
        <f ca="1"/>
        <v>0</v>
      </c>
      <c r="K130">
        <f ca="1"/>
        <v>0</v>
      </c>
      <c r="L130">
        <f ca="1"/>
        <v>0</v>
      </c>
      <c r="M130">
        <f ca="1"/>
        <v>0</v>
      </c>
      <c r="N130">
        <f ca="1"/>
        <v>0</v>
      </c>
      <c r="O130">
        <f ca="1"/>
        <v>0</v>
      </c>
      <c r="P130">
        <f ca="1"/>
        <v>0</v>
      </c>
      <c r="Q130">
        <f ca="1"/>
        <v>0</v>
      </c>
      <c r="R130">
        <f ca="1"/>
        <v>0</v>
      </c>
      <c r="S130">
        <f ca="1"/>
        <v>0</v>
      </c>
      <c r="T130">
        <f ca="1"/>
        <v>0</v>
      </c>
      <c r="U130">
        <f ca="1"/>
        <v>0</v>
      </c>
    </row>
    <row r="131" spans="4:21" x14ac:dyDescent="0.25">
      <c r="D131">
        <v>20</v>
      </c>
      <c r="G131">
        <f ca="1"/>
        <v>0</v>
      </c>
      <c r="H131">
        <f ca="1"/>
        <v>0</v>
      </c>
      <c r="I131">
        <f ca="1"/>
        <v>0</v>
      </c>
      <c r="J131">
        <f ca="1"/>
        <v>0</v>
      </c>
      <c r="K131">
        <f ca="1"/>
        <v>0</v>
      </c>
      <c r="L131">
        <f ca="1"/>
        <v>0</v>
      </c>
      <c r="M131">
        <f ca="1"/>
        <v>0</v>
      </c>
      <c r="N131">
        <f ca="1"/>
        <v>0</v>
      </c>
      <c r="O131">
        <f ca="1"/>
        <v>0</v>
      </c>
      <c r="P131">
        <f ca="1"/>
        <v>0</v>
      </c>
      <c r="Q131">
        <f ca="1"/>
        <v>0</v>
      </c>
      <c r="R131">
        <f ca="1"/>
        <v>0</v>
      </c>
      <c r="S131">
        <f ca="1"/>
        <v>0</v>
      </c>
      <c r="T131">
        <f ca="1"/>
        <v>0</v>
      </c>
      <c r="U131">
        <f ca="1"/>
        <v>0</v>
      </c>
    </row>
    <row r="132" spans="4:21" x14ac:dyDescent="0.25">
      <c r="D132">
        <v>21</v>
      </c>
      <c r="G132">
        <f ca="1"/>
        <v>0</v>
      </c>
      <c r="H132">
        <f ca="1"/>
        <v>0</v>
      </c>
      <c r="I132">
        <f ca="1"/>
        <v>0</v>
      </c>
      <c r="J132">
        <f ca="1"/>
        <v>0</v>
      </c>
      <c r="K132">
        <f ca="1"/>
        <v>0</v>
      </c>
      <c r="L132">
        <f ca="1"/>
        <v>0</v>
      </c>
      <c r="M132">
        <f ca="1"/>
        <v>0</v>
      </c>
      <c r="N132">
        <f ca="1"/>
        <v>0</v>
      </c>
      <c r="O132">
        <f ca="1"/>
        <v>0</v>
      </c>
      <c r="P132">
        <f ca="1"/>
        <v>0</v>
      </c>
      <c r="Q132">
        <f ca="1"/>
        <v>0</v>
      </c>
      <c r="R132">
        <f ca="1"/>
        <v>0</v>
      </c>
      <c r="S132">
        <f ca="1"/>
        <v>0</v>
      </c>
      <c r="T132">
        <f ca="1"/>
        <v>0</v>
      </c>
      <c r="U132">
        <f ca="1"/>
        <v>0</v>
      </c>
    </row>
    <row r="133" spans="4:21" x14ac:dyDescent="0.25">
      <c r="D133">
        <v>22</v>
      </c>
      <c r="G133">
        <f ca="1"/>
        <v>0</v>
      </c>
      <c r="H133">
        <f ca="1"/>
        <v>0</v>
      </c>
      <c r="I133">
        <f ca="1"/>
        <v>0</v>
      </c>
      <c r="J133">
        <f ca="1"/>
        <v>0</v>
      </c>
      <c r="K133">
        <f ca="1"/>
        <v>0</v>
      </c>
      <c r="L133">
        <f ca="1"/>
        <v>0</v>
      </c>
      <c r="M133">
        <f ca="1"/>
        <v>0</v>
      </c>
      <c r="N133">
        <f ca="1"/>
        <v>0</v>
      </c>
      <c r="O133">
        <f ca="1"/>
        <v>0</v>
      </c>
      <c r="P133">
        <f ca="1"/>
        <v>0</v>
      </c>
      <c r="Q133">
        <f ca="1"/>
        <v>0</v>
      </c>
      <c r="R133">
        <f ca="1"/>
        <v>0</v>
      </c>
      <c r="S133">
        <f ca="1"/>
        <v>0</v>
      </c>
      <c r="T133">
        <f ca="1"/>
        <v>0</v>
      </c>
      <c r="U133">
        <f ca="1"/>
        <v>0</v>
      </c>
    </row>
    <row r="134" spans="4:21" x14ac:dyDescent="0.25">
      <c r="D134">
        <v>23</v>
      </c>
      <c r="G134">
        <f ca="1"/>
        <v>0</v>
      </c>
      <c r="H134">
        <f ca="1"/>
        <v>0</v>
      </c>
      <c r="I134">
        <f ca="1"/>
        <v>0</v>
      </c>
      <c r="J134">
        <f ca="1"/>
        <v>0</v>
      </c>
      <c r="K134">
        <f ca="1"/>
        <v>0</v>
      </c>
      <c r="L134">
        <f ca="1"/>
        <v>0</v>
      </c>
      <c r="M134">
        <f ca="1"/>
        <v>0</v>
      </c>
      <c r="N134">
        <f ca="1"/>
        <v>0</v>
      </c>
      <c r="O134">
        <f ca="1"/>
        <v>0</v>
      </c>
      <c r="P134">
        <f ca="1"/>
        <v>0</v>
      </c>
      <c r="Q134">
        <f ca="1"/>
        <v>0</v>
      </c>
      <c r="R134">
        <f ca="1"/>
        <v>0</v>
      </c>
      <c r="S134">
        <f ca="1"/>
        <v>0</v>
      </c>
      <c r="T134">
        <f ca="1"/>
        <v>0</v>
      </c>
      <c r="U134">
        <f ca="1"/>
        <v>0</v>
      </c>
    </row>
    <row r="135" spans="4:21" x14ac:dyDescent="0.25">
      <c r="D135">
        <v>24</v>
      </c>
      <c r="G135">
        <f ca="1"/>
        <v>0</v>
      </c>
      <c r="H135">
        <f ca="1"/>
        <v>0</v>
      </c>
      <c r="I135">
        <f ca="1"/>
        <v>0</v>
      </c>
      <c r="J135">
        <f ca="1"/>
        <v>0</v>
      </c>
      <c r="K135">
        <f ca="1"/>
        <v>0</v>
      </c>
      <c r="L135">
        <f ca="1"/>
        <v>0</v>
      </c>
      <c r="M135">
        <f ca="1"/>
        <v>0</v>
      </c>
      <c r="N135">
        <f ca="1"/>
        <v>0</v>
      </c>
      <c r="O135">
        <f ca="1"/>
        <v>0</v>
      </c>
      <c r="P135">
        <f ca="1"/>
        <v>0</v>
      </c>
      <c r="Q135">
        <f ca="1"/>
        <v>0</v>
      </c>
      <c r="R135">
        <f ca="1"/>
        <v>0</v>
      </c>
      <c r="S135">
        <f ca="1"/>
        <v>0</v>
      </c>
      <c r="T135">
        <f ca="1"/>
        <v>0</v>
      </c>
      <c r="U135">
        <f ca="1"/>
        <v>0</v>
      </c>
    </row>
    <row r="136" spans="4:21" x14ac:dyDescent="0.25">
      <c r="D136">
        <v>25</v>
      </c>
      <c r="G136">
        <f ca="1"/>
        <v>0</v>
      </c>
      <c r="H136">
        <f ca="1"/>
        <v>0</v>
      </c>
      <c r="I136">
        <f ca="1"/>
        <v>0</v>
      </c>
      <c r="J136">
        <f ca="1"/>
        <v>0</v>
      </c>
      <c r="K136">
        <f ca="1"/>
        <v>0</v>
      </c>
      <c r="L136">
        <f ca="1"/>
        <v>0</v>
      </c>
      <c r="M136">
        <f ca="1"/>
        <v>0</v>
      </c>
      <c r="N136">
        <f ca="1"/>
        <v>0</v>
      </c>
      <c r="O136">
        <f ca="1"/>
        <v>0</v>
      </c>
      <c r="P136">
        <f ca="1"/>
        <v>0</v>
      </c>
      <c r="Q136">
        <f ca="1"/>
        <v>0</v>
      </c>
      <c r="R136">
        <f ca="1"/>
        <v>0</v>
      </c>
      <c r="S136">
        <f ca="1"/>
        <v>0</v>
      </c>
      <c r="T136">
        <f ca="1"/>
        <v>0</v>
      </c>
      <c r="U136">
        <f ca="1"/>
        <v>0</v>
      </c>
    </row>
    <row r="137" spans="4:21" x14ac:dyDescent="0.25">
      <c r="D137">
        <v>26</v>
      </c>
      <c r="G137">
        <f ca="1"/>
        <v>0</v>
      </c>
      <c r="H137">
        <f ca="1"/>
        <v>0</v>
      </c>
      <c r="I137">
        <f ca="1"/>
        <v>0</v>
      </c>
      <c r="J137">
        <f ca="1"/>
        <v>0</v>
      </c>
      <c r="K137">
        <f ca="1"/>
        <v>0</v>
      </c>
      <c r="L137">
        <f ca="1"/>
        <v>0</v>
      </c>
      <c r="M137">
        <f ca="1"/>
        <v>0</v>
      </c>
      <c r="N137">
        <f ca="1"/>
        <v>0</v>
      </c>
      <c r="O137">
        <f ca="1"/>
        <v>0</v>
      </c>
      <c r="P137">
        <f ca="1"/>
        <v>0</v>
      </c>
      <c r="Q137">
        <f ca="1"/>
        <v>0</v>
      </c>
      <c r="R137">
        <f ca="1"/>
        <v>0</v>
      </c>
      <c r="S137">
        <f ca="1"/>
        <v>0</v>
      </c>
      <c r="T137">
        <f ca="1"/>
        <v>0</v>
      </c>
      <c r="U137">
        <f ca="1"/>
        <v>0</v>
      </c>
    </row>
    <row r="138" spans="4:21" x14ac:dyDescent="0.25">
      <c r="G138">
        <f ca="1"/>
        <v>0</v>
      </c>
      <c r="H138">
        <f ca="1"/>
        <v>0</v>
      </c>
      <c r="I138">
        <f ca="1"/>
        <v>0</v>
      </c>
      <c r="J138">
        <f ca="1"/>
        <v>0</v>
      </c>
      <c r="K138">
        <f ca="1"/>
        <v>0</v>
      </c>
      <c r="L138">
        <f ca="1"/>
        <v>0</v>
      </c>
      <c r="M138">
        <f ca="1"/>
        <v>0</v>
      </c>
      <c r="N138">
        <f ca="1"/>
        <v>0</v>
      </c>
      <c r="O138">
        <f ca="1"/>
        <v>0</v>
      </c>
      <c r="P138">
        <f ca="1"/>
        <v>0</v>
      </c>
      <c r="Q138">
        <f ca="1"/>
        <v>0</v>
      </c>
      <c r="R138">
        <f ca="1"/>
        <v>0</v>
      </c>
      <c r="S138">
        <f ca="1"/>
        <v>0</v>
      </c>
      <c r="T138">
        <f ca="1"/>
        <v>0</v>
      </c>
      <c r="U138">
        <f ca="1"/>
        <v>0</v>
      </c>
    </row>
    <row r="140" spans="4:21" ht="72" customHeight="1" x14ac:dyDescent="0.25"/>
  </sheetData>
  <sortState xmlns:xlrd2="http://schemas.microsoft.com/office/spreadsheetml/2017/richdata2" ref="A7:D42">
    <sortCondition ref="D7:D42"/>
  </sortState>
  <phoneticPr fontId="3" type="noConversion"/>
  <conditionalFormatting sqref="G7:G42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42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42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42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4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4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4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4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4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P4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4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4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4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4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4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7:Y4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4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4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7:AB4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7:AC4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:AD4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7:AE4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7:AF4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7:AG4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7:AH4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7:AI4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7:AJ4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column" displayEmptyCellsAs="gap" xr2:uid="{7EA7115D-8F08-46A4-8C67-77542ED7A81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Summary!G112:G138</xm:f>
              <xm:sqref>G140</xm:sqref>
            </x14:sparkline>
            <x14:sparkline>
              <xm:f>Summary!H112:H138</xm:f>
              <xm:sqref>H140</xm:sqref>
            </x14:sparkline>
            <x14:sparkline>
              <xm:f>Summary!I112:I138</xm:f>
              <xm:sqref>I140</xm:sqref>
            </x14:sparkline>
            <x14:sparkline>
              <xm:f>Summary!J112:J138</xm:f>
              <xm:sqref>J140</xm:sqref>
            </x14:sparkline>
            <x14:sparkline>
              <xm:f>Summary!K112:K138</xm:f>
              <xm:sqref>K140</xm:sqref>
            </x14:sparkline>
            <x14:sparkline>
              <xm:f>Summary!L112:L138</xm:f>
              <xm:sqref>L140</xm:sqref>
            </x14:sparkline>
            <x14:sparkline>
              <xm:f>Summary!M112:M138</xm:f>
              <xm:sqref>M140</xm:sqref>
            </x14:sparkline>
            <x14:sparkline>
              <xm:f>Summary!N112:N138</xm:f>
              <xm:sqref>N140</xm:sqref>
            </x14:sparkline>
            <x14:sparkline>
              <xm:f>Summary!O112:O138</xm:f>
              <xm:sqref>O140</xm:sqref>
            </x14:sparkline>
            <x14:sparkline>
              <xm:f>Summary!P112:P138</xm:f>
              <xm:sqref>P140</xm:sqref>
            </x14:sparkline>
            <x14:sparkline>
              <xm:f>Summary!Q112:Q138</xm:f>
              <xm:sqref>Q140</xm:sqref>
            </x14:sparkline>
            <x14:sparkline>
              <xm:f>Summary!R112:R138</xm:f>
              <xm:sqref>R140</xm:sqref>
            </x14:sparkline>
            <x14:sparkline>
              <xm:f>Summary!S112:S138</xm:f>
              <xm:sqref>S140</xm:sqref>
            </x14:sparkline>
            <x14:sparkline>
              <xm:f>Summary!T112:T138</xm:f>
              <xm:sqref>T140</xm:sqref>
            </x14:sparkline>
            <x14:sparkline>
              <xm:f>Summary!U112:U138</xm:f>
              <xm:sqref>U140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67BEC-AEB1-4D7F-B856-AED65CF4AA4F}">
  <sheetPr codeName="Sheet2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112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113</v>
      </c>
    </row>
    <row r="4" spans="1:18" x14ac:dyDescent="0.25">
      <c r="A4" t="s">
        <v>95</v>
      </c>
      <c r="B4" t="s">
        <v>114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62.484499999999997</v>
      </c>
      <c r="H11">
        <v>37.515300000000003</v>
      </c>
      <c r="I11">
        <v>7.6999999999999999E-2</v>
      </c>
      <c r="J11">
        <v>-1.55E-2</v>
      </c>
      <c r="K11">
        <v>1.5299999999999999E-2</v>
      </c>
      <c r="L11">
        <v>7.6999999999999999E-2</v>
      </c>
      <c r="P11">
        <v>0.16009999999999999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-63.451300000000003</v>
      </c>
      <c r="H12">
        <v>37.515300000000003</v>
      </c>
      <c r="I12">
        <v>7.0099999999999996E-2</v>
      </c>
      <c r="J12">
        <v>4.87E-2</v>
      </c>
      <c r="K12">
        <v>1.5299999999999999E-2</v>
      </c>
      <c r="L12">
        <v>7.0099999999999996E-2</v>
      </c>
      <c r="P12">
        <v>0.1734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-62.482199999999999</v>
      </c>
      <c r="H13">
        <v>-36.461300000000001</v>
      </c>
      <c r="I13">
        <v>7.7100000000000002E-2</v>
      </c>
      <c r="J13">
        <v>1.78E-2</v>
      </c>
      <c r="K13">
        <v>3.8699999999999998E-2</v>
      </c>
      <c r="L13">
        <v>7.7100000000000002E-2</v>
      </c>
      <c r="P13">
        <v>0.17610000000000001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61.4422</v>
      </c>
      <c r="H14">
        <v>-37.465600000000002</v>
      </c>
      <c r="I14">
        <v>7.0499999999999993E-2</v>
      </c>
      <c r="J14">
        <v>-5.7799999999999997E-2</v>
      </c>
      <c r="K14">
        <v>3.44E-2</v>
      </c>
      <c r="L14">
        <v>7.0499999999999993E-2</v>
      </c>
      <c r="P14">
        <v>0.19489999999999999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25.399799999999999</v>
      </c>
      <c r="J15">
        <v>-2.0000000000000001E-4</v>
      </c>
      <c r="M15">
        <v>25.5</v>
      </c>
      <c r="N15">
        <v>25.3</v>
      </c>
      <c r="O15" t="s">
        <v>102</v>
      </c>
      <c r="P15">
        <v>0.01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25.402899999999999</v>
      </c>
      <c r="J16">
        <v>2.8999999999999998E-3</v>
      </c>
      <c r="M16">
        <v>25.5</v>
      </c>
      <c r="N16">
        <v>25.3</v>
      </c>
      <c r="O16" t="s">
        <v>102</v>
      </c>
      <c r="P16">
        <v>1.17E-2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25.4039</v>
      </c>
      <c r="J17">
        <v>3.8999999999999998E-3</v>
      </c>
      <c r="M17">
        <v>25.5</v>
      </c>
      <c r="N17">
        <v>25.3</v>
      </c>
      <c r="O17" t="s">
        <v>102</v>
      </c>
      <c r="P17">
        <v>9.2999999999999992E-3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25.404800000000002</v>
      </c>
      <c r="J18">
        <v>4.7999999999999996E-3</v>
      </c>
      <c r="M18">
        <v>25.5</v>
      </c>
      <c r="N18">
        <v>25.3</v>
      </c>
      <c r="O18" t="s">
        <v>102</v>
      </c>
      <c r="P18">
        <v>1.2800000000000001E-2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25.4024</v>
      </c>
      <c r="J19">
        <v>2.3999999999999998E-3</v>
      </c>
      <c r="M19">
        <v>25.5</v>
      </c>
      <c r="N19">
        <v>25.3</v>
      </c>
      <c r="O19" t="s">
        <v>102</v>
      </c>
      <c r="P19">
        <v>5.0000000000000001E-3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72.881500000000003</v>
      </c>
      <c r="J20">
        <v>-5.4999999999999997E-3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73.712000000000003</v>
      </c>
      <c r="J21">
        <v>-3.4000000000000002E-2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72.342600000000004</v>
      </c>
      <c r="J22">
        <v>-3.44E-2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71.963999999999999</v>
      </c>
      <c r="J23">
        <v>-6.7000000000000004E-2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74.988100000000003</v>
      </c>
      <c r="J24">
        <v>-1.89E-2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73.982900000000001</v>
      </c>
      <c r="J25">
        <v>-2.41E-2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125.9357</v>
      </c>
      <c r="J26">
        <v>-6.4299999999999996E-2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123.9284</v>
      </c>
      <c r="J27">
        <v>-7.5600000000000001E-2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145.22120000000001</v>
      </c>
      <c r="J28">
        <v>-4.0800000000000003E-2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145.67259999999999</v>
      </c>
      <c r="J29">
        <v>-0.1014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ED227-DBBF-41A0-A290-A62F71E0CF4A}">
  <sheetPr codeName="Sheet3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112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115</v>
      </c>
    </row>
    <row r="4" spans="1:18" x14ac:dyDescent="0.25">
      <c r="A4" t="s">
        <v>95</v>
      </c>
      <c r="B4" t="s">
        <v>116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62.482799999999997</v>
      </c>
      <c r="H11">
        <v>37.515099999999997</v>
      </c>
      <c r="I11">
        <v>7.7100000000000002E-2</v>
      </c>
      <c r="J11">
        <v>-1.72E-2</v>
      </c>
      <c r="K11">
        <v>1.5100000000000001E-2</v>
      </c>
      <c r="L11">
        <v>7.7100000000000002E-2</v>
      </c>
      <c r="P11">
        <v>0.16089999999999999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-63.451900000000002</v>
      </c>
      <c r="H12">
        <v>37.515099999999997</v>
      </c>
      <c r="I12">
        <v>7.0699999999999999E-2</v>
      </c>
      <c r="J12">
        <v>4.8099999999999997E-2</v>
      </c>
      <c r="K12">
        <v>1.5100000000000001E-2</v>
      </c>
      <c r="L12">
        <v>7.0699999999999999E-2</v>
      </c>
      <c r="P12">
        <v>0.17369999999999999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-62.482500000000002</v>
      </c>
      <c r="H13">
        <v>-36.461300000000001</v>
      </c>
      <c r="I13">
        <v>7.7200000000000005E-2</v>
      </c>
      <c r="J13">
        <v>1.7500000000000002E-2</v>
      </c>
      <c r="K13">
        <v>3.8699999999999998E-2</v>
      </c>
      <c r="L13">
        <v>7.7200000000000005E-2</v>
      </c>
      <c r="P13">
        <v>0.17630000000000001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61.441600000000001</v>
      </c>
      <c r="H14">
        <v>-37.465400000000002</v>
      </c>
      <c r="I14">
        <v>7.1099999999999997E-2</v>
      </c>
      <c r="J14">
        <v>-5.8400000000000001E-2</v>
      </c>
      <c r="K14">
        <v>3.4599999999999999E-2</v>
      </c>
      <c r="L14">
        <v>7.1099999999999997E-2</v>
      </c>
      <c r="P14">
        <v>0.19670000000000001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25.3995</v>
      </c>
      <c r="J15">
        <v>-5.0000000000000001E-4</v>
      </c>
      <c r="M15">
        <v>25.5</v>
      </c>
      <c r="N15">
        <v>25.3</v>
      </c>
      <c r="O15" t="s">
        <v>102</v>
      </c>
      <c r="P15">
        <v>9.5999999999999992E-3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25.402799999999999</v>
      </c>
      <c r="J16">
        <v>2.8E-3</v>
      </c>
      <c r="M16">
        <v>25.5</v>
      </c>
      <c r="N16">
        <v>25.3</v>
      </c>
      <c r="O16" t="s">
        <v>102</v>
      </c>
      <c r="P16">
        <v>1.0800000000000001E-2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25.402899999999999</v>
      </c>
      <c r="J17">
        <v>2.8999999999999998E-3</v>
      </c>
      <c r="M17">
        <v>25.5</v>
      </c>
      <c r="N17">
        <v>25.3</v>
      </c>
      <c r="O17" t="s">
        <v>102</v>
      </c>
      <c r="P17">
        <v>5.1000000000000004E-3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25.404599999999999</v>
      </c>
      <c r="J18">
        <v>4.5999999999999999E-3</v>
      </c>
      <c r="M18">
        <v>25.5</v>
      </c>
      <c r="N18">
        <v>25.3</v>
      </c>
      <c r="O18" t="s">
        <v>102</v>
      </c>
      <c r="P18">
        <v>6.7000000000000002E-3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25.402899999999999</v>
      </c>
      <c r="J19">
        <v>2.8999999999999998E-3</v>
      </c>
      <c r="M19">
        <v>25.5</v>
      </c>
      <c r="N19">
        <v>25.3</v>
      </c>
      <c r="O19" t="s">
        <v>102</v>
      </c>
      <c r="P19">
        <v>1.1299999999999999E-2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72.88</v>
      </c>
      <c r="J20">
        <v>-7.0000000000000001E-3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73.712500000000006</v>
      </c>
      <c r="J21">
        <v>-3.3500000000000002E-2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72.3429</v>
      </c>
      <c r="J22">
        <v>-3.4099999999999998E-2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71.963399999999993</v>
      </c>
      <c r="J23">
        <v>-6.7599999999999993E-2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74.987799999999993</v>
      </c>
      <c r="J24">
        <v>-1.9199999999999998E-2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73.982799999999997</v>
      </c>
      <c r="J25">
        <v>-2.4199999999999999E-2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125.9346</v>
      </c>
      <c r="J26">
        <v>-6.54E-2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123.9281</v>
      </c>
      <c r="J27">
        <v>-7.5899999999999995E-2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145.2199</v>
      </c>
      <c r="J28">
        <v>-4.2099999999999999E-2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145.67240000000001</v>
      </c>
      <c r="J29">
        <v>-0.1016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9B7F8-E2C6-4B1E-9BD8-5CFA21A54CA6}">
  <sheetPr codeName="Sheet4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112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117</v>
      </c>
    </row>
    <row r="4" spans="1:18" x14ac:dyDescent="0.25">
      <c r="A4" t="s">
        <v>95</v>
      </c>
      <c r="B4" t="s">
        <v>118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62.483800000000002</v>
      </c>
      <c r="H11">
        <v>37.5152</v>
      </c>
      <c r="I11">
        <v>7.7299999999999994E-2</v>
      </c>
      <c r="J11">
        <v>-1.6199999999999999E-2</v>
      </c>
      <c r="K11">
        <v>1.52E-2</v>
      </c>
      <c r="L11">
        <v>7.7299999999999994E-2</v>
      </c>
      <c r="P11">
        <v>0.16089999999999999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-63.4514</v>
      </c>
      <c r="H12">
        <v>37.5152</v>
      </c>
      <c r="I12">
        <v>7.0699999999999999E-2</v>
      </c>
      <c r="J12">
        <v>4.8599999999999997E-2</v>
      </c>
      <c r="K12">
        <v>1.52E-2</v>
      </c>
      <c r="L12">
        <v>7.0699999999999999E-2</v>
      </c>
      <c r="P12">
        <v>0.17430000000000001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-62.481699999999996</v>
      </c>
      <c r="H13">
        <v>-36.461500000000001</v>
      </c>
      <c r="I13">
        <v>7.7399999999999997E-2</v>
      </c>
      <c r="J13">
        <v>1.83E-2</v>
      </c>
      <c r="K13">
        <v>3.85E-2</v>
      </c>
      <c r="L13">
        <v>7.7399999999999997E-2</v>
      </c>
      <c r="P13">
        <v>0.1767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61.442399999999999</v>
      </c>
      <c r="H14">
        <v>-37.465800000000002</v>
      </c>
      <c r="I14">
        <v>7.1199999999999999E-2</v>
      </c>
      <c r="J14">
        <v>-5.7599999999999998E-2</v>
      </c>
      <c r="K14">
        <v>3.4200000000000001E-2</v>
      </c>
      <c r="L14">
        <v>7.1199999999999999E-2</v>
      </c>
      <c r="P14">
        <v>0.19550000000000001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25.399799999999999</v>
      </c>
      <c r="J15">
        <v>-2.0000000000000001E-4</v>
      </c>
      <c r="M15">
        <v>25.5</v>
      </c>
      <c r="N15">
        <v>25.3</v>
      </c>
      <c r="O15" t="s">
        <v>102</v>
      </c>
      <c r="P15">
        <v>4.4000000000000003E-3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25.403300000000002</v>
      </c>
      <c r="J16">
        <v>3.3E-3</v>
      </c>
      <c r="M16">
        <v>25.5</v>
      </c>
      <c r="N16">
        <v>25.3</v>
      </c>
      <c r="O16" t="s">
        <v>102</v>
      </c>
      <c r="P16">
        <v>6.4000000000000003E-3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25.403199999999998</v>
      </c>
      <c r="J17">
        <v>3.2000000000000002E-3</v>
      </c>
      <c r="M17">
        <v>25.5</v>
      </c>
      <c r="N17">
        <v>25.3</v>
      </c>
      <c r="O17" t="s">
        <v>102</v>
      </c>
      <c r="P17">
        <v>3.7000000000000002E-3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</v>
      </c>
      <c r="J18">
        <v>4.0000000000000001E-3</v>
      </c>
      <c r="M18">
        <v>25.5</v>
      </c>
      <c r="N18">
        <v>25.3</v>
      </c>
      <c r="O18" t="s">
        <v>102</v>
      </c>
      <c r="P18">
        <v>4.5999999999999999E-3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25.402899999999999</v>
      </c>
      <c r="J19">
        <v>2.8999999999999998E-3</v>
      </c>
      <c r="M19">
        <v>25.5</v>
      </c>
      <c r="N19">
        <v>25.3</v>
      </c>
      <c r="O19" t="s">
        <v>102</v>
      </c>
      <c r="P19">
        <v>5.7000000000000002E-3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72.880899999999997</v>
      </c>
      <c r="J20">
        <v>-6.1000000000000004E-3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73.712100000000007</v>
      </c>
      <c r="J21">
        <v>-3.39E-2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72.342299999999994</v>
      </c>
      <c r="J22">
        <v>-3.4700000000000002E-2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71.964299999999994</v>
      </c>
      <c r="J23">
        <v>-6.6699999999999995E-2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74.988200000000006</v>
      </c>
      <c r="J24">
        <v>-1.8800000000000001E-2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73.983099999999993</v>
      </c>
      <c r="J25">
        <v>-2.3900000000000001E-2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125.9353</v>
      </c>
      <c r="J26">
        <v>-6.4699999999999994E-2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123.9282</v>
      </c>
      <c r="J27">
        <v>-7.5800000000000006E-2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145.22030000000001</v>
      </c>
      <c r="J28">
        <v>-4.1700000000000001E-2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145.673</v>
      </c>
      <c r="J29">
        <v>-0.10100000000000001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A1465-9FD9-419D-927E-37F6FAAC64D7}">
  <sheetPr codeName="Sheet5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112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119</v>
      </c>
    </row>
    <row r="4" spans="1:18" x14ac:dyDescent="0.25">
      <c r="A4" t="s">
        <v>95</v>
      </c>
      <c r="B4" t="s">
        <v>114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62.484200000000001</v>
      </c>
      <c r="H11">
        <v>37.515700000000002</v>
      </c>
      <c r="I11">
        <v>7.6600000000000001E-2</v>
      </c>
      <c r="J11">
        <v>-1.5800000000000002E-2</v>
      </c>
      <c r="K11">
        <v>1.5699999999999999E-2</v>
      </c>
      <c r="L11">
        <v>7.6600000000000001E-2</v>
      </c>
      <c r="P11">
        <v>0.1595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-63.450800000000001</v>
      </c>
      <c r="H12">
        <v>37.515700000000002</v>
      </c>
      <c r="I12">
        <v>7.0699999999999999E-2</v>
      </c>
      <c r="J12">
        <v>4.9200000000000001E-2</v>
      </c>
      <c r="K12">
        <v>1.5699999999999999E-2</v>
      </c>
      <c r="L12">
        <v>7.0699999999999999E-2</v>
      </c>
      <c r="P12">
        <v>0.17499999999999999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-62.481499999999997</v>
      </c>
      <c r="H13">
        <v>-36.462000000000003</v>
      </c>
      <c r="I13">
        <v>7.6700000000000004E-2</v>
      </c>
      <c r="J13">
        <v>1.8499999999999999E-2</v>
      </c>
      <c r="K13">
        <v>3.7999999999999999E-2</v>
      </c>
      <c r="L13">
        <v>7.6700000000000004E-2</v>
      </c>
      <c r="P13">
        <v>0.17510000000000001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61.442599999999999</v>
      </c>
      <c r="H14">
        <v>-37.465699999999998</v>
      </c>
      <c r="I14">
        <v>7.1099999999999997E-2</v>
      </c>
      <c r="J14">
        <v>-5.74E-2</v>
      </c>
      <c r="K14">
        <v>3.4299999999999997E-2</v>
      </c>
      <c r="L14">
        <v>7.1099999999999997E-2</v>
      </c>
      <c r="P14">
        <v>0.19520000000000001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25.3993</v>
      </c>
      <c r="J15">
        <v>-6.9999999999999999E-4</v>
      </c>
      <c r="M15">
        <v>25.5</v>
      </c>
      <c r="N15">
        <v>25.3</v>
      </c>
      <c r="O15" t="s">
        <v>102</v>
      </c>
      <c r="P15">
        <v>4.7999999999999996E-3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25.4025</v>
      </c>
      <c r="J16">
        <v>2.5000000000000001E-3</v>
      </c>
      <c r="M16">
        <v>25.5</v>
      </c>
      <c r="N16">
        <v>25.3</v>
      </c>
      <c r="O16" t="s">
        <v>102</v>
      </c>
      <c r="P16">
        <v>4.7000000000000002E-3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25.402999999999999</v>
      </c>
      <c r="J17">
        <v>3.0000000000000001E-3</v>
      </c>
      <c r="M17">
        <v>25.5</v>
      </c>
      <c r="N17">
        <v>25.3</v>
      </c>
      <c r="O17" t="s">
        <v>102</v>
      </c>
      <c r="P17">
        <v>8.8000000000000005E-3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25.404499999999999</v>
      </c>
      <c r="J18">
        <v>4.4999999999999997E-3</v>
      </c>
      <c r="M18">
        <v>25.5</v>
      </c>
      <c r="N18">
        <v>25.3</v>
      </c>
      <c r="O18" t="s">
        <v>102</v>
      </c>
      <c r="P18">
        <v>6.4000000000000003E-3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25.4024</v>
      </c>
      <c r="J19">
        <v>2.3999999999999998E-3</v>
      </c>
      <c r="M19">
        <v>25.5</v>
      </c>
      <c r="N19">
        <v>25.3</v>
      </c>
      <c r="O19" t="s">
        <v>102</v>
      </c>
      <c r="P19">
        <v>6.8999999999999999E-3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72.881399999999999</v>
      </c>
      <c r="J20">
        <v>-5.5999999999999999E-3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73.711799999999997</v>
      </c>
      <c r="J21">
        <v>-3.4200000000000001E-2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72.342399999999998</v>
      </c>
      <c r="J22">
        <v>-3.4599999999999999E-2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71.964399999999998</v>
      </c>
      <c r="J23">
        <v>-6.6600000000000006E-2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74.988600000000005</v>
      </c>
      <c r="J24">
        <v>-1.84E-2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73.983999999999995</v>
      </c>
      <c r="J25">
        <v>-2.3E-2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125.935</v>
      </c>
      <c r="J26">
        <v>-6.5000000000000002E-2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123.9282</v>
      </c>
      <c r="J27">
        <v>-7.5800000000000006E-2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145.2209</v>
      </c>
      <c r="J28">
        <v>-4.1099999999999998E-2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145.6728</v>
      </c>
      <c r="J29">
        <v>-0.1012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F1F74-4693-4F31-B215-82FC2BBEBE70}">
  <sheetPr codeName="Sheet6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112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120</v>
      </c>
    </row>
    <row r="4" spans="1:18" x14ac:dyDescent="0.25">
      <c r="A4" t="s">
        <v>95</v>
      </c>
      <c r="B4" t="s">
        <v>116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62.4831</v>
      </c>
      <c r="H11">
        <v>37.514699999999998</v>
      </c>
      <c r="I11">
        <v>7.7499999999999999E-2</v>
      </c>
      <c r="J11">
        <v>-1.6899999999999998E-2</v>
      </c>
      <c r="K11">
        <v>1.47E-2</v>
      </c>
      <c r="L11">
        <v>7.7499999999999999E-2</v>
      </c>
      <c r="P11">
        <v>0.16120000000000001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-63.452300000000001</v>
      </c>
      <c r="H12">
        <v>37.514699999999998</v>
      </c>
      <c r="I12">
        <v>7.0000000000000007E-2</v>
      </c>
      <c r="J12">
        <v>4.7699999999999999E-2</v>
      </c>
      <c r="K12">
        <v>1.47E-2</v>
      </c>
      <c r="L12">
        <v>7.0000000000000007E-2</v>
      </c>
      <c r="P12">
        <v>0.1719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-62.482599999999998</v>
      </c>
      <c r="H13">
        <v>-36.4617</v>
      </c>
      <c r="I13">
        <v>7.7499999999999999E-2</v>
      </c>
      <c r="J13">
        <v>1.7399999999999999E-2</v>
      </c>
      <c r="K13">
        <v>3.8300000000000001E-2</v>
      </c>
      <c r="L13">
        <v>7.7499999999999999E-2</v>
      </c>
      <c r="P13">
        <v>0.17649999999999999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61.442100000000003</v>
      </c>
      <c r="H14">
        <v>-37.466299999999997</v>
      </c>
      <c r="I14">
        <v>7.0400000000000004E-2</v>
      </c>
      <c r="J14">
        <v>-5.79E-2</v>
      </c>
      <c r="K14">
        <v>3.3700000000000001E-2</v>
      </c>
      <c r="L14">
        <v>7.0400000000000004E-2</v>
      </c>
      <c r="P14">
        <v>0.19439999999999999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25.398800000000001</v>
      </c>
      <c r="J15">
        <v>-1.1999999999999999E-3</v>
      </c>
      <c r="M15">
        <v>25.5</v>
      </c>
      <c r="N15">
        <v>25.3</v>
      </c>
      <c r="O15" t="s">
        <v>102</v>
      </c>
      <c r="P15">
        <v>9.7000000000000003E-3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25.4024</v>
      </c>
      <c r="J16">
        <v>2.3999999999999998E-3</v>
      </c>
      <c r="M16">
        <v>25.5</v>
      </c>
      <c r="N16">
        <v>25.3</v>
      </c>
      <c r="O16" t="s">
        <v>102</v>
      </c>
      <c r="P16">
        <v>1.01E-2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25.4039</v>
      </c>
      <c r="J17">
        <v>3.8999999999999998E-3</v>
      </c>
      <c r="M17">
        <v>25.5</v>
      </c>
      <c r="N17">
        <v>25.3</v>
      </c>
      <c r="O17" t="s">
        <v>102</v>
      </c>
      <c r="P17">
        <v>5.7000000000000002E-3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25.404499999999999</v>
      </c>
      <c r="J18">
        <v>4.4999999999999997E-3</v>
      </c>
      <c r="M18">
        <v>25.5</v>
      </c>
      <c r="N18">
        <v>25.3</v>
      </c>
      <c r="O18" t="s">
        <v>102</v>
      </c>
      <c r="P18">
        <v>1.24E-2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25.402200000000001</v>
      </c>
      <c r="J19">
        <v>2.2000000000000001E-3</v>
      </c>
      <c r="M19">
        <v>25.5</v>
      </c>
      <c r="N19">
        <v>25.3</v>
      </c>
      <c r="O19" t="s">
        <v>102</v>
      </c>
      <c r="P19">
        <v>7.1000000000000004E-3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72.88</v>
      </c>
      <c r="J20">
        <v>-7.0000000000000001E-3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73.712599999999995</v>
      </c>
      <c r="J21">
        <v>-3.3399999999999999E-2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72.343199999999996</v>
      </c>
      <c r="J22">
        <v>-3.3799999999999997E-2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71.964299999999994</v>
      </c>
      <c r="J23">
        <v>-6.6699999999999995E-2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74.988200000000006</v>
      </c>
      <c r="J24">
        <v>-1.8800000000000001E-2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73.982699999999994</v>
      </c>
      <c r="J25">
        <v>-2.4299999999999999E-2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125.9354</v>
      </c>
      <c r="J26">
        <v>-6.4600000000000005E-2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123.9288</v>
      </c>
      <c r="J27">
        <v>-7.5200000000000003E-2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145.22030000000001</v>
      </c>
      <c r="J28">
        <v>-4.1700000000000001E-2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145.67349999999999</v>
      </c>
      <c r="J29">
        <v>-0.10050000000000001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EC3DD-1E0D-4C34-BB57-A712C5C3C2B0}">
  <sheetPr codeName="Sheet7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112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121</v>
      </c>
    </row>
    <row r="4" spans="1:18" x14ac:dyDescent="0.25">
      <c r="A4" t="s">
        <v>95</v>
      </c>
      <c r="B4" t="s">
        <v>118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62.484000000000002</v>
      </c>
      <c r="H11">
        <v>37.5152</v>
      </c>
      <c r="I11">
        <v>7.7399999999999997E-2</v>
      </c>
      <c r="J11">
        <v>-1.6E-2</v>
      </c>
      <c r="K11">
        <v>1.52E-2</v>
      </c>
      <c r="L11">
        <v>7.7399999999999997E-2</v>
      </c>
      <c r="P11">
        <v>0.16089999999999999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-63.4512</v>
      </c>
      <c r="H12">
        <v>37.5152</v>
      </c>
      <c r="I12">
        <v>7.0800000000000002E-2</v>
      </c>
      <c r="J12">
        <v>4.8800000000000003E-2</v>
      </c>
      <c r="K12">
        <v>1.52E-2</v>
      </c>
      <c r="L12">
        <v>7.0800000000000002E-2</v>
      </c>
      <c r="P12">
        <v>0.17460000000000001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-62.482399999999998</v>
      </c>
      <c r="H13">
        <v>-36.462699999999998</v>
      </c>
      <c r="I13">
        <v>7.7499999999999999E-2</v>
      </c>
      <c r="J13">
        <v>1.7600000000000001E-2</v>
      </c>
      <c r="K13">
        <v>3.73E-2</v>
      </c>
      <c r="L13">
        <v>7.7499999999999999E-2</v>
      </c>
      <c r="P13">
        <v>0.17549999999999999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61.442700000000002</v>
      </c>
      <c r="H14">
        <v>-37.465600000000002</v>
      </c>
      <c r="I14">
        <v>7.1199999999999999E-2</v>
      </c>
      <c r="J14">
        <v>-5.7299999999999997E-2</v>
      </c>
      <c r="K14">
        <v>3.44E-2</v>
      </c>
      <c r="L14">
        <v>7.1199999999999999E-2</v>
      </c>
      <c r="P14">
        <v>0.1953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25.3996</v>
      </c>
      <c r="J15">
        <v>-4.0000000000000002E-4</v>
      </c>
      <c r="M15">
        <v>25.5</v>
      </c>
      <c r="N15">
        <v>25.3</v>
      </c>
      <c r="O15" t="s">
        <v>102</v>
      </c>
      <c r="P15">
        <v>4.8999999999999998E-3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25.403099999999998</v>
      </c>
      <c r="J16">
        <v>3.0999999999999999E-3</v>
      </c>
      <c r="M16">
        <v>25.5</v>
      </c>
      <c r="N16">
        <v>25.3</v>
      </c>
      <c r="O16" t="s">
        <v>102</v>
      </c>
      <c r="P16">
        <v>7.1999999999999998E-3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25.403300000000002</v>
      </c>
      <c r="J17">
        <v>3.3E-3</v>
      </c>
      <c r="M17">
        <v>25.5</v>
      </c>
      <c r="N17">
        <v>25.3</v>
      </c>
      <c r="O17" t="s">
        <v>102</v>
      </c>
      <c r="P17">
        <v>4.1999999999999997E-3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25.4041</v>
      </c>
      <c r="J18">
        <v>4.1000000000000003E-3</v>
      </c>
      <c r="M18">
        <v>25.5</v>
      </c>
      <c r="N18">
        <v>25.3</v>
      </c>
      <c r="O18" t="s">
        <v>102</v>
      </c>
      <c r="P18">
        <v>6.7999999999999996E-3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25.4023</v>
      </c>
      <c r="J19">
        <v>2.3E-3</v>
      </c>
      <c r="M19">
        <v>25.5</v>
      </c>
      <c r="N19">
        <v>25.3</v>
      </c>
      <c r="O19" t="s">
        <v>102</v>
      </c>
      <c r="P19">
        <v>6.1999999999999998E-3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72.881</v>
      </c>
      <c r="J20">
        <v>-6.0000000000000001E-3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73.712000000000003</v>
      </c>
      <c r="J21">
        <v>-3.4000000000000002E-2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72.343500000000006</v>
      </c>
      <c r="J22">
        <v>-3.3500000000000002E-2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71.964500000000001</v>
      </c>
      <c r="J23">
        <v>-6.6500000000000004E-2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74.988</v>
      </c>
      <c r="J24">
        <v>-1.9E-2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73.984200000000001</v>
      </c>
      <c r="J25">
        <v>-2.2800000000000001E-2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125.93519999999999</v>
      </c>
      <c r="J26">
        <v>-6.4799999999999996E-2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123.92919999999999</v>
      </c>
      <c r="J27">
        <v>-7.4800000000000005E-2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145.2216</v>
      </c>
      <c r="J28">
        <v>-4.0399999999999998E-2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145.673</v>
      </c>
      <c r="J29">
        <v>-0.10100000000000001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FF1CF-FAF1-4824-A292-89A4ABEAB557}">
  <sheetPr codeName="Sheet8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112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122</v>
      </c>
    </row>
    <row r="4" spans="1:18" x14ac:dyDescent="0.25">
      <c r="A4" t="s">
        <v>95</v>
      </c>
      <c r="B4" t="s">
        <v>114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62.484200000000001</v>
      </c>
      <c r="H11">
        <v>37.515300000000003</v>
      </c>
      <c r="I11">
        <v>7.7700000000000005E-2</v>
      </c>
      <c r="J11">
        <v>-1.5800000000000002E-2</v>
      </c>
      <c r="K11">
        <v>1.5299999999999999E-2</v>
      </c>
      <c r="L11">
        <v>7.7700000000000005E-2</v>
      </c>
      <c r="P11">
        <v>0.1615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-63.450800000000001</v>
      </c>
      <c r="H12">
        <v>37.515300000000003</v>
      </c>
      <c r="I12">
        <v>7.1400000000000005E-2</v>
      </c>
      <c r="J12">
        <v>4.9200000000000001E-2</v>
      </c>
      <c r="K12">
        <v>1.5299999999999999E-2</v>
      </c>
      <c r="L12">
        <v>7.1400000000000005E-2</v>
      </c>
      <c r="P12">
        <v>0.17610000000000001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-62.482300000000002</v>
      </c>
      <c r="H13">
        <v>-36.461799999999997</v>
      </c>
      <c r="I13">
        <v>7.7700000000000005E-2</v>
      </c>
      <c r="J13">
        <v>1.77E-2</v>
      </c>
      <c r="K13">
        <v>3.8199999999999998E-2</v>
      </c>
      <c r="L13">
        <v>7.7700000000000005E-2</v>
      </c>
      <c r="P13">
        <v>0.1769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61.442900000000002</v>
      </c>
      <c r="H14">
        <v>-37.465499999999999</v>
      </c>
      <c r="I14">
        <v>7.1800000000000003E-2</v>
      </c>
      <c r="J14">
        <v>-5.7099999999999998E-2</v>
      </c>
      <c r="K14">
        <v>3.4500000000000003E-2</v>
      </c>
      <c r="L14">
        <v>7.1800000000000003E-2</v>
      </c>
      <c r="P14">
        <v>0.19600000000000001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25.399899999999999</v>
      </c>
      <c r="J15">
        <v>-1E-4</v>
      </c>
      <c r="M15">
        <v>25.5</v>
      </c>
      <c r="N15">
        <v>25.3</v>
      </c>
      <c r="O15" t="s">
        <v>102</v>
      </c>
      <c r="P15">
        <v>5.3E-3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25.402899999999999</v>
      </c>
      <c r="J16">
        <v>2.8999999999999998E-3</v>
      </c>
      <c r="M16">
        <v>25.5</v>
      </c>
      <c r="N16">
        <v>25.3</v>
      </c>
      <c r="O16" t="s">
        <v>102</v>
      </c>
      <c r="P16">
        <v>4.1000000000000003E-3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25.402799999999999</v>
      </c>
      <c r="J17">
        <v>2.8E-3</v>
      </c>
      <c r="M17">
        <v>25.5</v>
      </c>
      <c r="N17">
        <v>25.3</v>
      </c>
      <c r="O17" t="s">
        <v>102</v>
      </c>
      <c r="P17">
        <v>4.3E-3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25.405100000000001</v>
      </c>
      <c r="J18">
        <v>5.1000000000000004E-3</v>
      </c>
      <c r="M18">
        <v>25.5</v>
      </c>
      <c r="N18">
        <v>25.3</v>
      </c>
      <c r="O18" t="s">
        <v>102</v>
      </c>
      <c r="P18">
        <v>6.1999999999999998E-3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25.402200000000001</v>
      </c>
      <c r="J19">
        <v>2.2000000000000001E-3</v>
      </c>
      <c r="M19">
        <v>25.5</v>
      </c>
      <c r="N19">
        <v>25.3</v>
      </c>
      <c r="O19" t="s">
        <v>102</v>
      </c>
      <c r="P19">
        <v>6.4000000000000003E-3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72.881200000000007</v>
      </c>
      <c r="J20">
        <v>-5.7999999999999996E-3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73.711600000000004</v>
      </c>
      <c r="J21">
        <v>-3.44E-2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72.3429</v>
      </c>
      <c r="J22">
        <v>-3.4099999999999998E-2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71.964600000000004</v>
      </c>
      <c r="J23">
        <v>-6.6400000000000001E-2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74.988</v>
      </c>
      <c r="J24">
        <v>-1.9E-2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73.983400000000003</v>
      </c>
      <c r="J25">
        <v>-2.3599999999999999E-2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125.935</v>
      </c>
      <c r="J26">
        <v>-6.5000000000000002E-2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123.9293</v>
      </c>
      <c r="J27">
        <v>-7.4700000000000003E-2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145.22130000000001</v>
      </c>
      <c r="J28">
        <v>-4.07E-2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145.6728</v>
      </c>
      <c r="J29">
        <v>-0.1012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6669A-3A9F-4C0A-9B92-2CC439683FB2}">
  <sheetPr codeName="Sheet9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112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123</v>
      </c>
    </row>
    <row r="4" spans="1:18" x14ac:dyDescent="0.25">
      <c r="A4" t="s">
        <v>95</v>
      </c>
      <c r="B4" t="s">
        <v>116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62.483499999999999</v>
      </c>
      <c r="H11">
        <v>37.514600000000002</v>
      </c>
      <c r="I11">
        <v>7.6499999999999999E-2</v>
      </c>
      <c r="J11">
        <v>-1.6500000000000001E-2</v>
      </c>
      <c r="K11">
        <v>1.46E-2</v>
      </c>
      <c r="L11">
        <v>7.6499999999999999E-2</v>
      </c>
      <c r="P11">
        <v>0.15920000000000001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-63.452100000000002</v>
      </c>
      <c r="H12">
        <v>37.514600000000002</v>
      </c>
      <c r="I12">
        <v>7.0000000000000007E-2</v>
      </c>
      <c r="J12">
        <v>4.7899999999999998E-2</v>
      </c>
      <c r="K12">
        <v>1.46E-2</v>
      </c>
      <c r="L12">
        <v>7.0000000000000007E-2</v>
      </c>
      <c r="P12">
        <v>0.17219999999999999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-62.482500000000002</v>
      </c>
      <c r="H13">
        <v>-36.4619</v>
      </c>
      <c r="I13">
        <v>7.6499999999999999E-2</v>
      </c>
      <c r="J13">
        <v>1.7500000000000002E-2</v>
      </c>
      <c r="K13">
        <v>3.8100000000000002E-2</v>
      </c>
      <c r="L13">
        <v>7.6499999999999999E-2</v>
      </c>
      <c r="P13">
        <v>0.17460000000000001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61.4422</v>
      </c>
      <c r="H14">
        <v>-37.466299999999997</v>
      </c>
      <c r="I14">
        <v>7.0400000000000004E-2</v>
      </c>
      <c r="J14">
        <v>-5.7799999999999997E-2</v>
      </c>
      <c r="K14">
        <v>3.3700000000000001E-2</v>
      </c>
      <c r="L14">
        <v>7.0400000000000004E-2</v>
      </c>
      <c r="P14">
        <v>0.19439999999999999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25.398599999999998</v>
      </c>
      <c r="J15">
        <v>-1.4E-3</v>
      </c>
      <c r="M15">
        <v>25.5</v>
      </c>
      <c r="N15">
        <v>25.3</v>
      </c>
      <c r="O15" t="s">
        <v>102</v>
      </c>
      <c r="P15">
        <v>5.7000000000000002E-3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25.402799999999999</v>
      </c>
      <c r="J16">
        <v>2.8E-3</v>
      </c>
      <c r="M16">
        <v>25.5</v>
      </c>
      <c r="N16">
        <v>25.3</v>
      </c>
      <c r="O16" t="s">
        <v>102</v>
      </c>
      <c r="P16">
        <v>7.9000000000000008E-3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25.403199999999998</v>
      </c>
      <c r="J17">
        <v>3.2000000000000002E-3</v>
      </c>
      <c r="M17">
        <v>25.5</v>
      </c>
      <c r="N17">
        <v>25.3</v>
      </c>
      <c r="O17" t="s">
        <v>102</v>
      </c>
      <c r="P17">
        <v>6.0000000000000001E-3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25.404499999999999</v>
      </c>
      <c r="J18">
        <v>4.4999999999999997E-3</v>
      </c>
      <c r="M18">
        <v>25.5</v>
      </c>
      <c r="N18">
        <v>25.3</v>
      </c>
      <c r="O18" t="s">
        <v>102</v>
      </c>
      <c r="P18">
        <v>4.4999999999999997E-3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25.402699999999999</v>
      </c>
      <c r="J19">
        <v>2.7000000000000001E-3</v>
      </c>
      <c r="M19">
        <v>25.5</v>
      </c>
      <c r="N19">
        <v>25.3</v>
      </c>
      <c r="O19" t="s">
        <v>102</v>
      </c>
      <c r="P19">
        <v>7.4999999999999997E-3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72.880300000000005</v>
      </c>
      <c r="J20">
        <v>-6.7000000000000002E-3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73.712400000000002</v>
      </c>
      <c r="J21">
        <v>-3.3599999999999998E-2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72.343199999999996</v>
      </c>
      <c r="J22">
        <v>-3.3799999999999997E-2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71.964299999999994</v>
      </c>
      <c r="J23">
        <v>-6.6699999999999995E-2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74.988100000000003</v>
      </c>
      <c r="J24">
        <v>-1.89E-2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73.982900000000001</v>
      </c>
      <c r="J25">
        <v>-2.41E-2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125.93559999999999</v>
      </c>
      <c r="J26">
        <v>-6.4399999999999999E-2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123.92870000000001</v>
      </c>
      <c r="J27">
        <v>-7.5300000000000006E-2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145.22059999999999</v>
      </c>
      <c r="J28">
        <v>-4.1399999999999999E-2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145.67330000000001</v>
      </c>
      <c r="J29">
        <v>-0.1007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B1AB1-AF3D-4C73-80F0-0D7019370930}">
  <sheetPr codeName="Sheet10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112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124</v>
      </c>
    </row>
    <row r="4" spans="1:18" x14ac:dyDescent="0.25">
      <c r="A4" t="s">
        <v>95</v>
      </c>
      <c r="B4" t="s">
        <v>118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62.484299999999998</v>
      </c>
      <c r="H11">
        <v>37.514699999999998</v>
      </c>
      <c r="I11">
        <v>7.7600000000000002E-2</v>
      </c>
      <c r="J11">
        <v>-1.5699999999999999E-2</v>
      </c>
      <c r="K11">
        <v>1.47E-2</v>
      </c>
      <c r="L11">
        <v>7.7600000000000002E-2</v>
      </c>
      <c r="P11">
        <v>0.16109999999999999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-63.451900000000002</v>
      </c>
      <c r="H12">
        <v>37.514699999999998</v>
      </c>
      <c r="I12">
        <v>7.0999999999999994E-2</v>
      </c>
      <c r="J12">
        <v>4.8099999999999997E-2</v>
      </c>
      <c r="K12">
        <v>1.47E-2</v>
      </c>
      <c r="L12">
        <v>7.0999999999999994E-2</v>
      </c>
      <c r="P12">
        <v>0.17399999999999999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-62.482799999999997</v>
      </c>
      <c r="H13">
        <v>-36.462400000000002</v>
      </c>
      <c r="I13">
        <v>7.7700000000000005E-2</v>
      </c>
      <c r="J13">
        <v>1.72E-2</v>
      </c>
      <c r="K13">
        <v>3.7600000000000001E-2</v>
      </c>
      <c r="L13">
        <v>7.7700000000000005E-2</v>
      </c>
      <c r="P13">
        <v>0.17599999999999999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61.442500000000003</v>
      </c>
      <c r="H14">
        <v>-37.466000000000001</v>
      </c>
      <c r="I14">
        <v>7.1400000000000005E-2</v>
      </c>
      <c r="J14">
        <v>-5.7500000000000002E-2</v>
      </c>
      <c r="K14">
        <v>3.4000000000000002E-2</v>
      </c>
      <c r="L14">
        <v>7.1400000000000005E-2</v>
      </c>
      <c r="P14">
        <v>0.19550000000000001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25.3996</v>
      </c>
      <c r="J15">
        <v>-4.0000000000000002E-4</v>
      </c>
      <c r="M15">
        <v>25.5</v>
      </c>
      <c r="N15">
        <v>25.3</v>
      </c>
      <c r="O15" t="s">
        <v>102</v>
      </c>
      <c r="P15">
        <v>4.7999999999999996E-3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25.402799999999999</v>
      </c>
      <c r="J16">
        <v>2.8E-3</v>
      </c>
      <c r="M16">
        <v>25.5</v>
      </c>
      <c r="N16">
        <v>25.3</v>
      </c>
      <c r="O16" t="s">
        <v>102</v>
      </c>
      <c r="P16">
        <v>7.1999999999999998E-3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25.403400000000001</v>
      </c>
      <c r="J17">
        <v>3.3999999999999998E-3</v>
      </c>
      <c r="M17">
        <v>25.5</v>
      </c>
      <c r="N17">
        <v>25.3</v>
      </c>
      <c r="O17" t="s">
        <v>102</v>
      </c>
      <c r="P17">
        <v>6.1000000000000004E-3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25.404800000000002</v>
      </c>
      <c r="J18">
        <v>4.7999999999999996E-3</v>
      </c>
      <c r="M18">
        <v>25.5</v>
      </c>
      <c r="N18">
        <v>25.3</v>
      </c>
      <c r="O18" t="s">
        <v>102</v>
      </c>
      <c r="P18">
        <v>1.2800000000000001E-2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25.402100000000001</v>
      </c>
      <c r="J19">
        <v>2.0999999999999999E-3</v>
      </c>
      <c r="M19">
        <v>25.5</v>
      </c>
      <c r="N19">
        <v>25.3</v>
      </c>
      <c r="O19" t="s">
        <v>102</v>
      </c>
      <c r="P19">
        <v>4.3E-3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72.881</v>
      </c>
      <c r="J20">
        <v>-6.0000000000000001E-3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73.712299999999999</v>
      </c>
      <c r="J21">
        <v>-3.3700000000000001E-2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72.343699999999998</v>
      </c>
      <c r="J22">
        <v>-3.3300000000000003E-2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71.964500000000001</v>
      </c>
      <c r="J23">
        <v>-6.6500000000000004E-2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74.988</v>
      </c>
      <c r="J24">
        <v>-1.9E-2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73.983500000000006</v>
      </c>
      <c r="J25">
        <v>-2.35E-2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125.9362</v>
      </c>
      <c r="J26">
        <v>-6.3799999999999996E-2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123.9294</v>
      </c>
      <c r="J27">
        <v>-7.46E-2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145.22190000000001</v>
      </c>
      <c r="J28">
        <v>-4.0099999999999997E-2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145.67339999999999</v>
      </c>
      <c r="J29">
        <v>-0.10059999999999999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CADA2-8E39-4877-B9F6-61B8F464D025}">
  <sheetPr codeName="Sheet11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112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125</v>
      </c>
    </row>
    <row r="4" spans="1:18" x14ac:dyDescent="0.25">
      <c r="A4" t="s">
        <v>95</v>
      </c>
      <c r="B4" t="s">
        <v>114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62.484099999999998</v>
      </c>
      <c r="H11">
        <v>37.515099999999997</v>
      </c>
      <c r="I11">
        <v>7.7600000000000002E-2</v>
      </c>
      <c r="J11">
        <v>-1.5900000000000001E-2</v>
      </c>
      <c r="K11">
        <v>1.5100000000000001E-2</v>
      </c>
      <c r="L11">
        <v>7.7600000000000002E-2</v>
      </c>
      <c r="P11">
        <v>0.1613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-63.451599999999999</v>
      </c>
      <c r="H12">
        <v>37.515099999999997</v>
      </c>
      <c r="I12">
        <v>7.0900000000000005E-2</v>
      </c>
      <c r="J12">
        <v>4.8399999999999999E-2</v>
      </c>
      <c r="K12">
        <v>1.5100000000000001E-2</v>
      </c>
      <c r="L12">
        <v>7.0900000000000005E-2</v>
      </c>
      <c r="P12">
        <v>0.17419999999999999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-62.482300000000002</v>
      </c>
      <c r="H13">
        <v>-36.461599999999997</v>
      </c>
      <c r="I13">
        <v>7.7700000000000005E-2</v>
      </c>
      <c r="J13">
        <v>1.77E-2</v>
      </c>
      <c r="K13">
        <v>3.8399999999999997E-2</v>
      </c>
      <c r="L13">
        <v>7.7700000000000005E-2</v>
      </c>
      <c r="P13">
        <v>0.1769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61.441899999999997</v>
      </c>
      <c r="H14">
        <v>-37.466200000000001</v>
      </c>
      <c r="I14">
        <v>7.1300000000000002E-2</v>
      </c>
      <c r="J14">
        <v>-5.8099999999999999E-2</v>
      </c>
      <c r="K14">
        <v>3.3799999999999997E-2</v>
      </c>
      <c r="L14">
        <v>7.1300000000000002E-2</v>
      </c>
      <c r="P14">
        <v>0.19600000000000001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25.399799999999999</v>
      </c>
      <c r="J15">
        <v>-2.0000000000000001E-4</v>
      </c>
      <c r="M15">
        <v>25.5</v>
      </c>
      <c r="N15">
        <v>25.3</v>
      </c>
      <c r="O15" t="s">
        <v>102</v>
      </c>
      <c r="P15">
        <v>5.4000000000000003E-3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25.402100000000001</v>
      </c>
      <c r="J16">
        <v>2.0999999999999999E-3</v>
      </c>
      <c r="M16">
        <v>25.5</v>
      </c>
      <c r="N16">
        <v>25.3</v>
      </c>
      <c r="O16" t="s">
        <v>102</v>
      </c>
      <c r="P16">
        <v>4.1999999999999997E-3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25.403300000000002</v>
      </c>
      <c r="J17">
        <v>3.3E-3</v>
      </c>
      <c r="M17">
        <v>25.5</v>
      </c>
      <c r="N17">
        <v>25.3</v>
      </c>
      <c r="O17" t="s">
        <v>102</v>
      </c>
      <c r="P17">
        <v>4.1000000000000003E-3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25.404599999999999</v>
      </c>
      <c r="J18">
        <v>4.5999999999999999E-3</v>
      </c>
      <c r="M18">
        <v>25.5</v>
      </c>
      <c r="N18">
        <v>25.3</v>
      </c>
      <c r="O18" t="s">
        <v>102</v>
      </c>
      <c r="P18">
        <v>6.4999999999999997E-3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25.4023</v>
      </c>
      <c r="J19">
        <v>2.3E-3</v>
      </c>
      <c r="M19">
        <v>25.5</v>
      </c>
      <c r="N19">
        <v>25.3</v>
      </c>
      <c r="O19" t="s">
        <v>102</v>
      </c>
      <c r="P19">
        <v>5.4999999999999997E-3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72.881</v>
      </c>
      <c r="J20">
        <v>-6.0000000000000001E-3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73.712299999999999</v>
      </c>
      <c r="J21">
        <v>-3.3700000000000001E-2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72.3429</v>
      </c>
      <c r="J22">
        <v>-3.4099999999999998E-2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71.964100000000002</v>
      </c>
      <c r="J23">
        <v>-6.6900000000000001E-2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74.988500000000002</v>
      </c>
      <c r="J24">
        <v>-1.8499999999999999E-2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73.983099999999993</v>
      </c>
      <c r="J25">
        <v>-2.3900000000000001E-2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125.9357</v>
      </c>
      <c r="J26">
        <v>-6.4299999999999996E-2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123.92829999999999</v>
      </c>
      <c r="J27">
        <v>-7.5700000000000003E-2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145.221</v>
      </c>
      <c r="J28">
        <v>-4.1000000000000002E-2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145.6729</v>
      </c>
      <c r="J29">
        <v>-0.1011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FE38C-9605-40DD-BAAE-0B22E11218A6}">
  <sheetPr codeName="Sheet12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112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126</v>
      </c>
    </row>
    <row r="4" spans="1:18" x14ac:dyDescent="0.25">
      <c r="A4" t="s">
        <v>95</v>
      </c>
      <c r="B4" t="s">
        <v>116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62.483600000000003</v>
      </c>
      <c r="H11">
        <v>37.514299999999999</v>
      </c>
      <c r="I11">
        <v>7.6399999999999996E-2</v>
      </c>
      <c r="J11">
        <v>-1.6400000000000001E-2</v>
      </c>
      <c r="K11">
        <v>1.43E-2</v>
      </c>
      <c r="L11">
        <v>7.6399999999999996E-2</v>
      </c>
      <c r="P11">
        <v>0.159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-63.452199999999998</v>
      </c>
      <c r="H12">
        <v>37.514299999999999</v>
      </c>
      <c r="I12">
        <v>7.0199999999999999E-2</v>
      </c>
      <c r="J12">
        <v>4.7800000000000002E-2</v>
      </c>
      <c r="K12">
        <v>1.43E-2</v>
      </c>
      <c r="L12">
        <v>7.0199999999999999E-2</v>
      </c>
      <c r="P12">
        <v>0.17219999999999999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-62.482100000000003</v>
      </c>
      <c r="H13">
        <v>-36.462200000000003</v>
      </c>
      <c r="I13">
        <v>7.6499999999999999E-2</v>
      </c>
      <c r="J13">
        <v>1.7899999999999999E-2</v>
      </c>
      <c r="K13">
        <v>3.78E-2</v>
      </c>
      <c r="L13">
        <v>7.6499999999999999E-2</v>
      </c>
      <c r="P13">
        <v>0.1744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61.4422</v>
      </c>
      <c r="H14">
        <v>-37.466500000000003</v>
      </c>
      <c r="I14">
        <v>7.0599999999999996E-2</v>
      </c>
      <c r="J14">
        <v>-5.7799999999999997E-2</v>
      </c>
      <c r="K14">
        <v>3.3500000000000002E-2</v>
      </c>
      <c r="L14">
        <v>7.0599999999999996E-2</v>
      </c>
      <c r="P14">
        <v>0.19450000000000001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25.399000000000001</v>
      </c>
      <c r="J15">
        <v>-1E-3</v>
      </c>
      <c r="M15">
        <v>25.5</v>
      </c>
      <c r="N15">
        <v>25.3</v>
      </c>
      <c r="O15" t="s">
        <v>102</v>
      </c>
      <c r="P15">
        <v>4.4999999999999997E-3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25.402999999999999</v>
      </c>
      <c r="J16">
        <v>3.0000000000000001E-3</v>
      </c>
      <c r="M16">
        <v>25.5</v>
      </c>
      <c r="N16">
        <v>25.3</v>
      </c>
      <c r="O16" t="s">
        <v>102</v>
      </c>
      <c r="P16">
        <v>7.6E-3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25.403099999999998</v>
      </c>
      <c r="J17">
        <v>3.0999999999999999E-3</v>
      </c>
      <c r="M17">
        <v>25.5</v>
      </c>
      <c r="N17">
        <v>25.3</v>
      </c>
      <c r="O17" t="s">
        <v>102</v>
      </c>
      <c r="P17">
        <v>6.4999999999999997E-3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25.404800000000002</v>
      </c>
      <c r="J18">
        <v>4.7999999999999996E-3</v>
      </c>
      <c r="M18">
        <v>25.5</v>
      </c>
      <c r="N18">
        <v>25.3</v>
      </c>
      <c r="O18" t="s">
        <v>102</v>
      </c>
      <c r="P18">
        <v>5.5999999999999999E-3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25.4024</v>
      </c>
      <c r="J19">
        <v>2.3999999999999998E-3</v>
      </c>
      <c r="M19">
        <v>25.5</v>
      </c>
      <c r="N19">
        <v>25.3</v>
      </c>
      <c r="O19" t="s">
        <v>102</v>
      </c>
      <c r="P19">
        <v>6.6E-3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72.880200000000002</v>
      </c>
      <c r="J20">
        <v>-6.7999999999999996E-3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73.712299999999999</v>
      </c>
      <c r="J21">
        <v>-3.3700000000000001E-2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72.343000000000004</v>
      </c>
      <c r="J22">
        <v>-3.4000000000000002E-2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71.964500000000001</v>
      </c>
      <c r="J23">
        <v>-6.6500000000000004E-2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74.988100000000003</v>
      </c>
      <c r="J24">
        <v>-1.89E-2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73.982900000000001</v>
      </c>
      <c r="J25">
        <v>-2.41E-2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125.9358</v>
      </c>
      <c r="J26">
        <v>-6.4199999999999993E-2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123.92829999999999</v>
      </c>
      <c r="J27">
        <v>-7.5700000000000003E-2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145.22030000000001</v>
      </c>
      <c r="J28">
        <v>-4.1700000000000001E-2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145.67339999999999</v>
      </c>
      <c r="J29">
        <v>-0.10059999999999999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B1843-5858-4380-8F85-BDC0FD07FC9A}">
  <sheetPr codeName="Sheet13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112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127</v>
      </c>
    </row>
    <row r="4" spans="1:18" x14ac:dyDescent="0.25">
      <c r="A4" t="s">
        <v>95</v>
      </c>
      <c r="B4" t="s">
        <v>118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62.483600000000003</v>
      </c>
      <c r="H11">
        <v>37.515599999999999</v>
      </c>
      <c r="I11">
        <v>7.7600000000000002E-2</v>
      </c>
      <c r="J11">
        <v>-1.6400000000000001E-2</v>
      </c>
      <c r="K11">
        <v>1.5599999999999999E-2</v>
      </c>
      <c r="L11">
        <v>7.7600000000000002E-2</v>
      </c>
      <c r="P11">
        <v>0.16159999999999999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-63.451700000000002</v>
      </c>
      <c r="H12">
        <v>37.515599999999999</v>
      </c>
      <c r="I12">
        <v>7.0699999999999999E-2</v>
      </c>
      <c r="J12">
        <v>4.8300000000000003E-2</v>
      </c>
      <c r="K12">
        <v>1.5599999999999999E-2</v>
      </c>
      <c r="L12">
        <v>7.0699999999999999E-2</v>
      </c>
      <c r="P12">
        <v>0.17399999999999999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-62.483600000000003</v>
      </c>
      <c r="H13">
        <v>-36.4621</v>
      </c>
      <c r="I13">
        <v>7.7600000000000002E-2</v>
      </c>
      <c r="J13">
        <v>1.6400000000000001E-2</v>
      </c>
      <c r="K13">
        <v>3.7900000000000003E-2</v>
      </c>
      <c r="L13">
        <v>7.7600000000000002E-2</v>
      </c>
      <c r="P13">
        <v>0.1759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61.442599999999999</v>
      </c>
      <c r="H14">
        <v>-37.465899999999998</v>
      </c>
      <c r="I14">
        <v>7.1099999999999997E-2</v>
      </c>
      <c r="J14">
        <v>-5.74E-2</v>
      </c>
      <c r="K14">
        <v>3.4099999999999998E-2</v>
      </c>
      <c r="L14">
        <v>7.1099999999999997E-2</v>
      </c>
      <c r="P14">
        <v>0.1951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25.399799999999999</v>
      </c>
      <c r="J15">
        <v>-2.0000000000000001E-4</v>
      </c>
      <c r="M15">
        <v>25.5</v>
      </c>
      <c r="N15">
        <v>25.3</v>
      </c>
      <c r="O15" t="s">
        <v>102</v>
      </c>
      <c r="P15">
        <v>4.4999999999999997E-3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25.4025</v>
      </c>
      <c r="J16">
        <v>2.5000000000000001E-3</v>
      </c>
      <c r="M16">
        <v>25.5</v>
      </c>
      <c r="N16">
        <v>25.3</v>
      </c>
      <c r="O16" t="s">
        <v>102</v>
      </c>
      <c r="P16">
        <v>5.4999999999999997E-3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25.402799999999999</v>
      </c>
      <c r="J17">
        <v>2.8E-3</v>
      </c>
      <c r="M17">
        <v>25.5</v>
      </c>
      <c r="N17">
        <v>25.3</v>
      </c>
      <c r="O17" t="s">
        <v>102</v>
      </c>
      <c r="P17">
        <v>5.0000000000000001E-3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25.4041</v>
      </c>
      <c r="J18">
        <v>4.1000000000000003E-3</v>
      </c>
      <c r="M18">
        <v>25.5</v>
      </c>
      <c r="N18">
        <v>25.3</v>
      </c>
      <c r="O18" t="s">
        <v>102</v>
      </c>
      <c r="P18">
        <v>1.14E-2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25.4024</v>
      </c>
      <c r="J19">
        <v>2.3999999999999998E-3</v>
      </c>
      <c r="M19">
        <v>25.5</v>
      </c>
      <c r="N19">
        <v>25.3</v>
      </c>
      <c r="O19" t="s">
        <v>102</v>
      </c>
      <c r="P19">
        <v>4.4000000000000003E-3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72.880899999999997</v>
      </c>
      <c r="J20">
        <v>-6.1000000000000004E-3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73.712599999999995</v>
      </c>
      <c r="J21">
        <v>-3.3399999999999999E-2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72.344200000000001</v>
      </c>
      <c r="J22">
        <v>-3.2800000000000003E-2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71.964500000000001</v>
      </c>
      <c r="J23">
        <v>-6.6500000000000004E-2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74.988799999999998</v>
      </c>
      <c r="J24">
        <v>-1.8200000000000001E-2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73.984099999999998</v>
      </c>
      <c r="J25">
        <v>-2.29E-2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125.9353</v>
      </c>
      <c r="J26">
        <v>-6.4699999999999994E-2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123.9302</v>
      </c>
      <c r="J27">
        <v>-7.3800000000000004E-2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145.22219999999999</v>
      </c>
      <c r="J28">
        <v>-3.9800000000000002E-2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145.6737</v>
      </c>
      <c r="J29">
        <v>-0.1003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6C9A0-3C8B-431D-9F98-C344C556BA76}">
  <sheetPr codeName="Sheet14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112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128</v>
      </c>
    </row>
    <row r="4" spans="1:18" x14ac:dyDescent="0.25">
      <c r="A4" t="s">
        <v>95</v>
      </c>
      <c r="B4" t="s">
        <v>114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62.483400000000003</v>
      </c>
      <c r="H11">
        <v>37.515300000000003</v>
      </c>
      <c r="I11">
        <v>7.7700000000000005E-2</v>
      </c>
      <c r="J11">
        <v>-1.66E-2</v>
      </c>
      <c r="K11">
        <v>1.5299999999999999E-2</v>
      </c>
      <c r="L11">
        <v>7.7700000000000005E-2</v>
      </c>
      <c r="P11">
        <v>0.16189999999999999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-63.451700000000002</v>
      </c>
      <c r="H12">
        <v>37.515300000000003</v>
      </c>
      <c r="I12">
        <v>7.1400000000000005E-2</v>
      </c>
      <c r="J12">
        <v>4.8300000000000003E-2</v>
      </c>
      <c r="K12">
        <v>1.5299999999999999E-2</v>
      </c>
      <c r="L12">
        <v>7.1400000000000005E-2</v>
      </c>
      <c r="P12">
        <v>0.17510000000000001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-62.482900000000001</v>
      </c>
      <c r="H13">
        <v>-36.462000000000003</v>
      </c>
      <c r="I13">
        <v>7.7799999999999994E-2</v>
      </c>
      <c r="J13">
        <v>1.7100000000000001E-2</v>
      </c>
      <c r="K13">
        <v>3.7999999999999999E-2</v>
      </c>
      <c r="L13">
        <v>7.7799999999999994E-2</v>
      </c>
      <c r="P13">
        <v>0.17649999999999999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61.442300000000003</v>
      </c>
      <c r="H14">
        <v>-37.465800000000002</v>
      </c>
      <c r="I14">
        <v>7.1900000000000006E-2</v>
      </c>
      <c r="J14">
        <v>-5.7700000000000001E-2</v>
      </c>
      <c r="K14">
        <v>3.4200000000000001E-2</v>
      </c>
      <c r="L14">
        <v>7.1900000000000006E-2</v>
      </c>
      <c r="P14">
        <v>0.19670000000000001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25.400300000000001</v>
      </c>
      <c r="J15">
        <v>2.9999999999999997E-4</v>
      </c>
      <c r="M15">
        <v>25.5</v>
      </c>
      <c r="N15">
        <v>25.3</v>
      </c>
      <c r="O15" t="s">
        <v>102</v>
      </c>
      <c r="P15">
        <v>1.0800000000000001E-2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25.402000000000001</v>
      </c>
      <c r="J16">
        <v>2E-3</v>
      </c>
      <c r="M16">
        <v>25.5</v>
      </c>
      <c r="N16">
        <v>25.3</v>
      </c>
      <c r="O16" t="s">
        <v>102</v>
      </c>
      <c r="P16">
        <v>1.4200000000000001E-2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25.402899999999999</v>
      </c>
      <c r="J17">
        <v>2.8999999999999998E-3</v>
      </c>
      <c r="M17">
        <v>25.5</v>
      </c>
      <c r="N17">
        <v>25.3</v>
      </c>
      <c r="O17" t="s">
        <v>102</v>
      </c>
      <c r="P17">
        <v>1.2699999999999999E-2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25.4041</v>
      </c>
      <c r="J18">
        <v>4.1000000000000003E-3</v>
      </c>
      <c r="M18">
        <v>25.5</v>
      </c>
      <c r="N18">
        <v>25.3</v>
      </c>
      <c r="O18" t="s">
        <v>102</v>
      </c>
      <c r="P18">
        <v>1.34E-2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25.401900000000001</v>
      </c>
      <c r="J19">
        <v>1.9E-3</v>
      </c>
      <c r="M19">
        <v>25.5</v>
      </c>
      <c r="N19">
        <v>25.3</v>
      </c>
      <c r="O19" t="s">
        <v>102</v>
      </c>
      <c r="P19">
        <v>1.5100000000000001E-2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72.880600000000001</v>
      </c>
      <c r="J20">
        <v>-6.4000000000000003E-3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73.712400000000002</v>
      </c>
      <c r="J21">
        <v>-3.3599999999999998E-2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72.343599999999995</v>
      </c>
      <c r="J22">
        <v>-3.3399999999999999E-2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71.964200000000005</v>
      </c>
      <c r="J23">
        <v>-6.6799999999999998E-2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74.988399999999999</v>
      </c>
      <c r="J24">
        <v>-1.8599999999999998E-2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73.983599999999996</v>
      </c>
      <c r="J25">
        <v>-2.3400000000000001E-2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125.93510000000001</v>
      </c>
      <c r="J26">
        <v>-6.4899999999999999E-2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123.9293</v>
      </c>
      <c r="J27">
        <v>-7.4700000000000003E-2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145.22130000000001</v>
      </c>
      <c r="J28">
        <v>-4.07E-2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145.67320000000001</v>
      </c>
      <c r="J29">
        <v>-0.1008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2113C-9B34-4E7E-B0E3-F98ADE93AACD}">
  <sheetPr codeName="Sheet15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112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129</v>
      </c>
    </row>
    <row r="4" spans="1:18" x14ac:dyDescent="0.25">
      <c r="A4" t="s">
        <v>95</v>
      </c>
      <c r="B4" t="s">
        <v>116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62.482999999999997</v>
      </c>
      <c r="H11">
        <v>37.514899999999997</v>
      </c>
      <c r="I11">
        <v>7.7399999999999997E-2</v>
      </c>
      <c r="J11">
        <v>-1.7000000000000001E-2</v>
      </c>
      <c r="K11">
        <v>1.49E-2</v>
      </c>
      <c r="L11">
        <v>7.7399999999999997E-2</v>
      </c>
      <c r="P11">
        <v>0.1613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-63.451700000000002</v>
      </c>
      <c r="H12">
        <v>37.514899999999997</v>
      </c>
      <c r="I12">
        <v>7.1199999999999999E-2</v>
      </c>
      <c r="J12">
        <v>4.8300000000000003E-2</v>
      </c>
      <c r="K12">
        <v>1.49E-2</v>
      </c>
      <c r="L12">
        <v>7.1199999999999999E-2</v>
      </c>
      <c r="P12">
        <v>0.17449999999999999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-62.482799999999997</v>
      </c>
      <c r="H13">
        <v>-36.462000000000003</v>
      </c>
      <c r="I13">
        <v>7.7499999999999999E-2</v>
      </c>
      <c r="J13">
        <v>1.72E-2</v>
      </c>
      <c r="K13">
        <v>3.7999999999999999E-2</v>
      </c>
      <c r="L13">
        <v>7.7499999999999999E-2</v>
      </c>
      <c r="P13">
        <v>0.17599999999999999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61.441600000000001</v>
      </c>
      <c r="H14">
        <v>-37.466200000000001</v>
      </c>
      <c r="I14">
        <v>7.1599999999999997E-2</v>
      </c>
      <c r="J14">
        <v>-5.8400000000000001E-2</v>
      </c>
      <c r="K14">
        <v>3.3799999999999997E-2</v>
      </c>
      <c r="L14">
        <v>7.1599999999999997E-2</v>
      </c>
      <c r="P14">
        <v>0.1968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25.3993</v>
      </c>
      <c r="J15">
        <v>-6.9999999999999999E-4</v>
      </c>
      <c r="M15">
        <v>25.5</v>
      </c>
      <c r="N15">
        <v>25.3</v>
      </c>
      <c r="O15" t="s">
        <v>102</v>
      </c>
      <c r="P15">
        <v>4.0000000000000001E-3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25.4025</v>
      </c>
      <c r="J16">
        <v>2.5000000000000001E-3</v>
      </c>
      <c r="M16">
        <v>25.5</v>
      </c>
      <c r="N16">
        <v>25.3</v>
      </c>
      <c r="O16" t="s">
        <v>102</v>
      </c>
      <c r="P16">
        <v>7.7999999999999996E-3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25.402699999999999</v>
      </c>
      <c r="J17">
        <v>2.7000000000000001E-3</v>
      </c>
      <c r="M17">
        <v>25.5</v>
      </c>
      <c r="N17">
        <v>25.3</v>
      </c>
      <c r="O17" t="s">
        <v>102</v>
      </c>
      <c r="P17">
        <v>4.4999999999999997E-3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25.404299999999999</v>
      </c>
      <c r="J18">
        <v>4.3E-3</v>
      </c>
      <c r="M18">
        <v>25.5</v>
      </c>
      <c r="N18">
        <v>25.3</v>
      </c>
      <c r="O18" t="s">
        <v>102</v>
      </c>
      <c r="P18">
        <v>5.3E-3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25.4026</v>
      </c>
      <c r="J19">
        <v>2.5999999999999999E-3</v>
      </c>
      <c r="M19">
        <v>25.5</v>
      </c>
      <c r="N19">
        <v>25.3</v>
      </c>
      <c r="O19" t="s">
        <v>102</v>
      </c>
      <c r="P19">
        <v>6.7000000000000002E-3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72.88</v>
      </c>
      <c r="J20">
        <v>-7.0000000000000001E-3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73.712199999999996</v>
      </c>
      <c r="J21">
        <v>-3.3799999999999997E-2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72.343500000000006</v>
      </c>
      <c r="J22">
        <v>-3.3500000000000002E-2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71.963800000000006</v>
      </c>
      <c r="J23">
        <v>-6.7199999999999996E-2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74.988399999999999</v>
      </c>
      <c r="J24">
        <v>-1.8599999999999998E-2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73.983199999999997</v>
      </c>
      <c r="J25">
        <v>-2.3800000000000002E-2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125.93470000000001</v>
      </c>
      <c r="J26">
        <v>-6.5299999999999997E-2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123.9285</v>
      </c>
      <c r="J27">
        <v>-7.5499999999999998E-2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145.22059999999999</v>
      </c>
      <c r="J28">
        <v>-4.1399999999999999E-2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145.67259999999999</v>
      </c>
      <c r="J29">
        <v>-0.1014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2007B-F13F-4250-8632-3213339DC620}">
  <sheetPr codeName="Sheet16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112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130</v>
      </c>
    </row>
    <row r="4" spans="1:18" x14ac:dyDescent="0.25">
      <c r="A4" t="s">
        <v>95</v>
      </c>
      <c r="B4" t="s">
        <v>131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62.484699999999997</v>
      </c>
      <c r="H11">
        <v>37.515099999999997</v>
      </c>
      <c r="I11">
        <v>7.8100000000000003E-2</v>
      </c>
      <c r="J11">
        <v>-1.5299999999999999E-2</v>
      </c>
      <c r="K11">
        <v>1.5100000000000001E-2</v>
      </c>
      <c r="L11">
        <v>7.8100000000000003E-2</v>
      </c>
      <c r="P11">
        <v>0.16200000000000001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-63.451000000000001</v>
      </c>
      <c r="H12">
        <v>37.515099999999997</v>
      </c>
      <c r="I12">
        <v>7.1400000000000005E-2</v>
      </c>
      <c r="J12">
        <v>4.9000000000000002E-2</v>
      </c>
      <c r="K12">
        <v>1.5100000000000001E-2</v>
      </c>
      <c r="L12">
        <v>7.1400000000000005E-2</v>
      </c>
      <c r="P12">
        <v>0.17580000000000001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-62.482599999999998</v>
      </c>
      <c r="H13">
        <v>-36.462600000000002</v>
      </c>
      <c r="I13">
        <v>7.8200000000000006E-2</v>
      </c>
      <c r="J13">
        <v>1.7399999999999999E-2</v>
      </c>
      <c r="K13">
        <v>3.7400000000000003E-2</v>
      </c>
      <c r="L13">
        <v>7.8200000000000006E-2</v>
      </c>
      <c r="P13">
        <v>0.1767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61.442999999999998</v>
      </c>
      <c r="H14">
        <v>-37.466099999999997</v>
      </c>
      <c r="I14">
        <v>7.1800000000000003E-2</v>
      </c>
      <c r="J14">
        <v>-5.7000000000000002E-2</v>
      </c>
      <c r="K14">
        <v>3.39E-2</v>
      </c>
      <c r="L14">
        <v>7.1800000000000003E-2</v>
      </c>
      <c r="P14">
        <v>0.1956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25.4</v>
      </c>
      <c r="J15">
        <v>0</v>
      </c>
      <c r="M15">
        <v>25.5</v>
      </c>
      <c r="N15">
        <v>25.3</v>
      </c>
      <c r="O15" t="s">
        <v>102</v>
      </c>
      <c r="P15">
        <v>4.4000000000000003E-3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25.4023</v>
      </c>
      <c r="J16">
        <v>2.3E-3</v>
      </c>
      <c r="M16">
        <v>25.5</v>
      </c>
      <c r="N16">
        <v>25.3</v>
      </c>
      <c r="O16" t="s">
        <v>102</v>
      </c>
      <c r="P16">
        <v>6.0000000000000001E-3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25.402999999999999</v>
      </c>
      <c r="J17">
        <v>3.0000000000000001E-3</v>
      </c>
      <c r="M17">
        <v>25.5</v>
      </c>
      <c r="N17">
        <v>25.3</v>
      </c>
      <c r="O17" t="s">
        <v>102</v>
      </c>
      <c r="P17">
        <v>6.0000000000000001E-3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25.404299999999999</v>
      </c>
      <c r="J18">
        <v>4.3E-3</v>
      </c>
      <c r="M18">
        <v>25.5</v>
      </c>
      <c r="N18">
        <v>25.3</v>
      </c>
      <c r="O18" t="s">
        <v>102</v>
      </c>
      <c r="P18">
        <v>1.03E-2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25.402200000000001</v>
      </c>
      <c r="J19">
        <v>2.2000000000000001E-3</v>
      </c>
      <c r="M19">
        <v>25.5</v>
      </c>
      <c r="N19">
        <v>25.3</v>
      </c>
      <c r="O19" t="s">
        <v>102</v>
      </c>
      <c r="P19">
        <v>4.3E-3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72.881600000000006</v>
      </c>
      <c r="J20">
        <v>-5.4000000000000003E-3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73.711699999999993</v>
      </c>
      <c r="J21">
        <v>-3.4299999999999997E-2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72.343699999999998</v>
      </c>
      <c r="J22">
        <v>-3.3300000000000003E-2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71.9649</v>
      </c>
      <c r="J23">
        <v>-6.6100000000000006E-2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74.988399999999999</v>
      </c>
      <c r="J24">
        <v>-1.8599999999999998E-2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73.984099999999998</v>
      </c>
      <c r="J25">
        <v>-2.29E-2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125.9357</v>
      </c>
      <c r="J26">
        <v>-6.4299999999999996E-2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123.9297</v>
      </c>
      <c r="J27">
        <v>-7.4300000000000005E-2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145.22239999999999</v>
      </c>
      <c r="J28">
        <v>-3.9600000000000003E-2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145.67320000000001</v>
      </c>
      <c r="J29">
        <v>-0.1008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65D73-DD6B-4828-9FF1-28F218C49553}">
  <sheetPr codeName="Sheet17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112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132</v>
      </c>
    </row>
    <row r="4" spans="1:18" x14ac:dyDescent="0.25">
      <c r="A4" t="s">
        <v>95</v>
      </c>
      <c r="B4" t="s">
        <v>114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62.483800000000002</v>
      </c>
      <c r="H11">
        <v>37.5154</v>
      </c>
      <c r="I11">
        <v>7.7899999999999997E-2</v>
      </c>
      <c r="J11">
        <v>-1.6199999999999999E-2</v>
      </c>
      <c r="K11">
        <v>1.54E-2</v>
      </c>
      <c r="L11">
        <v>7.7899999999999997E-2</v>
      </c>
      <c r="P11">
        <v>0.16209999999999999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-63.451000000000001</v>
      </c>
      <c r="H12">
        <v>37.5154</v>
      </c>
      <c r="I12">
        <v>7.0999999999999994E-2</v>
      </c>
      <c r="J12">
        <v>4.9000000000000002E-2</v>
      </c>
      <c r="K12">
        <v>1.54E-2</v>
      </c>
      <c r="L12">
        <v>7.0999999999999994E-2</v>
      </c>
      <c r="P12">
        <v>0.17530000000000001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-62.482599999999998</v>
      </c>
      <c r="H13">
        <v>-36.4619</v>
      </c>
      <c r="I13">
        <v>7.8E-2</v>
      </c>
      <c r="J13">
        <v>1.7399999999999999E-2</v>
      </c>
      <c r="K13">
        <v>3.8100000000000002E-2</v>
      </c>
      <c r="L13">
        <v>7.8E-2</v>
      </c>
      <c r="P13">
        <v>0.17710000000000001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61.442399999999999</v>
      </c>
      <c r="H14">
        <v>-37.465600000000002</v>
      </c>
      <c r="I14">
        <v>7.1499999999999994E-2</v>
      </c>
      <c r="J14">
        <v>-5.7599999999999998E-2</v>
      </c>
      <c r="K14">
        <v>3.44E-2</v>
      </c>
      <c r="L14">
        <v>7.1499999999999994E-2</v>
      </c>
      <c r="P14">
        <v>0.1961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25.4</v>
      </c>
      <c r="J15">
        <v>0</v>
      </c>
      <c r="M15">
        <v>25.5</v>
      </c>
      <c r="N15">
        <v>25.3</v>
      </c>
      <c r="O15" t="s">
        <v>102</v>
      </c>
      <c r="P15">
        <v>2.01E-2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25.401900000000001</v>
      </c>
      <c r="J16">
        <v>1.9E-3</v>
      </c>
      <c r="M16">
        <v>25.5</v>
      </c>
      <c r="N16">
        <v>25.3</v>
      </c>
      <c r="O16" t="s">
        <v>102</v>
      </c>
      <c r="P16">
        <v>1.8700000000000001E-2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25.402799999999999</v>
      </c>
      <c r="J17">
        <v>2.8E-3</v>
      </c>
      <c r="M17">
        <v>25.5</v>
      </c>
      <c r="N17">
        <v>25.3</v>
      </c>
      <c r="O17" t="s">
        <v>102</v>
      </c>
      <c r="P17">
        <v>1.7899999999999999E-2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25.404599999999999</v>
      </c>
      <c r="J18">
        <v>4.5999999999999999E-3</v>
      </c>
      <c r="M18">
        <v>25.5</v>
      </c>
      <c r="N18">
        <v>25.3</v>
      </c>
      <c r="O18" t="s">
        <v>102</v>
      </c>
      <c r="P18">
        <v>1.83E-2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25.4026</v>
      </c>
      <c r="J19">
        <v>2.5999999999999999E-3</v>
      </c>
      <c r="M19">
        <v>25.5</v>
      </c>
      <c r="N19">
        <v>25.3</v>
      </c>
      <c r="O19" t="s">
        <v>102</v>
      </c>
      <c r="P19">
        <v>2.0500000000000001E-2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72.881</v>
      </c>
      <c r="J20">
        <v>-6.0000000000000001E-3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73.7119</v>
      </c>
      <c r="J21">
        <v>-3.4099999999999998E-2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72.343299999999999</v>
      </c>
      <c r="J22">
        <v>-3.3700000000000001E-2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71.964200000000005</v>
      </c>
      <c r="J23">
        <v>-6.6799999999999998E-2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74.988200000000006</v>
      </c>
      <c r="J24">
        <v>-1.8800000000000001E-2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73.983699999999999</v>
      </c>
      <c r="J25">
        <v>-2.3300000000000001E-2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125.9348</v>
      </c>
      <c r="J26">
        <v>-6.5199999999999994E-2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123.929</v>
      </c>
      <c r="J27">
        <v>-7.4999999999999997E-2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145.22139999999999</v>
      </c>
      <c r="J28">
        <v>-4.0599999999999997E-2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145.67259999999999</v>
      </c>
      <c r="J29">
        <v>-0.1014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00945-DC79-4D1A-8B91-027D57DC1CBC}">
  <sheetPr codeName="Sheet18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112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133</v>
      </c>
    </row>
    <row r="4" spans="1:18" x14ac:dyDescent="0.25">
      <c r="A4" t="s">
        <v>95</v>
      </c>
      <c r="B4" t="s">
        <v>116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62.483400000000003</v>
      </c>
      <c r="H11">
        <v>37.5152</v>
      </c>
      <c r="I11">
        <v>7.6600000000000001E-2</v>
      </c>
      <c r="J11">
        <v>-1.66E-2</v>
      </c>
      <c r="K11">
        <v>1.52E-2</v>
      </c>
      <c r="L11">
        <v>7.6600000000000001E-2</v>
      </c>
      <c r="P11">
        <v>0.15970000000000001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-63.452100000000002</v>
      </c>
      <c r="H12">
        <v>37.5152</v>
      </c>
      <c r="I12">
        <v>7.0199999999999999E-2</v>
      </c>
      <c r="J12">
        <v>4.7899999999999998E-2</v>
      </c>
      <c r="K12">
        <v>1.52E-2</v>
      </c>
      <c r="L12">
        <v>7.0199999999999999E-2</v>
      </c>
      <c r="P12">
        <v>0.17269999999999999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-62.482900000000001</v>
      </c>
      <c r="H13">
        <v>-36.461300000000001</v>
      </c>
      <c r="I13">
        <v>7.6700000000000004E-2</v>
      </c>
      <c r="J13">
        <v>1.7100000000000001E-2</v>
      </c>
      <c r="K13">
        <v>3.8699999999999998E-2</v>
      </c>
      <c r="L13">
        <v>7.6700000000000004E-2</v>
      </c>
      <c r="P13">
        <v>0.17510000000000001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61.441800000000001</v>
      </c>
      <c r="H14">
        <v>-37.466000000000001</v>
      </c>
      <c r="I14">
        <v>7.0699999999999999E-2</v>
      </c>
      <c r="J14">
        <v>-5.8200000000000002E-2</v>
      </c>
      <c r="K14">
        <v>3.4000000000000002E-2</v>
      </c>
      <c r="L14">
        <v>7.0699999999999999E-2</v>
      </c>
      <c r="P14">
        <v>0.19539999999999999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25.3992</v>
      </c>
      <c r="J15">
        <v>-8.0000000000000004E-4</v>
      </c>
      <c r="M15">
        <v>25.5</v>
      </c>
      <c r="N15">
        <v>25.3</v>
      </c>
      <c r="O15" t="s">
        <v>102</v>
      </c>
      <c r="P15">
        <v>3.5000000000000001E-3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25.402899999999999</v>
      </c>
      <c r="J16">
        <v>2.8999999999999998E-3</v>
      </c>
      <c r="M16">
        <v>25.5</v>
      </c>
      <c r="N16">
        <v>25.3</v>
      </c>
      <c r="O16" t="s">
        <v>102</v>
      </c>
      <c r="P16">
        <v>7.4000000000000003E-3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25.402799999999999</v>
      </c>
      <c r="J17">
        <v>2.8E-3</v>
      </c>
      <c r="M17">
        <v>25.5</v>
      </c>
      <c r="N17">
        <v>25.3</v>
      </c>
      <c r="O17" t="s">
        <v>102</v>
      </c>
      <c r="P17">
        <v>5.1000000000000004E-3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25.404599999999999</v>
      </c>
      <c r="J18">
        <v>4.5999999999999999E-3</v>
      </c>
      <c r="M18">
        <v>25.5</v>
      </c>
      <c r="N18">
        <v>25.3</v>
      </c>
      <c r="O18" t="s">
        <v>102</v>
      </c>
      <c r="P18">
        <v>5.8999999999999999E-3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25.402699999999999</v>
      </c>
      <c r="J19">
        <v>2.7000000000000001E-3</v>
      </c>
      <c r="M19">
        <v>25.5</v>
      </c>
      <c r="N19">
        <v>25.3</v>
      </c>
      <c r="O19" t="s">
        <v>102</v>
      </c>
      <c r="P19">
        <v>6.0000000000000001E-3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72.880499999999998</v>
      </c>
      <c r="J20">
        <v>-6.4999999999999997E-3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73.712699999999998</v>
      </c>
      <c r="J21">
        <v>-3.3300000000000003E-2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72.343299999999999</v>
      </c>
      <c r="J22">
        <v>-3.3700000000000001E-2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71.963899999999995</v>
      </c>
      <c r="J23">
        <v>-6.7100000000000007E-2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74.988399999999999</v>
      </c>
      <c r="J24">
        <v>-1.8599999999999998E-2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73.982799999999997</v>
      </c>
      <c r="J25">
        <v>-2.4199999999999999E-2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125.9355</v>
      </c>
      <c r="J26">
        <v>-6.4500000000000002E-2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123.92870000000001</v>
      </c>
      <c r="J27">
        <v>-7.5300000000000006E-2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145.2208</v>
      </c>
      <c r="J28">
        <v>-4.1200000000000001E-2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145.67310000000001</v>
      </c>
      <c r="J29">
        <v>-0.1009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62EC5-6E58-4BB9-8532-2FE2EB9B30AF}">
  <sheetPr codeName="Sheet19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112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134</v>
      </c>
    </row>
    <row r="4" spans="1:18" x14ac:dyDescent="0.25">
      <c r="A4" t="s">
        <v>95</v>
      </c>
      <c r="B4" t="s">
        <v>131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62.484400000000001</v>
      </c>
      <c r="H11">
        <v>37.5152</v>
      </c>
      <c r="I11">
        <v>7.6999999999999999E-2</v>
      </c>
      <c r="J11">
        <v>-1.5599999999999999E-2</v>
      </c>
      <c r="K11">
        <v>1.52E-2</v>
      </c>
      <c r="L11">
        <v>7.6999999999999999E-2</v>
      </c>
      <c r="P11">
        <v>0.16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-63.4514</v>
      </c>
      <c r="H12">
        <v>37.5152</v>
      </c>
      <c r="I12">
        <v>7.0499999999999993E-2</v>
      </c>
      <c r="J12">
        <v>4.8599999999999997E-2</v>
      </c>
      <c r="K12">
        <v>1.52E-2</v>
      </c>
      <c r="L12">
        <v>7.0499999999999993E-2</v>
      </c>
      <c r="P12">
        <v>0.1739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-62.482700000000001</v>
      </c>
      <c r="H13">
        <v>-36.4621</v>
      </c>
      <c r="I13">
        <v>7.7100000000000002E-2</v>
      </c>
      <c r="J13">
        <v>1.7299999999999999E-2</v>
      </c>
      <c r="K13">
        <v>3.7900000000000003E-2</v>
      </c>
      <c r="L13">
        <v>7.7100000000000002E-2</v>
      </c>
      <c r="P13">
        <v>0.17519999999999999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61.4422</v>
      </c>
      <c r="H14">
        <v>-37.466099999999997</v>
      </c>
      <c r="I14">
        <v>7.0900000000000005E-2</v>
      </c>
      <c r="J14">
        <v>-5.7799999999999997E-2</v>
      </c>
      <c r="K14">
        <v>3.39E-2</v>
      </c>
      <c r="L14">
        <v>7.0900000000000005E-2</v>
      </c>
      <c r="P14">
        <v>0.19520000000000001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25.399699999999999</v>
      </c>
      <c r="J15">
        <v>-2.9999999999999997E-4</v>
      </c>
      <c r="M15">
        <v>25.5</v>
      </c>
      <c r="N15">
        <v>25.3</v>
      </c>
      <c r="O15" t="s">
        <v>102</v>
      </c>
      <c r="P15">
        <v>7.7999999999999996E-3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25.402699999999999</v>
      </c>
      <c r="J16">
        <v>2.7000000000000001E-3</v>
      </c>
      <c r="M16">
        <v>25.5</v>
      </c>
      <c r="N16">
        <v>25.3</v>
      </c>
      <c r="O16" t="s">
        <v>102</v>
      </c>
      <c r="P16">
        <v>5.4999999999999997E-3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25.402999999999999</v>
      </c>
      <c r="J17">
        <v>3.0000000000000001E-3</v>
      </c>
      <c r="M17">
        <v>25.5</v>
      </c>
      <c r="N17">
        <v>25.3</v>
      </c>
      <c r="O17" t="s">
        <v>102</v>
      </c>
      <c r="P17">
        <v>5.8999999999999999E-3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25.404699999999998</v>
      </c>
      <c r="J18">
        <v>4.7000000000000002E-3</v>
      </c>
      <c r="M18">
        <v>25.5</v>
      </c>
      <c r="N18">
        <v>25.3</v>
      </c>
      <c r="O18" t="s">
        <v>102</v>
      </c>
      <c r="P18">
        <v>1.11E-2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25.402799999999999</v>
      </c>
      <c r="J19">
        <v>2.8E-3</v>
      </c>
      <c r="M19">
        <v>25.5</v>
      </c>
      <c r="N19">
        <v>25.3</v>
      </c>
      <c r="O19" t="s">
        <v>102</v>
      </c>
      <c r="P19">
        <v>8.0000000000000002E-3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72.881399999999999</v>
      </c>
      <c r="J20">
        <v>-5.5999999999999999E-3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73.712100000000007</v>
      </c>
      <c r="J21">
        <v>-3.39E-2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72.343400000000003</v>
      </c>
      <c r="J22">
        <v>-3.3599999999999998E-2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71.964299999999994</v>
      </c>
      <c r="J23">
        <v>-6.6699999999999995E-2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74.988500000000002</v>
      </c>
      <c r="J24">
        <v>-1.8499999999999999E-2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73.983699999999999</v>
      </c>
      <c r="J25">
        <v>-2.3300000000000001E-2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125.9358</v>
      </c>
      <c r="J26">
        <v>-6.4199999999999993E-2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123.929</v>
      </c>
      <c r="J27">
        <v>-7.4999999999999997E-2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145.22200000000001</v>
      </c>
      <c r="J28">
        <v>-0.04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145.673</v>
      </c>
      <c r="J29">
        <v>-0.10100000000000001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3308A-1A2C-40A2-9A5B-8396D19AE21E}">
  <sheetPr codeName="Sheet20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135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136</v>
      </c>
    </row>
    <row r="4" spans="1:18" x14ac:dyDescent="0.25">
      <c r="A4" t="s">
        <v>95</v>
      </c>
      <c r="B4" t="s">
        <v>137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62.481999999999999</v>
      </c>
      <c r="H11">
        <v>37.516399999999997</v>
      </c>
      <c r="I11">
        <v>7.7299999999999994E-2</v>
      </c>
      <c r="J11">
        <v>-1.7999999999999999E-2</v>
      </c>
      <c r="K11">
        <v>1.6400000000000001E-2</v>
      </c>
      <c r="L11">
        <v>7.7299999999999994E-2</v>
      </c>
      <c r="P11">
        <v>0.16209999999999999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-63.450899999999997</v>
      </c>
      <c r="H12">
        <v>37.516399999999997</v>
      </c>
      <c r="I12">
        <v>7.1300000000000002E-2</v>
      </c>
      <c r="J12">
        <v>4.9099999999999998E-2</v>
      </c>
      <c r="K12">
        <v>1.6400000000000001E-2</v>
      </c>
      <c r="L12">
        <v>7.1300000000000002E-2</v>
      </c>
      <c r="P12">
        <v>0.1762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-62.480499999999999</v>
      </c>
      <c r="H13">
        <v>-36.461599999999997</v>
      </c>
      <c r="I13">
        <v>7.7399999999999997E-2</v>
      </c>
      <c r="J13">
        <v>1.95E-2</v>
      </c>
      <c r="K13">
        <v>3.8399999999999997E-2</v>
      </c>
      <c r="L13">
        <v>7.7399999999999997E-2</v>
      </c>
      <c r="P13">
        <v>0.17710000000000001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61.441299999999998</v>
      </c>
      <c r="H14">
        <v>-37.465800000000002</v>
      </c>
      <c r="I14">
        <v>7.1800000000000003E-2</v>
      </c>
      <c r="J14">
        <v>-5.8700000000000002E-2</v>
      </c>
      <c r="K14">
        <v>3.4200000000000001E-2</v>
      </c>
      <c r="L14">
        <v>7.1800000000000003E-2</v>
      </c>
      <c r="P14">
        <v>0.1976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25.3996</v>
      </c>
      <c r="J15">
        <v>-4.0000000000000002E-4</v>
      </c>
      <c r="M15">
        <v>25.5</v>
      </c>
      <c r="N15">
        <v>25.3</v>
      </c>
      <c r="O15" t="s">
        <v>102</v>
      </c>
      <c r="P15">
        <v>6.3E-3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25.403700000000001</v>
      </c>
      <c r="J16">
        <v>3.7000000000000002E-3</v>
      </c>
      <c r="M16">
        <v>25.5</v>
      </c>
      <c r="N16">
        <v>25.3</v>
      </c>
      <c r="O16" t="s">
        <v>102</v>
      </c>
      <c r="P16">
        <v>9.9000000000000008E-3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25.403099999999998</v>
      </c>
      <c r="J17">
        <v>3.0999999999999999E-3</v>
      </c>
      <c r="M17">
        <v>25.5</v>
      </c>
      <c r="N17">
        <v>25.3</v>
      </c>
      <c r="O17" t="s">
        <v>102</v>
      </c>
      <c r="P17">
        <v>7.7999999999999996E-3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25.404699999999998</v>
      </c>
      <c r="J18">
        <v>4.7000000000000002E-3</v>
      </c>
      <c r="M18">
        <v>25.5</v>
      </c>
      <c r="N18">
        <v>25.3</v>
      </c>
      <c r="O18" t="s">
        <v>102</v>
      </c>
      <c r="P18">
        <v>7.7999999999999996E-3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25.403500000000001</v>
      </c>
      <c r="J19">
        <v>3.5000000000000001E-3</v>
      </c>
      <c r="M19">
        <v>25.5</v>
      </c>
      <c r="N19">
        <v>25.3</v>
      </c>
      <c r="O19" t="s">
        <v>102</v>
      </c>
      <c r="P19">
        <v>1.3599999999999999E-2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72.879900000000006</v>
      </c>
      <c r="J20">
        <v>-7.1000000000000004E-3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73.712299999999999</v>
      </c>
      <c r="J21">
        <v>-3.3700000000000001E-2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72.341300000000004</v>
      </c>
      <c r="J22">
        <v>-3.5700000000000003E-2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71.963300000000004</v>
      </c>
      <c r="J23">
        <v>-6.7699999999999996E-2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74.989500000000007</v>
      </c>
      <c r="J24">
        <v>-1.7500000000000002E-2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73.984399999999994</v>
      </c>
      <c r="J25">
        <v>-2.2599999999999999E-2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125.9329</v>
      </c>
      <c r="J26">
        <v>-6.7100000000000007E-2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123.9258</v>
      </c>
      <c r="J27">
        <v>-7.8200000000000006E-2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145.2183</v>
      </c>
      <c r="J28">
        <v>-4.3700000000000003E-2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145.6722</v>
      </c>
      <c r="J29">
        <v>-0.1018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EDE8F-49D7-4632-B6B3-1608190E5757}">
  <sheetPr codeName="Sheet21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135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138</v>
      </c>
    </row>
    <row r="4" spans="1:18" x14ac:dyDescent="0.25">
      <c r="A4" t="s">
        <v>95</v>
      </c>
      <c r="B4" t="s">
        <v>116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62.482500000000002</v>
      </c>
      <c r="H11">
        <v>37.515300000000003</v>
      </c>
      <c r="I11">
        <v>7.6999999999999999E-2</v>
      </c>
      <c r="J11">
        <v>-1.7500000000000002E-2</v>
      </c>
      <c r="K11">
        <v>1.5299999999999999E-2</v>
      </c>
      <c r="L11">
        <v>7.6999999999999999E-2</v>
      </c>
      <c r="P11">
        <v>0.16089999999999999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-63.450099999999999</v>
      </c>
      <c r="H12">
        <v>37.515300000000003</v>
      </c>
      <c r="I12">
        <v>7.0699999999999999E-2</v>
      </c>
      <c r="J12">
        <v>4.99E-2</v>
      </c>
      <c r="K12">
        <v>1.5299999999999999E-2</v>
      </c>
      <c r="L12">
        <v>7.0699999999999999E-2</v>
      </c>
      <c r="P12">
        <v>0.17580000000000001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-62.4801</v>
      </c>
      <c r="H13">
        <v>-36.462899999999998</v>
      </c>
      <c r="I13">
        <v>7.7100000000000002E-2</v>
      </c>
      <c r="J13">
        <v>1.9900000000000001E-2</v>
      </c>
      <c r="K13">
        <v>3.7100000000000001E-2</v>
      </c>
      <c r="L13">
        <v>7.7100000000000002E-2</v>
      </c>
      <c r="P13">
        <v>0.1757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61.441800000000001</v>
      </c>
      <c r="H14">
        <v>-37.467300000000002</v>
      </c>
      <c r="I14">
        <v>7.1199999999999999E-2</v>
      </c>
      <c r="J14">
        <v>-5.8200000000000002E-2</v>
      </c>
      <c r="K14">
        <v>3.27E-2</v>
      </c>
      <c r="L14">
        <v>7.1199999999999999E-2</v>
      </c>
      <c r="P14">
        <v>0.1951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25.3993</v>
      </c>
      <c r="J15">
        <v>-6.9999999999999999E-4</v>
      </c>
      <c r="M15">
        <v>25.5</v>
      </c>
      <c r="N15">
        <v>25.3</v>
      </c>
      <c r="O15" t="s">
        <v>102</v>
      </c>
      <c r="P15">
        <v>5.4999999999999997E-3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25.403600000000001</v>
      </c>
      <c r="J16">
        <v>3.5999999999999999E-3</v>
      </c>
      <c r="M16">
        <v>25.5</v>
      </c>
      <c r="N16">
        <v>25.3</v>
      </c>
      <c r="O16" t="s">
        <v>102</v>
      </c>
      <c r="P16">
        <v>8.5000000000000006E-3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25.403199999999998</v>
      </c>
      <c r="J17">
        <v>3.2000000000000002E-3</v>
      </c>
      <c r="M17">
        <v>25.5</v>
      </c>
      <c r="N17">
        <v>25.3</v>
      </c>
      <c r="O17" t="s">
        <v>102</v>
      </c>
      <c r="P17">
        <v>5.8999999999999999E-3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25.404199999999999</v>
      </c>
      <c r="J18">
        <v>4.1999999999999997E-3</v>
      </c>
      <c r="M18">
        <v>25.5</v>
      </c>
      <c r="N18">
        <v>25.3</v>
      </c>
      <c r="O18" t="s">
        <v>102</v>
      </c>
      <c r="P18">
        <v>6.3E-3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25.403400000000001</v>
      </c>
      <c r="J19">
        <v>3.3999999999999998E-3</v>
      </c>
      <c r="M19">
        <v>25.5</v>
      </c>
      <c r="N19">
        <v>25.3</v>
      </c>
      <c r="O19" t="s">
        <v>102</v>
      </c>
      <c r="P19">
        <v>6.0000000000000001E-3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72.879800000000003</v>
      </c>
      <c r="J20">
        <v>-7.1999999999999998E-3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73.710999999999999</v>
      </c>
      <c r="J21">
        <v>-3.5000000000000003E-2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72.341700000000003</v>
      </c>
      <c r="J22">
        <v>-3.5299999999999998E-2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71.964600000000004</v>
      </c>
      <c r="J23">
        <v>-6.6400000000000001E-2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74.989900000000006</v>
      </c>
      <c r="J24">
        <v>-1.7100000000000001E-2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73.9846</v>
      </c>
      <c r="J25">
        <v>-2.24E-2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125.93259999999999</v>
      </c>
      <c r="J26">
        <v>-6.7400000000000002E-2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123.926</v>
      </c>
      <c r="J27">
        <v>-7.8E-2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145.21860000000001</v>
      </c>
      <c r="J28">
        <v>-4.3400000000000001E-2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145.6722</v>
      </c>
      <c r="J29">
        <v>-0.1018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9BA95-61BE-478F-80A8-D13ADAC24F24}">
  <sheetPr codeName="Sheet22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135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139</v>
      </c>
    </row>
    <row r="4" spans="1:18" x14ac:dyDescent="0.25">
      <c r="A4" t="s">
        <v>95</v>
      </c>
      <c r="B4" t="s">
        <v>110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62.482399999999998</v>
      </c>
      <c r="H11">
        <v>37.515000000000001</v>
      </c>
      <c r="I11">
        <v>7.8E-2</v>
      </c>
      <c r="J11">
        <v>-1.7600000000000001E-2</v>
      </c>
      <c r="K11">
        <v>1.4999999999999999E-2</v>
      </c>
      <c r="L11">
        <v>7.8E-2</v>
      </c>
      <c r="P11">
        <v>0.16270000000000001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-63.450699999999998</v>
      </c>
      <c r="H12">
        <v>37.515000000000001</v>
      </c>
      <c r="I12">
        <v>7.1800000000000003E-2</v>
      </c>
      <c r="J12">
        <v>4.9299999999999997E-2</v>
      </c>
      <c r="K12">
        <v>1.4999999999999999E-2</v>
      </c>
      <c r="L12">
        <v>7.1800000000000003E-2</v>
      </c>
      <c r="P12">
        <v>0.17660000000000001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-62.481299999999997</v>
      </c>
      <c r="H13">
        <v>-36.463799999999999</v>
      </c>
      <c r="I13">
        <v>7.8100000000000003E-2</v>
      </c>
      <c r="J13">
        <v>1.8700000000000001E-2</v>
      </c>
      <c r="K13">
        <v>3.6200000000000003E-2</v>
      </c>
      <c r="L13">
        <v>7.8100000000000003E-2</v>
      </c>
      <c r="P13">
        <v>0.17610000000000001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61.441899999999997</v>
      </c>
      <c r="H14">
        <v>-37.467500000000001</v>
      </c>
      <c r="I14">
        <v>7.22E-2</v>
      </c>
      <c r="J14">
        <v>-5.8099999999999999E-2</v>
      </c>
      <c r="K14">
        <v>3.2500000000000001E-2</v>
      </c>
      <c r="L14">
        <v>7.22E-2</v>
      </c>
      <c r="P14">
        <v>0.19650000000000001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25.401</v>
      </c>
      <c r="J15">
        <v>1E-3</v>
      </c>
      <c r="M15">
        <v>25.5</v>
      </c>
      <c r="N15">
        <v>25.3</v>
      </c>
      <c r="O15" t="s">
        <v>102</v>
      </c>
      <c r="P15">
        <v>1.03E-2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25.4026</v>
      </c>
      <c r="J16">
        <v>2.5999999999999999E-3</v>
      </c>
      <c r="M16">
        <v>25.5</v>
      </c>
      <c r="N16">
        <v>25.3</v>
      </c>
      <c r="O16" t="s">
        <v>102</v>
      </c>
      <c r="P16">
        <v>6.1999999999999998E-3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25.403600000000001</v>
      </c>
      <c r="J17">
        <v>3.5999999999999999E-3</v>
      </c>
      <c r="M17">
        <v>25.5</v>
      </c>
      <c r="N17">
        <v>25.3</v>
      </c>
      <c r="O17" t="s">
        <v>102</v>
      </c>
      <c r="P17">
        <v>8.6999999999999994E-3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25.404900000000001</v>
      </c>
      <c r="J18">
        <v>4.8999999999999998E-3</v>
      </c>
      <c r="M18">
        <v>25.5</v>
      </c>
      <c r="N18">
        <v>25.3</v>
      </c>
      <c r="O18" t="s">
        <v>102</v>
      </c>
      <c r="P18">
        <v>4.3E-3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25.403400000000001</v>
      </c>
      <c r="J19">
        <v>3.3999999999999998E-3</v>
      </c>
      <c r="M19">
        <v>25.5</v>
      </c>
      <c r="N19">
        <v>25.3</v>
      </c>
      <c r="O19" t="s">
        <v>102</v>
      </c>
      <c r="P19">
        <v>5.8999999999999999E-3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72.879499999999993</v>
      </c>
      <c r="J20">
        <v>-7.4999999999999997E-3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73.711399999999998</v>
      </c>
      <c r="J21">
        <v>-3.4599999999999999E-2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72.343100000000007</v>
      </c>
      <c r="J22">
        <v>-3.39E-2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71.964699999999993</v>
      </c>
      <c r="J23">
        <v>-6.6299999999999998E-2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74.989699999999999</v>
      </c>
      <c r="J24">
        <v>-1.7299999999999999E-2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73.985200000000006</v>
      </c>
      <c r="J25">
        <v>-2.18E-2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125.9331</v>
      </c>
      <c r="J26">
        <v>-6.6900000000000001E-2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123.9272</v>
      </c>
      <c r="J27">
        <v>-7.6799999999999993E-2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145.21979999999999</v>
      </c>
      <c r="J28">
        <v>-4.2200000000000001E-2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145.67269999999999</v>
      </c>
      <c r="J29">
        <v>-0.1013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F1675-E70A-42EB-AF01-289173A1D5C3}">
  <sheetPr codeName="Sheet23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135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140</v>
      </c>
    </row>
    <row r="4" spans="1:18" x14ac:dyDescent="0.25">
      <c r="A4" t="s">
        <v>95</v>
      </c>
      <c r="B4" t="s">
        <v>137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62.482399999999998</v>
      </c>
      <c r="H11">
        <v>37.515799999999999</v>
      </c>
      <c r="I11">
        <v>7.7399999999999997E-2</v>
      </c>
      <c r="J11">
        <v>-1.7600000000000001E-2</v>
      </c>
      <c r="K11">
        <v>1.5800000000000002E-2</v>
      </c>
      <c r="L11">
        <v>7.7399999999999997E-2</v>
      </c>
      <c r="P11">
        <v>0.16189999999999999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-63.450400000000002</v>
      </c>
      <c r="H12">
        <v>37.515799999999999</v>
      </c>
      <c r="I12">
        <v>7.0199999999999999E-2</v>
      </c>
      <c r="J12">
        <v>4.9599999999999998E-2</v>
      </c>
      <c r="K12">
        <v>1.5800000000000002E-2</v>
      </c>
      <c r="L12">
        <v>7.0199999999999999E-2</v>
      </c>
      <c r="P12">
        <v>0.17480000000000001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-62.480600000000003</v>
      </c>
      <c r="H13">
        <v>-36.462600000000002</v>
      </c>
      <c r="I13">
        <v>7.7499999999999999E-2</v>
      </c>
      <c r="J13">
        <v>1.9400000000000001E-2</v>
      </c>
      <c r="K13">
        <v>3.7400000000000003E-2</v>
      </c>
      <c r="L13">
        <v>7.7499999999999999E-2</v>
      </c>
      <c r="P13">
        <v>0.1764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61.442700000000002</v>
      </c>
      <c r="H14">
        <v>-37.466700000000003</v>
      </c>
      <c r="I14">
        <v>7.0699999999999999E-2</v>
      </c>
      <c r="J14">
        <v>-5.7299999999999997E-2</v>
      </c>
      <c r="K14">
        <v>3.3300000000000003E-2</v>
      </c>
      <c r="L14">
        <v>7.0699999999999999E-2</v>
      </c>
      <c r="P14">
        <v>0.1938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25.4</v>
      </c>
      <c r="J15">
        <v>0</v>
      </c>
      <c r="M15">
        <v>25.5</v>
      </c>
      <c r="N15">
        <v>25.3</v>
      </c>
      <c r="O15" t="s">
        <v>102</v>
      </c>
      <c r="P15">
        <v>1.1599999999999999E-2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25.403199999999998</v>
      </c>
      <c r="J16">
        <v>3.2000000000000002E-3</v>
      </c>
      <c r="M16">
        <v>25.5</v>
      </c>
      <c r="N16">
        <v>25.3</v>
      </c>
      <c r="O16" t="s">
        <v>102</v>
      </c>
      <c r="P16">
        <v>1.66E-2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25.403400000000001</v>
      </c>
      <c r="J17">
        <v>3.3999999999999998E-3</v>
      </c>
      <c r="M17">
        <v>25.5</v>
      </c>
      <c r="N17">
        <v>25.3</v>
      </c>
      <c r="O17" t="s">
        <v>102</v>
      </c>
      <c r="P17">
        <v>1.7399999999999999E-2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25.4054</v>
      </c>
      <c r="J18">
        <v>5.4000000000000003E-3</v>
      </c>
      <c r="M18">
        <v>25.5</v>
      </c>
      <c r="N18">
        <v>25.3</v>
      </c>
      <c r="O18" t="s">
        <v>102</v>
      </c>
      <c r="P18">
        <v>1.6E-2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25.403700000000001</v>
      </c>
      <c r="J19">
        <v>3.7000000000000002E-3</v>
      </c>
      <c r="M19">
        <v>25.5</v>
      </c>
      <c r="N19">
        <v>25.3</v>
      </c>
      <c r="O19" t="s">
        <v>102</v>
      </c>
      <c r="P19">
        <v>5.8999999999999999E-3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72.88</v>
      </c>
      <c r="J20">
        <v>-7.0000000000000001E-3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73.711600000000004</v>
      </c>
      <c r="J21">
        <v>-3.44E-2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72.341899999999995</v>
      </c>
      <c r="J22">
        <v>-3.5099999999999999E-2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71.965000000000003</v>
      </c>
      <c r="J23">
        <v>-6.6000000000000003E-2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74.989699999999999</v>
      </c>
      <c r="J24">
        <v>-1.7299999999999999E-2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73.984700000000004</v>
      </c>
      <c r="J25">
        <v>-2.23E-2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125.9329</v>
      </c>
      <c r="J26">
        <v>-6.7100000000000007E-2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123.92740000000001</v>
      </c>
      <c r="J27">
        <v>-7.6600000000000001E-2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145.2191</v>
      </c>
      <c r="J28">
        <v>-4.2900000000000001E-2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145.67310000000001</v>
      </c>
      <c r="J29">
        <v>-0.1009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A3E15-48A7-46B4-ACC4-A474F49225AB}">
  <sheetPr codeName="Sheet24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135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141</v>
      </c>
    </row>
    <row r="4" spans="1:18" x14ac:dyDescent="0.25">
      <c r="A4" t="s">
        <v>95</v>
      </c>
      <c r="B4" t="s">
        <v>116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62.482300000000002</v>
      </c>
      <c r="H11">
        <v>37.515500000000003</v>
      </c>
      <c r="I11">
        <v>7.6999999999999999E-2</v>
      </c>
      <c r="J11">
        <v>-1.77E-2</v>
      </c>
      <c r="K11">
        <v>1.55E-2</v>
      </c>
      <c r="L11">
        <v>7.6999999999999999E-2</v>
      </c>
      <c r="P11">
        <v>0.161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-63.450400000000002</v>
      </c>
      <c r="H12">
        <v>37.515500000000003</v>
      </c>
      <c r="I12">
        <v>7.0999999999999994E-2</v>
      </c>
      <c r="J12">
        <v>4.9599999999999998E-2</v>
      </c>
      <c r="K12">
        <v>1.55E-2</v>
      </c>
      <c r="L12">
        <v>7.0999999999999994E-2</v>
      </c>
      <c r="P12">
        <v>0.17599999999999999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-62.480200000000004</v>
      </c>
      <c r="H13">
        <v>-36.462899999999998</v>
      </c>
      <c r="I13">
        <v>7.6999999999999999E-2</v>
      </c>
      <c r="J13">
        <v>1.9800000000000002E-2</v>
      </c>
      <c r="K13">
        <v>3.7100000000000001E-2</v>
      </c>
      <c r="L13">
        <v>7.6999999999999999E-2</v>
      </c>
      <c r="P13">
        <v>0.17560000000000001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61.441800000000001</v>
      </c>
      <c r="H14">
        <v>-37.467300000000002</v>
      </c>
      <c r="I14">
        <v>7.1499999999999994E-2</v>
      </c>
      <c r="J14">
        <v>-5.8200000000000002E-2</v>
      </c>
      <c r="K14">
        <v>3.27E-2</v>
      </c>
      <c r="L14">
        <v>7.1499999999999994E-2</v>
      </c>
      <c r="P14">
        <v>0.1956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25.3995</v>
      </c>
      <c r="J15">
        <v>-5.0000000000000001E-4</v>
      </c>
      <c r="M15">
        <v>25.5</v>
      </c>
      <c r="N15">
        <v>25.3</v>
      </c>
      <c r="O15" t="s">
        <v>102</v>
      </c>
      <c r="P15">
        <v>4.7000000000000002E-3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25.4039</v>
      </c>
      <c r="J16">
        <v>3.8999999999999998E-3</v>
      </c>
      <c r="M16">
        <v>25.5</v>
      </c>
      <c r="N16">
        <v>25.3</v>
      </c>
      <c r="O16" t="s">
        <v>102</v>
      </c>
      <c r="P16">
        <v>9.1999999999999998E-3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25.403099999999998</v>
      </c>
      <c r="J17">
        <v>3.0999999999999999E-3</v>
      </c>
      <c r="M17">
        <v>25.5</v>
      </c>
      <c r="N17">
        <v>25.3</v>
      </c>
      <c r="O17" t="s">
        <v>102</v>
      </c>
      <c r="P17">
        <v>4.1999999999999997E-3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25.404599999999999</v>
      </c>
      <c r="J18">
        <v>4.5999999999999999E-3</v>
      </c>
      <c r="M18">
        <v>25.5</v>
      </c>
      <c r="N18">
        <v>25.3</v>
      </c>
      <c r="O18" t="s">
        <v>102</v>
      </c>
      <c r="P18">
        <v>8.0999999999999996E-3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25.403099999999998</v>
      </c>
      <c r="J19">
        <v>3.0999999999999999E-3</v>
      </c>
      <c r="M19">
        <v>25.5</v>
      </c>
      <c r="N19">
        <v>25.3</v>
      </c>
      <c r="O19" t="s">
        <v>102</v>
      </c>
      <c r="P19">
        <v>6.7999999999999996E-3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72.8797</v>
      </c>
      <c r="J20">
        <v>-7.3000000000000001E-3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73.711399999999998</v>
      </c>
      <c r="J21">
        <v>-3.4599999999999999E-2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72.341700000000003</v>
      </c>
      <c r="J22">
        <v>-3.5299999999999998E-2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71.964600000000004</v>
      </c>
      <c r="J23">
        <v>-6.6400000000000001E-2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74.989999999999995</v>
      </c>
      <c r="J24">
        <v>-1.7000000000000001E-2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73.984800000000007</v>
      </c>
      <c r="J25">
        <v>-2.2200000000000001E-2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125.9327</v>
      </c>
      <c r="J26">
        <v>-6.7299999999999999E-2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123.92610000000001</v>
      </c>
      <c r="J27">
        <v>-7.7899999999999997E-2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145.21850000000001</v>
      </c>
      <c r="J28">
        <v>-4.3499999999999997E-2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145.67250000000001</v>
      </c>
      <c r="J29">
        <v>-0.10150000000000001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EBFA7-9D7B-434F-A485-A3C05AFDB596}">
  <sheetPr codeName="Sheet25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135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142</v>
      </c>
    </row>
    <row r="4" spans="1:18" x14ac:dyDescent="0.25">
      <c r="A4" t="s">
        <v>95</v>
      </c>
      <c r="B4" t="s">
        <v>110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62.481400000000001</v>
      </c>
      <c r="H11">
        <v>37.515599999999999</v>
      </c>
      <c r="I11">
        <v>7.7299999999999994E-2</v>
      </c>
      <c r="J11">
        <v>-1.8599999999999998E-2</v>
      </c>
      <c r="K11">
        <v>1.5599999999999999E-2</v>
      </c>
      <c r="L11">
        <v>7.7299999999999994E-2</v>
      </c>
      <c r="P11">
        <v>0.16209999999999999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-63.450800000000001</v>
      </c>
      <c r="H12">
        <v>37.515599999999999</v>
      </c>
      <c r="I12">
        <v>7.0499999999999993E-2</v>
      </c>
      <c r="J12">
        <v>4.9200000000000001E-2</v>
      </c>
      <c r="K12">
        <v>1.5599999999999999E-2</v>
      </c>
      <c r="L12">
        <v>7.0499999999999993E-2</v>
      </c>
      <c r="P12">
        <v>0.17480000000000001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-62.480899999999998</v>
      </c>
      <c r="H13">
        <v>-36.463200000000001</v>
      </c>
      <c r="I13">
        <v>7.7399999999999997E-2</v>
      </c>
      <c r="J13">
        <v>1.9099999999999999E-2</v>
      </c>
      <c r="K13">
        <v>3.6799999999999999E-2</v>
      </c>
      <c r="L13">
        <v>7.7399999999999997E-2</v>
      </c>
      <c r="P13">
        <v>0.17549999999999999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61.441499999999998</v>
      </c>
      <c r="H14">
        <v>-37.466500000000003</v>
      </c>
      <c r="I14">
        <v>7.0999999999999994E-2</v>
      </c>
      <c r="J14">
        <v>-5.8500000000000003E-2</v>
      </c>
      <c r="K14">
        <v>3.3500000000000002E-2</v>
      </c>
      <c r="L14">
        <v>7.0999999999999994E-2</v>
      </c>
      <c r="P14">
        <v>0.19570000000000001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25.400400000000001</v>
      </c>
      <c r="J15">
        <v>4.0000000000000002E-4</v>
      </c>
      <c r="M15">
        <v>25.5</v>
      </c>
      <c r="N15">
        <v>25.3</v>
      </c>
      <c r="O15" t="s">
        <v>102</v>
      </c>
      <c r="P15">
        <v>9.1000000000000004E-3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25.402899999999999</v>
      </c>
      <c r="J16">
        <v>2.8999999999999998E-3</v>
      </c>
      <c r="M16">
        <v>25.5</v>
      </c>
      <c r="N16">
        <v>25.3</v>
      </c>
      <c r="O16" t="s">
        <v>102</v>
      </c>
      <c r="P16">
        <v>5.7999999999999996E-3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25.403700000000001</v>
      </c>
      <c r="J17">
        <v>3.7000000000000002E-3</v>
      </c>
      <c r="M17">
        <v>25.5</v>
      </c>
      <c r="N17">
        <v>25.3</v>
      </c>
      <c r="O17" t="s">
        <v>102</v>
      </c>
      <c r="P17">
        <v>4.8999999999999998E-3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25.405000000000001</v>
      </c>
      <c r="J18">
        <v>5.0000000000000001E-3</v>
      </c>
      <c r="M18">
        <v>25.5</v>
      </c>
      <c r="N18">
        <v>25.3</v>
      </c>
      <c r="O18" t="s">
        <v>102</v>
      </c>
      <c r="P18">
        <v>8.2000000000000007E-3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25.402999999999999</v>
      </c>
      <c r="J19">
        <v>3.0000000000000001E-3</v>
      </c>
      <c r="M19">
        <v>25.5</v>
      </c>
      <c r="N19">
        <v>25.3</v>
      </c>
      <c r="O19" t="s">
        <v>102</v>
      </c>
      <c r="P19">
        <v>6.6E-3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72.879000000000005</v>
      </c>
      <c r="J20">
        <v>-8.0000000000000002E-3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73.711799999999997</v>
      </c>
      <c r="J21">
        <v>-3.4200000000000001E-2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72.342500000000001</v>
      </c>
      <c r="J22">
        <v>-3.4500000000000003E-2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71.963899999999995</v>
      </c>
      <c r="J23">
        <v>-6.7100000000000007E-2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74.9893</v>
      </c>
      <c r="J24">
        <v>-1.77E-2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73.985200000000006</v>
      </c>
      <c r="J25">
        <v>-2.18E-2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125.93219999999999</v>
      </c>
      <c r="J26">
        <v>-6.7799999999999999E-2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123.9265</v>
      </c>
      <c r="J27">
        <v>-7.7499999999999999E-2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145.21860000000001</v>
      </c>
      <c r="J28">
        <v>-4.3400000000000001E-2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145.67230000000001</v>
      </c>
      <c r="J29">
        <v>-0.1017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5AB74-4D5F-4C25-BE4D-A70DBB7322A8}">
  <sheetPr codeName="Sheet26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135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143</v>
      </c>
    </row>
    <row r="4" spans="1:18" x14ac:dyDescent="0.25">
      <c r="A4" t="s">
        <v>95</v>
      </c>
      <c r="B4" t="s">
        <v>137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62.482900000000001</v>
      </c>
      <c r="H11">
        <v>37.515999999999998</v>
      </c>
      <c r="I11">
        <v>7.6999999999999999E-2</v>
      </c>
      <c r="J11">
        <v>-1.7100000000000001E-2</v>
      </c>
      <c r="K11">
        <v>1.6E-2</v>
      </c>
      <c r="L11">
        <v>7.6999999999999999E-2</v>
      </c>
      <c r="P11">
        <v>0.161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</v>
      </c>
      <c r="H12">
        <v>37.515999999999998</v>
      </c>
      <c r="I12">
        <v>7.0400000000000004E-2</v>
      </c>
      <c r="J12">
        <v>0.05</v>
      </c>
      <c r="K12">
        <v>1.6E-2</v>
      </c>
      <c r="L12">
        <v>7.0400000000000004E-2</v>
      </c>
      <c r="P12">
        <v>0.17560000000000001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</v>
      </c>
      <c r="H13">
        <v>-36.462400000000002</v>
      </c>
      <c r="I13">
        <v>7.7100000000000002E-2</v>
      </c>
      <c r="J13">
        <v>0.02</v>
      </c>
      <c r="K13">
        <v>3.7600000000000001E-2</v>
      </c>
      <c r="L13">
        <v>7.7100000000000002E-2</v>
      </c>
      <c r="P13">
        <v>0.17610000000000001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61.442900000000002</v>
      </c>
      <c r="H14">
        <v>-37.466500000000003</v>
      </c>
      <c r="I14">
        <v>7.0900000000000005E-2</v>
      </c>
      <c r="J14">
        <v>-5.7099999999999998E-2</v>
      </c>
      <c r="K14">
        <v>3.3500000000000002E-2</v>
      </c>
      <c r="L14">
        <v>7.0900000000000005E-2</v>
      </c>
      <c r="P14">
        <v>0.19389999999999999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25.399799999999999</v>
      </c>
      <c r="J15">
        <v>-2.0000000000000001E-4</v>
      </c>
      <c r="M15">
        <v>25.5</v>
      </c>
      <c r="N15">
        <v>25.3</v>
      </c>
      <c r="O15" t="s">
        <v>102</v>
      </c>
      <c r="P15">
        <v>6.3E-3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25.402899999999999</v>
      </c>
      <c r="J16">
        <v>2.8999999999999998E-3</v>
      </c>
      <c r="M16">
        <v>25.5</v>
      </c>
      <c r="N16">
        <v>25.3</v>
      </c>
      <c r="O16" t="s">
        <v>102</v>
      </c>
      <c r="P16">
        <v>0.01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25.403300000000002</v>
      </c>
      <c r="J17">
        <v>3.3E-3</v>
      </c>
      <c r="M17">
        <v>25.5</v>
      </c>
      <c r="N17">
        <v>25.3</v>
      </c>
      <c r="O17" t="s">
        <v>102</v>
      </c>
      <c r="P17">
        <v>8.3999999999999995E-3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25.4053</v>
      </c>
      <c r="J18">
        <v>5.3E-3</v>
      </c>
      <c r="M18">
        <v>25.5</v>
      </c>
      <c r="N18">
        <v>25.3</v>
      </c>
      <c r="O18" t="s">
        <v>102</v>
      </c>
      <c r="P18">
        <v>8.0000000000000002E-3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25.403400000000001</v>
      </c>
      <c r="J19">
        <v>3.3999999999999998E-3</v>
      </c>
      <c r="M19">
        <v>25.5</v>
      </c>
      <c r="N19">
        <v>25.3</v>
      </c>
      <c r="O19" t="s">
        <v>102</v>
      </c>
      <c r="P19">
        <v>6.4000000000000003E-3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72.880499999999998</v>
      </c>
      <c r="J20">
        <v>-6.4999999999999997E-3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73.711399999999998</v>
      </c>
      <c r="J21">
        <v>-3.4599999999999999E-2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72.341300000000004</v>
      </c>
      <c r="J22">
        <v>-3.5700000000000003E-2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71.965100000000007</v>
      </c>
      <c r="J23">
        <v>-6.59E-2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74.989800000000002</v>
      </c>
      <c r="J24">
        <v>-1.72E-2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73.984800000000007</v>
      </c>
      <c r="J25">
        <v>-2.2200000000000001E-2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125.9329</v>
      </c>
      <c r="J26">
        <v>-6.7100000000000007E-2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123.92700000000001</v>
      </c>
      <c r="J27">
        <v>-7.6999999999999999E-2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145.21889999999999</v>
      </c>
      <c r="J28">
        <v>-4.3099999999999999E-2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145.673</v>
      </c>
      <c r="J29">
        <v>-0.10100000000000001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40306-9FBE-4420-AB99-4DE2A7B8266E}">
  <sheetPr codeName="Sheet27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135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144</v>
      </c>
    </row>
    <row r="4" spans="1:18" x14ac:dyDescent="0.25">
      <c r="A4" t="s">
        <v>95</v>
      </c>
      <c r="B4" t="s">
        <v>145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62.482399999999998</v>
      </c>
      <c r="H11">
        <v>37.5154</v>
      </c>
      <c r="I11">
        <v>7.6200000000000004E-2</v>
      </c>
      <c r="J11">
        <v>-1.7600000000000001E-2</v>
      </c>
      <c r="K11">
        <v>1.54E-2</v>
      </c>
      <c r="L11">
        <v>7.6200000000000004E-2</v>
      </c>
      <c r="P11">
        <v>0.1595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-63.450299999999999</v>
      </c>
      <c r="H12">
        <v>37.5154</v>
      </c>
      <c r="I12">
        <v>7.0000000000000007E-2</v>
      </c>
      <c r="J12">
        <v>4.9700000000000001E-2</v>
      </c>
      <c r="K12">
        <v>1.54E-2</v>
      </c>
      <c r="L12">
        <v>7.0000000000000007E-2</v>
      </c>
      <c r="P12">
        <v>0.17449999999999999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-62.479900000000001</v>
      </c>
      <c r="H13">
        <v>-36.462600000000002</v>
      </c>
      <c r="I13">
        <v>7.6300000000000007E-2</v>
      </c>
      <c r="J13">
        <v>2.01E-2</v>
      </c>
      <c r="K13">
        <v>3.7400000000000003E-2</v>
      </c>
      <c r="L13">
        <v>7.6300000000000007E-2</v>
      </c>
      <c r="P13">
        <v>0.17460000000000001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61.441699999999997</v>
      </c>
      <c r="H14">
        <v>-37.467500000000001</v>
      </c>
      <c r="I14">
        <v>7.0400000000000004E-2</v>
      </c>
      <c r="J14">
        <v>-5.8299999999999998E-2</v>
      </c>
      <c r="K14">
        <v>3.2500000000000001E-2</v>
      </c>
      <c r="L14">
        <v>7.0400000000000004E-2</v>
      </c>
      <c r="P14">
        <v>0.19409999999999999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25.399100000000001</v>
      </c>
      <c r="J15">
        <v>-8.9999999999999998E-4</v>
      </c>
      <c r="M15">
        <v>25.5</v>
      </c>
      <c r="N15">
        <v>25.3</v>
      </c>
      <c r="O15" t="s">
        <v>102</v>
      </c>
      <c r="P15">
        <v>5.3E-3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25.403700000000001</v>
      </c>
      <c r="J16">
        <v>3.7000000000000002E-3</v>
      </c>
      <c r="M16">
        <v>25.5</v>
      </c>
      <c r="N16">
        <v>25.3</v>
      </c>
      <c r="O16" t="s">
        <v>102</v>
      </c>
      <c r="P16">
        <v>8.0000000000000002E-3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25.4025</v>
      </c>
      <c r="J17">
        <v>2.5000000000000001E-3</v>
      </c>
      <c r="M17">
        <v>25.5</v>
      </c>
      <c r="N17">
        <v>25.3</v>
      </c>
      <c r="O17" t="s">
        <v>102</v>
      </c>
      <c r="P17">
        <v>6.3E-3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25.404499999999999</v>
      </c>
      <c r="J18">
        <v>4.4999999999999997E-3</v>
      </c>
      <c r="M18">
        <v>25.5</v>
      </c>
      <c r="N18">
        <v>25.3</v>
      </c>
      <c r="O18" t="s">
        <v>102</v>
      </c>
      <c r="P18">
        <v>5.5999999999999999E-3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25.4038</v>
      </c>
      <c r="J19">
        <v>3.8E-3</v>
      </c>
      <c r="M19">
        <v>25.5</v>
      </c>
      <c r="N19">
        <v>25.3</v>
      </c>
      <c r="O19" t="s">
        <v>102</v>
      </c>
      <c r="P19">
        <v>6.3E-3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72.879800000000003</v>
      </c>
      <c r="J20">
        <v>-7.1999999999999998E-3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73.711200000000005</v>
      </c>
      <c r="J21">
        <v>-3.4799999999999998E-2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72.341300000000004</v>
      </c>
      <c r="J22">
        <v>-3.5700000000000003E-2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71.964600000000004</v>
      </c>
      <c r="J23">
        <v>-6.6400000000000001E-2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74.989999999999995</v>
      </c>
      <c r="J24">
        <v>-1.7000000000000001E-2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73.984399999999994</v>
      </c>
      <c r="J25">
        <v>-2.2599999999999999E-2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125.9327</v>
      </c>
      <c r="J26">
        <v>-6.7299999999999999E-2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123.92570000000001</v>
      </c>
      <c r="J27">
        <v>-7.8299999999999995E-2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145.2182</v>
      </c>
      <c r="J28">
        <v>-4.3799999999999999E-2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145.67240000000001</v>
      </c>
      <c r="J29">
        <v>-0.1016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C2667-AFB7-4C8A-97CD-B9EC6ADDACB6}">
  <sheetPr codeName="Sheet28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135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146</v>
      </c>
    </row>
    <row r="4" spans="1:18" x14ac:dyDescent="0.25">
      <c r="A4" t="s">
        <v>95</v>
      </c>
      <c r="B4" t="s">
        <v>110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62.482500000000002</v>
      </c>
      <c r="H11">
        <v>37.515000000000001</v>
      </c>
      <c r="I11">
        <v>7.7200000000000005E-2</v>
      </c>
      <c r="J11">
        <v>-1.7500000000000002E-2</v>
      </c>
      <c r="K11">
        <v>1.4999999999999999E-2</v>
      </c>
      <c r="L11">
        <v>7.7200000000000005E-2</v>
      </c>
      <c r="P11">
        <v>0.16120000000000001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-63.450699999999998</v>
      </c>
      <c r="H12">
        <v>37.515000000000001</v>
      </c>
      <c r="I12">
        <v>7.0800000000000002E-2</v>
      </c>
      <c r="J12">
        <v>4.9299999999999997E-2</v>
      </c>
      <c r="K12">
        <v>1.4999999999999999E-2</v>
      </c>
      <c r="L12">
        <v>7.0800000000000002E-2</v>
      </c>
      <c r="P12">
        <v>0.17499999999999999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-62.4801</v>
      </c>
      <c r="H13">
        <v>-36.4634</v>
      </c>
      <c r="I13">
        <v>7.7299999999999994E-2</v>
      </c>
      <c r="J13">
        <v>1.9900000000000001E-2</v>
      </c>
      <c r="K13">
        <v>3.6600000000000001E-2</v>
      </c>
      <c r="L13">
        <v>7.7299999999999994E-2</v>
      </c>
      <c r="P13">
        <v>0.17560000000000001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61.4422</v>
      </c>
      <c r="H14">
        <v>-37.467100000000002</v>
      </c>
      <c r="I14">
        <v>7.1199999999999999E-2</v>
      </c>
      <c r="J14">
        <v>-5.7799999999999997E-2</v>
      </c>
      <c r="K14">
        <v>3.2899999999999999E-2</v>
      </c>
      <c r="L14">
        <v>7.1199999999999999E-2</v>
      </c>
      <c r="P14">
        <v>0.1948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25.400200000000002</v>
      </c>
      <c r="J15">
        <v>2.0000000000000001E-4</v>
      </c>
      <c r="M15">
        <v>25.5</v>
      </c>
      <c r="N15">
        <v>25.3</v>
      </c>
      <c r="O15" t="s">
        <v>102</v>
      </c>
      <c r="P15">
        <v>5.1000000000000004E-3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25.4025</v>
      </c>
      <c r="J16">
        <v>2.5000000000000001E-3</v>
      </c>
      <c r="M16">
        <v>25.5</v>
      </c>
      <c r="N16">
        <v>25.3</v>
      </c>
      <c r="O16" t="s">
        <v>102</v>
      </c>
      <c r="P16">
        <v>4.3E-3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25.4039</v>
      </c>
      <c r="J17">
        <v>3.8999999999999998E-3</v>
      </c>
      <c r="M17">
        <v>25.5</v>
      </c>
      <c r="N17">
        <v>25.3</v>
      </c>
      <c r="O17" t="s">
        <v>102</v>
      </c>
      <c r="P17">
        <v>7.4000000000000003E-3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25.405000000000001</v>
      </c>
      <c r="J18">
        <v>5.0000000000000001E-3</v>
      </c>
      <c r="M18">
        <v>25.5</v>
      </c>
      <c r="N18">
        <v>25.3</v>
      </c>
      <c r="O18" t="s">
        <v>102</v>
      </c>
      <c r="P18">
        <v>5.3E-3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25.403099999999998</v>
      </c>
      <c r="J19">
        <v>3.0999999999999999E-3</v>
      </c>
      <c r="M19">
        <v>25.5</v>
      </c>
      <c r="N19">
        <v>25.3</v>
      </c>
      <c r="O19" t="s">
        <v>102</v>
      </c>
      <c r="P19">
        <v>4.3E-3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72.879599999999996</v>
      </c>
      <c r="J20">
        <v>-7.4000000000000003E-3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73.711399999999998</v>
      </c>
      <c r="J21">
        <v>-3.4599999999999999E-2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72.341899999999995</v>
      </c>
      <c r="J22">
        <v>-3.5099999999999999E-2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71.964799999999997</v>
      </c>
      <c r="J23">
        <v>-6.6199999999999995E-2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74.9893</v>
      </c>
      <c r="J24">
        <v>-1.77E-2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73.984800000000007</v>
      </c>
      <c r="J25">
        <v>-2.2200000000000001E-2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125.9332</v>
      </c>
      <c r="J26">
        <v>-6.6799999999999998E-2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123.9264</v>
      </c>
      <c r="J27">
        <v>-7.7600000000000002E-2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145.21860000000001</v>
      </c>
      <c r="J28">
        <v>-4.3400000000000001E-2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145.6728</v>
      </c>
      <c r="J29">
        <v>-0.1012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11420-F40F-4E55-B7DE-D3C8C82A9B29}">
  <sheetPr codeName="Sheet29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135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147</v>
      </c>
    </row>
    <row r="4" spans="1:18" x14ac:dyDescent="0.25">
      <c r="A4" t="s">
        <v>95</v>
      </c>
      <c r="B4" t="s">
        <v>137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62.482799999999997</v>
      </c>
      <c r="H11">
        <v>37.515900000000002</v>
      </c>
      <c r="I11">
        <v>7.6999999999999999E-2</v>
      </c>
      <c r="J11">
        <v>-1.72E-2</v>
      </c>
      <c r="K11">
        <v>1.5900000000000001E-2</v>
      </c>
      <c r="L11">
        <v>7.6999999999999999E-2</v>
      </c>
      <c r="P11">
        <v>0.161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-63.450499999999998</v>
      </c>
      <c r="H12">
        <v>37.515900000000002</v>
      </c>
      <c r="I12">
        <v>7.0499999999999993E-2</v>
      </c>
      <c r="J12">
        <v>4.9500000000000002E-2</v>
      </c>
      <c r="K12">
        <v>1.5900000000000001E-2</v>
      </c>
      <c r="L12">
        <v>7.0499999999999993E-2</v>
      </c>
      <c r="P12">
        <v>0.17510000000000001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-62.4803</v>
      </c>
      <c r="H13">
        <v>-36.4621</v>
      </c>
      <c r="I13">
        <v>7.7100000000000002E-2</v>
      </c>
      <c r="J13">
        <v>1.9699999999999999E-2</v>
      </c>
      <c r="K13">
        <v>3.7900000000000003E-2</v>
      </c>
      <c r="L13">
        <v>7.7100000000000002E-2</v>
      </c>
      <c r="P13">
        <v>0.1762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61.442399999999999</v>
      </c>
      <c r="H14">
        <v>-37.465899999999998</v>
      </c>
      <c r="I14">
        <v>7.0900000000000005E-2</v>
      </c>
      <c r="J14">
        <v>-5.7599999999999998E-2</v>
      </c>
      <c r="K14">
        <v>3.4099999999999998E-2</v>
      </c>
      <c r="L14">
        <v>7.0900000000000005E-2</v>
      </c>
      <c r="P14">
        <v>0.19500000000000001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25.3996</v>
      </c>
      <c r="J15">
        <v>-4.0000000000000002E-4</v>
      </c>
      <c r="M15">
        <v>25.5</v>
      </c>
      <c r="N15">
        <v>25.3</v>
      </c>
      <c r="O15" t="s">
        <v>102</v>
      </c>
      <c r="P15">
        <v>7.1999999999999998E-3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25.402999999999999</v>
      </c>
      <c r="J16">
        <v>3.0000000000000001E-3</v>
      </c>
      <c r="M16">
        <v>25.5</v>
      </c>
      <c r="N16">
        <v>25.3</v>
      </c>
      <c r="O16" t="s">
        <v>102</v>
      </c>
      <c r="P16">
        <v>8.0999999999999996E-3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25.403099999999998</v>
      </c>
      <c r="J17">
        <v>3.0999999999999999E-3</v>
      </c>
      <c r="M17">
        <v>25.5</v>
      </c>
      <c r="N17">
        <v>25.3</v>
      </c>
      <c r="O17" t="s">
        <v>102</v>
      </c>
      <c r="P17">
        <v>5.5999999999999999E-3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25.404800000000002</v>
      </c>
      <c r="J18">
        <v>4.7999999999999996E-3</v>
      </c>
      <c r="M18">
        <v>25.5</v>
      </c>
      <c r="N18">
        <v>25.3</v>
      </c>
      <c r="O18" t="s">
        <v>102</v>
      </c>
      <c r="P18">
        <v>7.7999999999999996E-3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25.403400000000001</v>
      </c>
      <c r="J19">
        <v>3.3999999999999998E-3</v>
      </c>
      <c r="M19">
        <v>25.5</v>
      </c>
      <c r="N19">
        <v>25.3</v>
      </c>
      <c r="O19" t="s">
        <v>102</v>
      </c>
      <c r="P19">
        <v>6.1000000000000004E-3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72.880399999999995</v>
      </c>
      <c r="J20">
        <v>-6.6E-3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73.711699999999993</v>
      </c>
      <c r="J21">
        <v>-3.4299999999999997E-2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72.341399999999993</v>
      </c>
      <c r="J22">
        <v>-3.56E-2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71.964299999999994</v>
      </c>
      <c r="J23">
        <v>-6.6699999999999995E-2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74.989000000000004</v>
      </c>
      <c r="J24">
        <v>-1.7999999999999999E-2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73.984399999999994</v>
      </c>
      <c r="J25">
        <v>-2.2599999999999999E-2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125.9333</v>
      </c>
      <c r="J26">
        <v>-6.6699999999999995E-2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123.9267</v>
      </c>
      <c r="J27">
        <v>-7.7299999999999994E-2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145.21879999999999</v>
      </c>
      <c r="J28">
        <v>-4.3200000000000002E-2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145.67259999999999</v>
      </c>
      <c r="J29">
        <v>-0.1014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E431C-55B4-4C96-A3BE-92B0EC695CC4}">
  <sheetPr codeName="Sheet30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135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148</v>
      </c>
    </row>
    <row r="4" spans="1:18" x14ac:dyDescent="0.25">
      <c r="A4" t="s">
        <v>95</v>
      </c>
      <c r="B4" t="s">
        <v>145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62.482599999999998</v>
      </c>
      <c r="H11">
        <v>37.5154</v>
      </c>
      <c r="I11">
        <v>7.6799999999999993E-2</v>
      </c>
      <c r="J11">
        <v>-1.7399999999999999E-2</v>
      </c>
      <c r="K11">
        <v>1.54E-2</v>
      </c>
      <c r="L11">
        <v>7.6799999999999993E-2</v>
      </c>
      <c r="P11">
        <v>0.16039999999999999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-63.450699999999998</v>
      </c>
      <c r="H12">
        <v>37.5154</v>
      </c>
      <c r="I12">
        <v>7.0599999999999996E-2</v>
      </c>
      <c r="J12">
        <v>4.9299999999999997E-2</v>
      </c>
      <c r="K12">
        <v>1.54E-2</v>
      </c>
      <c r="L12">
        <v>7.0599999999999996E-2</v>
      </c>
      <c r="P12">
        <v>0.1749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-62.480200000000004</v>
      </c>
      <c r="H13">
        <v>-36.462600000000002</v>
      </c>
      <c r="I13">
        <v>7.6799999999999993E-2</v>
      </c>
      <c r="J13">
        <v>1.9800000000000002E-2</v>
      </c>
      <c r="K13">
        <v>3.7400000000000003E-2</v>
      </c>
      <c r="L13">
        <v>7.6799999999999993E-2</v>
      </c>
      <c r="P13">
        <v>0.17549999999999999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</v>
      </c>
      <c r="H14">
        <v>-37.467199999999998</v>
      </c>
      <c r="I14">
        <v>7.0999999999999994E-2</v>
      </c>
      <c r="J14">
        <v>-5.8000000000000003E-2</v>
      </c>
      <c r="K14">
        <v>3.2800000000000003E-2</v>
      </c>
      <c r="L14">
        <v>7.0999999999999994E-2</v>
      </c>
      <c r="P14">
        <v>0.19470000000000001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25.3992</v>
      </c>
      <c r="J15">
        <v>-8.0000000000000004E-4</v>
      </c>
      <c r="M15">
        <v>25.5</v>
      </c>
      <c r="N15">
        <v>25.3</v>
      </c>
      <c r="O15" t="s">
        <v>102</v>
      </c>
      <c r="P15">
        <v>3.3999999999999998E-3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25.403300000000002</v>
      </c>
      <c r="J16">
        <v>3.3E-3</v>
      </c>
      <c r="M16">
        <v>25.5</v>
      </c>
      <c r="N16">
        <v>25.3</v>
      </c>
      <c r="O16" t="s">
        <v>102</v>
      </c>
      <c r="P16">
        <v>8.0000000000000002E-3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25.402899999999999</v>
      </c>
      <c r="J17">
        <v>2.8999999999999998E-3</v>
      </c>
      <c r="M17">
        <v>25.5</v>
      </c>
      <c r="N17">
        <v>25.3</v>
      </c>
      <c r="O17" t="s">
        <v>102</v>
      </c>
      <c r="P17">
        <v>5.4999999999999997E-3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25.404699999999998</v>
      </c>
      <c r="J18">
        <v>4.7000000000000002E-3</v>
      </c>
      <c r="M18">
        <v>25.5</v>
      </c>
      <c r="N18">
        <v>25.3</v>
      </c>
      <c r="O18" t="s">
        <v>102</v>
      </c>
      <c r="P18">
        <v>5.0000000000000001E-3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25.403199999999998</v>
      </c>
      <c r="J19">
        <v>3.2000000000000002E-3</v>
      </c>
      <c r="M19">
        <v>25.5</v>
      </c>
      <c r="N19">
        <v>25.3</v>
      </c>
      <c r="O19" t="s">
        <v>102</v>
      </c>
      <c r="P19">
        <v>5.8999999999999999E-3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72.879900000000006</v>
      </c>
      <c r="J20">
        <v>-7.1000000000000004E-3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73.711600000000004</v>
      </c>
      <c r="J21">
        <v>-3.44E-2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72.341499999999996</v>
      </c>
      <c r="J22">
        <v>-3.5499999999999997E-2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71.964699999999993</v>
      </c>
      <c r="J23">
        <v>-6.6299999999999998E-2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74.989800000000002</v>
      </c>
      <c r="J24">
        <v>-1.72E-2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73.984300000000005</v>
      </c>
      <c r="J25">
        <v>-2.2700000000000001E-2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125.9332</v>
      </c>
      <c r="J26">
        <v>-6.6799999999999998E-2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123.9263</v>
      </c>
      <c r="J27">
        <v>-7.7700000000000005E-2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145.21860000000001</v>
      </c>
      <c r="J28">
        <v>-4.3400000000000001E-2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145.6728</v>
      </c>
      <c r="J29">
        <v>-0.1012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DA9D2-9C39-4924-B1F8-83E32EB59B68}">
  <sheetPr codeName="Sheet31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135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149</v>
      </c>
    </row>
    <row r="4" spans="1:18" x14ac:dyDescent="0.25">
      <c r="A4" t="s">
        <v>95</v>
      </c>
      <c r="B4" t="s">
        <v>110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62.482399999999998</v>
      </c>
      <c r="H11">
        <v>37.5154</v>
      </c>
      <c r="I11">
        <v>7.6200000000000004E-2</v>
      </c>
      <c r="J11">
        <v>-1.7600000000000001E-2</v>
      </c>
      <c r="K11">
        <v>1.54E-2</v>
      </c>
      <c r="L11">
        <v>7.6200000000000004E-2</v>
      </c>
      <c r="P11">
        <v>0.1593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-63.450899999999997</v>
      </c>
      <c r="H12">
        <v>37.5154</v>
      </c>
      <c r="I12">
        <v>6.9599999999999995E-2</v>
      </c>
      <c r="J12">
        <v>4.9099999999999998E-2</v>
      </c>
      <c r="K12">
        <v>1.54E-2</v>
      </c>
      <c r="L12">
        <v>6.9599999999999995E-2</v>
      </c>
      <c r="P12">
        <v>0.1731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-62.4803</v>
      </c>
      <c r="H13">
        <v>-36.463299999999997</v>
      </c>
      <c r="I13">
        <v>7.6200000000000004E-2</v>
      </c>
      <c r="J13">
        <v>1.9699999999999999E-2</v>
      </c>
      <c r="K13">
        <v>3.6700000000000003E-2</v>
      </c>
      <c r="L13">
        <v>7.6200000000000004E-2</v>
      </c>
      <c r="P13">
        <v>0.17380000000000001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61.442399999999999</v>
      </c>
      <c r="H14">
        <v>-37.467399999999998</v>
      </c>
      <c r="I14">
        <v>7.0000000000000007E-2</v>
      </c>
      <c r="J14">
        <v>-5.7599999999999998E-2</v>
      </c>
      <c r="K14">
        <v>3.2599999999999997E-2</v>
      </c>
      <c r="L14">
        <v>7.0000000000000007E-2</v>
      </c>
      <c r="P14">
        <v>0.19270000000000001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25.399100000000001</v>
      </c>
      <c r="J15">
        <v>-8.9999999999999998E-4</v>
      </c>
      <c r="M15">
        <v>25.5</v>
      </c>
      <c r="N15">
        <v>25.3</v>
      </c>
      <c r="O15" t="s">
        <v>102</v>
      </c>
      <c r="P15">
        <v>7.7999999999999996E-3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25.402999999999999</v>
      </c>
      <c r="J16">
        <v>3.0000000000000001E-3</v>
      </c>
      <c r="M16">
        <v>25.5</v>
      </c>
      <c r="N16">
        <v>25.3</v>
      </c>
      <c r="O16" t="s">
        <v>102</v>
      </c>
      <c r="P16">
        <v>6.3E-3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25.403500000000001</v>
      </c>
      <c r="J17">
        <v>3.5000000000000001E-3</v>
      </c>
      <c r="M17">
        <v>25.5</v>
      </c>
      <c r="N17">
        <v>25.3</v>
      </c>
      <c r="O17" t="s">
        <v>102</v>
      </c>
      <c r="P17">
        <v>7.1000000000000004E-3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25.404699999999998</v>
      </c>
      <c r="J18">
        <v>4.7000000000000002E-3</v>
      </c>
      <c r="M18">
        <v>25.5</v>
      </c>
      <c r="N18">
        <v>25.3</v>
      </c>
      <c r="O18" t="s">
        <v>102</v>
      </c>
      <c r="P18">
        <v>8.8000000000000005E-3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25.403500000000001</v>
      </c>
      <c r="J19">
        <v>3.5000000000000001E-3</v>
      </c>
      <c r="M19">
        <v>25.5</v>
      </c>
      <c r="N19">
        <v>25.3</v>
      </c>
      <c r="O19" t="s">
        <v>102</v>
      </c>
      <c r="P19">
        <v>6.3E-3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72.879800000000003</v>
      </c>
      <c r="J20">
        <v>-7.1999999999999998E-3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73.711699999999993</v>
      </c>
      <c r="J21">
        <v>-3.4299999999999997E-2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72.341999999999999</v>
      </c>
      <c r="J22">
        <v>-3.5000000000000003E-2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71.965199999999996</v>
      </c>
      <c r="J23">
        <v>-6.5799999999999997E-2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74.989999999999995</v>
      </c>
      <c r="J24">
        <v>-1.7000000000000001E-2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73.984999999999999</v>
      </c>
      <c r="J25">
        <v>-2.1999999999999999E-2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125.9333</v>
      </c>
      <c r="J26">
        <v>-6.6699999999999995E-2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123.9269</v>
      </c>
      <c r="J27">
        <v>-7.7100000000000002E-2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145.21889999999999</v>
      </c>
      <c r="J28">
        <v>-4.3099999999999999E-2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145.67349999999999</v>
      </c>
      <c r="J29">
        <v>-0.10050000000000001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93157-8741-47B1-A6A4-1CBB9CBDE12E}">
  <sheetPr codeName="Sheet32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135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150</v>
      </c>
    </row>
    <row r="4" spans="1:18" x14ac:dyDescent="0.25">
      <c r="A4" t="s">
        <v>95</v>
      </c>
      <c r="B4" t="s">
        <v>137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62.482700000000001</v>
      </c>
      <c r="H11">
        <v>37.515599999999999</v>
      </c>
      <c r="I11">
        <v>7.7200000000000005E-2</v>
      </c>
      <c r="J11">
        <v>-1.7299999999999999E-2</v>
      </c>
      <c r="K11">
        <v>1.5599999999999999E-2</v>
      </c>
      <c r="L11">
        <v>7.7200000000000005E-2</v>
      </c>
      <c r="P11">
        <v>0.1613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-63.450299999999999</v>
      </c>
      <c r="H12">
        <v>37.515599999999999</v>
      </c>
      <c r="I12">
        <v>7.1099999999999997E-2</v>
      </c>
      <c r="J12">
        <v>4.9700000000000001E-2</v>
      </c>
      <c r="K12">
        <v>1.5599999999999999E-2</v>
      </c>
      <c r="L12">
        <v>7.1099999999999997E-2</v>
      </c>
      <c r="P12">
        <v>0.17630000000000001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-62.479700000000001</v>
      </c>
      <c r="H13">
        <v>-36.462800000000001</v>
      </c>
      <c r="I13">
        <v>7.7299999999999994E-2</v>
      </c>
      <c r="J13">
        <v>2.0299999999999999E-2</v>
      </c>
      <c r="K13">
        <v>3.7199999999999997E-2</v>
      </c>
      <c r="L13">
        <v>7.7299999999999994E-2</v>
      </c>
      <c r="P13">
        <v>0.17630000000000001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61.442799999999998</v>
      </c>
      <c r="H14">
        <v>-37.4664</v>
      </c>
      <c r="I14">
        <v>7.1499999999999994E-2</v>
      </c>
      <c r="J14">
        <v>-5.7200000000000001E-2</v>
      </c>
      <c r="K14">
        <v>3.3599999999999998E-2</v>
      </c>
      <c r="L14">
        <v>7.1499999999999994E-2</v>
      </c>
      <c r="P14">
        <v>0.1951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25.400099999999998</v>
      </c>
      <c r="J15">
        <v>1E-4</v>
      </c>
      <c r="M15">
        <v>25.5</v>
      </c>
      <c r="N15">
        <v>25.3</v>
      </c>
      <c r="O15" t="s">
        <v>102</v>
      </c>
      <c r="P15">
        <v>3.8999999999999998E-3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25.403199999999998</v>
      </c>
      <c r="J16">
        <v>3.2000000000000002E-3</v>
      </c>
      <c r="M16">
        <v>25.5</v>
      </c>
      <c r="N16">
        <v>25.3</v>
      </c>
      <c r="O16" t="s">
        <v>102</v>
      </c>
      <c r="P16">
        <v>9.5999999999999992E-3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25.4026</v>
      </c>
      <c r="J17">
        <v>2.5999999999999999E-3</v>
      </c>
      <c r="M17">
        <v>25.5</v>
      </c>
      <c r="N17">
        <v>25.3</v>
      </c>
      <c r="O17" t="s">
        <v>102</v>
      </c>
      <c r="P17">
        <v>4.4000000000000003E-3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25.405000000000001</v>
      </c>
      <c r="J18">
        <v>5.0000000000000001E-3</v>
      </c>
      <c r="M18">
        <v>25.5</v>
      </c>
      <c r="N18">
        <v>25.3</v>
      </c>
      <c r="O18" t="s">
        <v>102</v>
      </c>
      <c r="P18">
        <v>7.1999999999999998E-3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25.403099999999998</v>
      </c>
      <c r="J19">
        <v>3.0999999999999999E-3</v>
      </c>
      <c r="M19">
        <v>25.5</v>
      </c>
      <c r="N19">
        <v>25.3</v>
      </c>
      <c r="O19" t="s">
        <v>102</v>
      </c>
      <c r="P19">
        <v>5.4999999999999997E-3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72.880099999999999</v>
      </c>
      <c r="J20">
        <v>-6.8999999999999999E-3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73.711299999999994</v>
      </c>
      <c r="J21">
        <v>-3.4700000000000002E-2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72.341200000000001</v>
      </c>
      <c r="J22">
        <v>-3.5799999999999998E-2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71.965000000000003</v>
      </c>
      <c r="J23">
        <v>-6.6000000000000003E-2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74.989199999999997</v>
      </c>
      <c r="J24">
        <v>-1.78E-2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73.984800000000007</v>
      </c>
      <c r="J25">
        <v>-2.2200000000000001E-2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125.9329</v>
      </c>
      <c r="J26">
        <v>-6.7100000000000007E-2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123.92659999999999</v>
      </c>
      <c r="J27">
        <v>-7.7399999999999997E-2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145.2184</v>
      </c>
      <c r="J28">
        <v>-4.36E-2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145.6729</v>
      </c>
      <c r="J29">
        <v>-0.1011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1964F-B859-4462-B091-25C68239B0AD}">
  <sheetPr codeName="Sheet33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135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151</v>
      </c>
    </row>
    <row r="4" spans="1:18" x14ac:dyDescent="0.25">
      <c r="A4" t="s">
        <v>95</v>
      </c>
      <c r="B4" t="s">
        <v>145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62.482799999999997</v>
      </c>
      <c r="H11">
        <v>37.515000000000001</v>
      </c>
      <c r="I11">
        <v>7.6999999999999999E-2</v>
      </c>
      <c r="J11">
        <v>-1.72E-2</v>
      </c>
      <c r="K11">
        <v>1.4999999999999999E-2</v>
      </c>
      <c r="L11">
        <v>7.6999999999999999E-2</v>
      </c>
      <c r="P11">
        <v>0.16070000000000001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-63.4499</v>
      </c>
      <c r="H12">
        <v>37.515000000000001</v>
      </c>
      <c r="I12">
        <v>7.0800000000000002E-2</v>
      </c>
      <c r="J12">
        <v>5.0099999999999999E-2</v>
      </c>
      <c r="K12">
        <v>1.4999999999999999E-2</v>
      </c>
      <c r="L12">
        <v>7.0800000000000002E-2</v>
      </c>
      <c r="P12">
        <v>0.17599999999999999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-62.479900000000001</v>
      </c>
      <c r="H13">
        <v>-36.462600000000002</v>
      </c>
      <c r="I13">
        <v>7.7100000000000002E-2</v>
      </c>
      <c r="J13">
        <v>2.01E-2</v>
      </c>
      <c r="K13">
        <v>3.7400000000000003E-2</v>
      </c>
      <c r="L13">
        <v>7.7100000000000002E-2</v>
      </c>
      <c r="P13">
        <v>0.17599999999999999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61.442100000000003</v>
      </c>
      <c r="H14">
        <v>-37.466900000000003</v>
      </c>
      <c r="I14">
        <v>7.1199999999999999E-2</v>
      </c>
      <c r="J14">
        <v>-5.79E-2</v>
      </c>
      <c r="K14">
        <v>3.3099999999999997E-2</v>
      </c>
      <c r="L14">
        <v>7.1199999999999999E-2</v>
      </c>
      <c r="P14">
        <v>0.19520000000000001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25.3996</v>
      </c>
      <c r="J15">
        <v>-4.0000000000000002E-4</v>
      </c>
      <c r="M15">
        <v>25.5</v>
      </c>
      <c r="N15">
        <v>25.3</v>
      </c>
      <c r="O15" t="s">
        <v>102</v>
      </c>
      <c r="P15">
        <v>6.1999999999999998E-3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25.402799999999999</v>
      </c>
      <c r="J16">
        <v>2.8E-3</v>
      </c>
      <c r="M16">
        <v>25.5</v>
      </c>
      <c r="N16">
        <v>25.3</v>
      </c>
      <c r="O16" t="s">
        <v>102</v>
      </c>
      <c r="P16">
        <v>8.2000000000000007E-3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25.4026</v>
      </c>
      <c r="J17">
        <v>2.5999999999999999E-3</v>
      </c>
      <c r="M17">
        <v>25.5</v>
      </c>
      <c r="N17">
        <v>25.3</v>
      </c>
      <c r="O17" t="s">
        <v>102</v>
      </c>
      <c r="P17">
        <v>5.4999999999999997E-3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25.4056</v>
      </c>
      <c r="J18">
        <v>5.5999999999999999E-3</v>
      </c>
      <c r="M18">
        <v>25.5</v>
      </c>
      <c r="N18">
        <v>25.3</v>
      </c>
      <c r="O18" t="s">
        <v>102</v>
      </c>
      <c r="P18">
        <v>7.7000000000000002E-3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25.403500000000001</v>
      </c>
      <c r="J19">
        <v>3.5000000000000001E-3</v>
      </c>
      <c r="M19">
        <v>25.5</v>
      </c>
      <c r="N19">
        <v>25.3</v>
      </c>
      <c r="O19" t="s">
        <v>102</v>
      </c>
      <c r="P19">
        <v>7.0000000000000001E-3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72.879900000000006</v>
      </c>
      <c r="J20">
        <v>-7.1000000000000004E-3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73.710700000000003</v>
      </c>
      <c r="J21">
        <v>-3.5299999999999998E-2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72.341300000000004</v>
      </c>
      <c r="J22">
        <v>-3.5700000000000003E-2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71.964600000000004</v>
      </c>
      <c r="J23">
        <v>-6.6400000000000001E-2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74.989099999999993</v>
      </c>
      <c r="J24">
        <v>-1.7899999999999999E-2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73.983900000000006</v>
      </c>
      <c r="J25">
        <v>-2.3099999999999999E-2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125.9327</v>
      </c>
      <c r="J26">
        <v>-6.7299999999999999E-2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123.92610000000001</v>
      </c>
      <c r="J27">
        <v>-7.7899999999999997E-2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145.2182</v>
      </c>
      <c r="J28">
        <v>-4.3799999999999999E-2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145.67189999999999</v>
      </c>
      <c r="J29">
        <v>-0.1021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F6EE7-C8BF-4747-99AF-972F77264174}">
  <sheetPr codeName="Sheet34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135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152</v>
      </c>
    </row>
    <row r="4" spans="1:18" x14ac:dyDescent="0.25">
      <c r="A4" t="s">
        <v>95</v>
      </c>
      <c r="B4" t="s">
        <v>111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62.482300000000002</v>
      </c>
      <c r="H11">
        <v>37.515599999999999</v>
      </c>
      <c r="I11">
        <v>7.6499999999999999E-2</v>
      </c>
      <c r="J11">
        <v>-1.77E-2</v>
      </c>
      <c r="K11">
        <v>1.5599999999999999E-2</v>
      </c>
      <c r="L11">
        <v>7.6499999999999999E-2</v>
      </c>
      <c r="P11">
        <v>0.16009999999999999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-63.450899999999997</v>
      </c>
      <c r="H12">
        <v>37.515599999999999</v>
      </c>
      <c r="I12">
        <v>7.0099999999999996E-2</v>
      </c>
      <c r="J12">
        <v>4.9099999999999998E-2</v>
      </c>
      <c r="K12">
        <v>1.5599999999999999E-2</v>
      </c>
      <c r="L12">
        <v>7.0099999999999996E-2</v>
      </c>
      <c r="P12">
        <v>0.17399999999999999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-62.479900000000001</v>
      </c>
      <c r="H13">
        <v>-36.463999999999999</v>
      </c>
      <c r="I13">
        <v>7.6499999999999999E-2</v>
      </c>
      <c r="J13">
        <v>2.01E-2</v>
      </c>
      <c r="K13">
        <v>3.5999999999999997E-2</v>
      </c>
      <c r="L13">
        <v>7.6499999999999999E-2</v>
      </c>
      <c r="P13">
        <v>0.1739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61.442599999999999</v>
      </c>
      <c r="H14">
        <v>-37.466799999999999</v>
      </c>
      <c r="I14">
        <v>7.0599999999999996E-2</v>
      </c>
      <c r="J14">
        <v>-5.74E-2</v>
      </c>
      <c r="K14">
        <v>3.32E-2</v>
      </c>
      <c r="L14">
        <v>7.0599999999999996E-2</v>
      </c>
      <c r="P14">
        <v>0.19370000000000001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25.3994</v>
      </c>
      <c r="J15">
        <v>-5.9999999999999995E-4</v>
      </c>
      <c r="M15">
        <v>25.5</v>
      </c>
      <c r="N15">
        <v>25.3</v>
      </c>
      <c r="O15" t="s">
        <v>102</v>
      </c>
      <c r="P15">
        <v>7.7000000000000002E-3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25.402999999999999</v>
      </c>
      <c r="J16">
        <v>3.0000000000000001E-3</v>
      </c>
      <c r="M16">
        <v>25.5</v>
      </c>
      <c r="N16">
        <v>25.3</v>
      </c>
      <c r="O16" t="s">
        <v>102</v>
      </c>
      <c r="P16">
        <v>7.0000000000000001E-3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25.403600000000001</v>
      </c>
      <c r="J17">
        <v>3.5999999999999999E-3</v>
      </c>
      <c r="M17">
        <v>25.5</v>
      </c>
      <c r="N17">
        <v>25.3</v>
      </c>
      <c r="O17" t="s">
        <v>102</v>
      </c>
      <c r="P17">
        <v>7.0000000000000001E-3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25.405000000000001</v>
      </c>
      <c r="J18">
        <v>5.0000000000000001E-3</v>
      </c>
      <c r="M18">
        <v>25.5</v>
      </c>
      <c r="N18">
        <v>25.3</v>
      </c>
      <c r="O18" t="s">
        <v>102</v>
      </c>
      <c r="P18">
        <v>9.4000000000000004E-3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25.402999999999999</v>
      </c>
      <c r="J19">
        <v>3.0000000000000001E-3</v>
      </c>
      <c r="M19">
        <v>25.5</v>
      </c>
      <c r="N19">
        <v>25.3</v>
      </c>
      <c r="O19" t="s">
        <v>102</v>
      </c>
      <c r="P19">
        <v>6.4000000000000003E-3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72.879800000000003</v>
      </c>
      <c r="J20">
        <v>-7.1999999999999998E-3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73.7119</v>
      </c>
      <c r="J21">
        <v>-3.4099999999999998E-2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72.341999999999999</v>
      </c>
      <c r="J22">
        <v>-3.5000000000000003E-2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71.965000000000003</v>
      </c>
      <c r="J23">
        <v>-6.6000000000000003E-2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74.989599999999996</v>
      </c>
      <c r="J24">
        <v>-1.7399999999999999E-2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73.985900000000001</v>
      </c>
      <c r="J25">
        <v>-2.1100000000000001E-2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125.9332</v>
      </c>
      <c r="J26">
        <v>-6.6799999999999998E-2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123.9265</v>
      </c>
      <c r="J27">
        <v>-7.7499999999999999E-2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145.21889999999999</v>
      </c>
      <c r="J28">
        <v>-4.3099999999999999E-2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145.67339999999999</v>
      </c>
      <c r="J29">
        <v>-0.10059999999999999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FB2E7-CE28-4AAE-B639-919E9CAE1194}">
  <sheetPr codeName="Sheet35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135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153</v>
      </c>
    </row>
    <row r="4" spans="1:18" x14ac:dyDescent="0.25">
      <c r="A4" t="s">
        <v>95</v>
      </c>
      <c r="B4" t="s">
        <v>137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62.482500000000002</v>
      </c>
      <c r="H11">
        <v>37.515700000000002</v>
      </c>
      <c r="I11">
        <v>7.7100000000000002E-2</v>
      </c>
      <c r="J11">
        <v>-1.7500000000000002E-2</v>
      </c>
      <c r="K11">
        <v>1.5699999999999999E-2</v>
      </c>
      <c r="L11">
        <v>7.7100000000000002E-2</v>
      </c>
      <c r="P11">
        <v>0.16120000000000001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-63.450800000000001</v>
      </c>
      <c r="H12">
        <v>37.515700000000002</v>
      </c>
      <c r="I12">
        <v>7.0999999999999994E-2</v>
      </c>
      <c r="J12">
        <v>4.9200000000000001E-2</v>
      </c>
      <c r="K12">
        <v>1.5699999999999999E-2</v>
      </c>
      <c r="L12">
        <v>7.0999999999999994E-2</v>
      </c>
      <c r="P12">
        <v>0.17560000000000001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-62.4803</v>
      </c>
      <c r="H13">
        <v>-36.462699999999998</v>
      </c>
      <c r="I13">
        <v>7.7100000000000002E-2</v>
      </c>
      <c r="J13">
        <v>1.9699999999999999E-2</v>
      </c>
      <c r="K13">
        <v>3.73E-2</v>
      </c>
      <c r="L13">
        <v>7.7100000000000002E-2</v>
      </c>
      <c r="P13">
        <v>0.17580000000000001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61.442500000000003</v>
      </c>
      <c r="H14">
        <v>-37.466799999999999</v>
      </c>
      <c r="I14">
        <v>7.1499999999999994E-2</v>
      </c>
      <c r="J14">
        <v>-5.7500000000000002E-2</v>
      </c>
      <c r="K14">
        <v>3.32E-2</v>
      </c>
      <c r="L14">
        <v>7.1499999999999994E-2</v>
      </c>
      <c r="P14">
        <v>0.1951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25.399699999999999</v>
      </c>
      <c r="J15">
        <v>-2.9999999999999997E-4</v>
      </c>
      <c r="M15">
        <v>25.5</v>
      </c>
      <c r="N15">
        <v>25.3</v>
      </c>
      <c r="O15" t="s">
        <v>102</v>
      </c>
      <c r="P15">
        <v>5.1000000000000004E-3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25.403700000000001</v>
      </c>
      <c r="J16">
        <v>3.7000000000000002E-3</v>
      </c>
      <c r="M16">
        <v>25.5</v>
      </c>
      <c r="N16">
        <v>25.3</v>
      </c>
      <c r="O16" t="s">
        <v>102</v>
      </c>
      <c r="P16">
        <v>9.7000000000000003E-3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25.4024</v>
      </c>
      <c r="J17">
        <v>2.3999999999999998E-3</v>
      </c>
      <c r="M17">
        <v>25.5</v>
      </c>
      <c r="N17">
        <v>25.3</v>
      </c>
      <c r="O17" t="s">
        <v>102</v>
      </c>
      <c r="P17">
        <v>6.4999999999999997E-3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25.404499999999999</v>
      </c>
      <c r="J18">
        <v>4.4999999999999997E-3</v>
      </c>
      <c r="M18">
        <v>25.5</v>
      </c>
      <c r="N18">
        <v>25.3</v>
      </c>
      <c r="O18" t="s">
        <v>102</v>
      </c>
      <c r="P18">
        <v>7.3000000000000001E-3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25.403199999999998</v>
      </c>
      <c r="J19">
        <v>3.2000000000000002E-3</v>
      </c>
      <c r="M19">
        <v>25.5</v>
      </c>
      <c r="N19">
        <v>25.3</v>
      </c>
      <c r="O19" t="s">
        <v>102</v>
      </c>
      <c r="P19">
        <v>6.4000000000000003E-3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72.88</v>
      </c>
      <c r="J20">
        <v>-7.0000000000000001E-3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73.7119</v>
      </c>
      <c r="J21">
        <v>-3.4099999999999998E-2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72.341700000000003</v>
      </c>
      <c r="J22">
        <v>-3.5299999999999998E-2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71.9649</v>
      </c>
      <c r="J23">
        <v>-6.6100000000000006E-2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74.989699999999999</v>
      </c>
      <c r="J24">
        <v>-1.7299999999999999E-2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73.984800000000007</v>
      </c>
      <c r="J25">
        <v>-2.2200000000000001E-2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125.9333</v>
      </c>
      <c r="J26">
        <v>-6.6699999999999995E-2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123.9268</v>
      </c>
      <c r="J27">
        <v>-7.7200000000000005E-2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145.21879999999999</v>
      </c>
      <c r="J28">
        <v>-4.3200000000000002E-2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145.67330000000001</v>
      </c>
      <c r="J29">
        <v>-0.1007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2A9C7-C1CC-46E9-B3E9-A4B8F9C2627A}">
  <sheetPr codeName="Sheet36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135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154</v>
      </c>
    </row>
    <row r="4" spans="1:18" x14ac:dyDescent="0.25">
      <c r="A4" t="s">
        <v>95</v>
      </c>
      <c r="B4" t="s">
        <v>118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62.482700000000001</v>
      </c>
      <c r="H11">
        <v>37.515300000000003</v>
      </c>
      <c r="I11">
        <v>7.7299999999999994E-2</v>
      </c>
      <c r="J11">
        <v>-1.7299999999999999E-2</v>
      </c>
      <c r="K11">
        <v>1.5299999999999999E-2</v>
      </c>
      <c r="L11">
        <v>7.7299999999999994E-2</v>
      </c>
      <c r="P11">
        <v>0.1613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-63.450600000000001</v>
      </c>
      <c r="H12">
        <v>37.515300000000003</v>
      </c>
      <c r="I12">
        <v>7.0900000000000005E-2</v>
      </c>
      <c r="J12">
        <v>4.9399999999999999E-2</v>
      </c>
      <c r="K12">
        <v>1.5299999999999999E-2</v>
      </c>
      <c r="L12">
        <v>7.0900000000000005E-2</v>
      </c>
      <c r="P12">
        <v>0.17560000000000001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-62.479599999999998</v>
      </c>
      <c r="H13">
        <v>-36.463700000000003</v>
      </c>
      <c r="I13">
        <v>7.7399999999999997E-2</v>
      </c>
      <c r="J13">
        <v>2.0400000000000001E-2</v>
      </c>
      <c r="K13">
        <v>3.6299999999999999E-2</v>
      </c>
      <c r="L13">
        <v>7.7399999999999997E-2</v>
      </c>
      <c r="P13">
        <v>0.1757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61.442399999999999</v>
      </c>
      <c r="H14">
        <v>-37.466799999999999</v>
      </c>
      <c r="I14">
        <v>7.1400000000000005E-2</v>
      </c>
      <c r="J14">
        <v>-5.7599999999999998E-2</v>
      </c>
      <c r="K14">
        <v>3.32E-2</v>
      </c>
      <c r="L14">
        <v>7.1400000000000005E-2</v>
      </c>
      <c r="P14">
        <v>0.19500000000000001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25.3994</v>
      </c>
      <c r="J15">
        <v>-5.9999999999999995E-4</v>
      </c>
      <c r="M15">
        <v>25.5</v>
      </c>
      <c r="N15">
        <v>25.3</v>
      </c>
      <c r="O15" t="s">
        <v>102</v>
      </c>
      <c r="P15">
        <v>5.4999999999999997E-3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25.402999999999999</v>
      </c>
      <c r="J16">
        <v>3.0000000000000001E-3</v>
      </c>
      <c r="M16">
        <v>25.5</v>
      </c>
      <c r="N16">
        <v>25.3</v>
      </c>
      <c r="O16" t="s">
        <v>102</v>
      </c>
      <c r="P16">
        <v>8.6999999999999994E-3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25.402899999999999</v>
      </c>
      <c r="J17">
        <v>2.8999999999999998E-3</v>
      </c>
      <c r="M17">
        <v>25.5</v>
      </c>
      <c r="N17">
        <v>25.3</v>
      </c>
      <c r="O17" t="s">
        <v>102</v>
      </c>
      <c r="P17">
        <v>5.0000000000000001E-3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25.404299999999999</v>
      </c>
      <c r="J18">
        <v>4.3E-3</v>
      </c>
      <c r="M18">
        <v>25.5</v>
      </c>
      <c r="N18">
        <v>25.3</v>
      </c>
      <c r="O18" t="s">
        <v>102</v>
      </c>
      <c r="P18">
        <v>6.3E-3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25.402999999999999</v>
      </c>
      <c r="J19">
        <v>3.0000000000000001E-3</v>
      </c>
      <c r="M19">
        <v>25.5</v>
      </c>
      <c r="N19">
        <v>25.3</v>
      </c>
      <c r="O19" t="s">
        <v>102</v>
      </c>
      <c r="P19">
        <v>7.1999999999999998E-3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72.88</v>
      </c>
      <c r="J20">
        <v>-7.0000000000000001E-3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73.711399999999998</v>
      </c>
      <c r="J21">
        <v>-3.4599999999999999E-2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72.3416</v>
      </c>
      <c r="J22">
        <v>-3.5400000000000001E-2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71.964799999999997</v>
      </c>
      <c r="J23">
        <v>-6.6199999999999995E-2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74.9893</v>
      </c>
      <c r="J24">
        <v>-1.77E-2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73.985399999999998</v>
      </c>
      <c r="J25">
        <v>-2.1600000000000001E-2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125.9333</v>
      </c>
      <c r="J26">
        <v>-6.6699999999999995E-2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123.92610000000001</v>
      </c>
      <c r="J27">
        <v>-7.7899999999999997E-2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145.21870000000001</v>
      </c>
      <c r="J28">
        <v>-4.3299999999999998E-2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145.6728</v>
      </c>
      <c r="J29">
        <v>-0.1012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FD404-3AF8-40DA-83F3-40B1DC749683}">
  <sheetPr codeName="Sheet37"/>
  <dimension ref="A1:R29"/>
  <sheetViews>
    <sheetView workbookViewId="0"/>
  </sheetViews>
  <sheetFormatPr defaultRowHeight="15" x14ac:dyDescent="0.25"/>
  <cols>
    <col min="1" max="1" width="26.5703125" bestFit="1" customWidth="1"/>
    <col min="2" max="2" width="14.140625" bestFit="1" customWidth="1"/>
    <col min="3" max="3" width="18.28515625" bestFit="1" customWidth="1"/>
    <col min="4" max="4" width="8" bestFit="1" customWidth="1"/>
    <col min="5" max="5" width="5.7109375" bestFit="1" customWidth="1"/>
    <col min="6" max="6" width="2" bestFit="1" customWidth="1"/>
    <col min="7" max="7" width="9" bestFit="1" customWidth="1"/>
    <col min="8" max="8" width="8.7109375" bestFit="1" customWidth="1"/>
    <col min="9" max="9" width="7" bestFit="1" customWidth="1"/>
    <col min="10" max="10" width="7.7109375" bestFit="1" customWidth="1"/>
    <col min="11" max="12" width="7" bestFit="1" customWidth="1"/>
    <col min="13" max="14" width="8" bestFit="1" customWidth="1"/>
    <col min="15" max="15" width="5.42578125" bestFit="1" customWidth="1"/>
    <col min="16" max="16" width="7" bestFit="1" customWidth="1"/>
    <col min="17" max="17" width="5" bestFit="1" customWidth="1"/>
    <col min="18" max="18" width="5.42578125" bestFit="1" customWidth="1"/>
  </cols>
  <sheetData>
    <row r="1" spans="1:18" x14ac:dyDescent="0.25">
      <c r="A1" t="s">
        <v>91</v>
      </c>
      <c r="B1" t="s">
        <v>135</v>
      </c>
    </row>
    <row r="2" spans="1:18" x14ac:dyDescent="0.25">
      <c r="A2" t="s">
        <v>92</v>
      </c>
      <c r="B2" t="s">
        <v>93</v>
      </c>
    </row>
    <row r="3" spans="1:18" x14ac:dyDescent="0.25">
      <c r="A3" t="s">
        <v>94</v>
      </c>
      <c r="B3" t="s">
        <v>155</v>
      </c>
    </row>
    <row r="4" spans="1:18" x14ac:dyDescent="0.25">
      <c r="A4" t="s">
        <v>95</v>
      </c>
      <c r="B4" t="s">
        <v>111</v>
      </c>
    </row>
    <row r="5" spans="1:18" x14ac:dyDescent="0.25">
      <c r="A5" t="s">
        <v>96</v>
      </c>
    </row>
    <row r="6" spans="1:18" x14ac:dyDescent="0.25">
      <c r="A6" t="s">
        <v>97</v>
      </c>
    </row>
    <row r="7" spans="1:18" x14ac:dyDescent="0.25">
      <c r="A7" t="s">
        <v>98</v>
      </c>
    </row>
    <row r="8" spans="1:18" x14ac:dyDescent="0.25">
      <c r="A8" t="s">
        <v>92</v>
      </c>
    </row>
    <row r="9" spans="1:18" x14ac:dyDescent="0.25">
      <c r="A9" t="s">
        <v>99</v>
      </c>
    </row>
    <row r="10" spans="1:18" x14ac:dyDescent="0.25">
      <c r="A10">
        <v>4</v>
      </c>
      <c r="B10" t="s">
        <v>100</v>
      </c>
      <c r="C10" t="s">
        <v>101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P10">
        <v>0</v>
      </c>
      <c r="Q10">
        <v>0.05</v>
      </c>
      <c r="R10" t="s">
        <v>102</v>
      </c>
    </row>
    <row r="11" spans="1:18" x14ac:dyDescent="0.25">
      <c r="A11">
        <v>5</v>
      </c>
      <c r="B11" t="s">
        <v>103</v>
      </c>
      <c r="C11" t="s">
        <v>101</v>
      </c>
      <c r="D11">
        <v>62.5</v>
      </c>
      <c r="E11">
        <v>37.5</v>
      </c>
      <c r="F11">
        <v>0</v>
      </c>
      <c r="G11">
        <v>62.482799999999997</v>
      </c>
      <c r="H11">
        <v>37.516100000000002</v>
      </c>
      <c r="I11">
        <v>7.6700000000000004E-2</v>
      </c>
      <c r="J11">
        <v>-1.72E-2</v>
      </c>
      <c r="K11">
        <v>1.61E-2</v>
      </c>
      <c r="L11">
        <v>7.6700000000000004E-2</v>
      </c>
      <c r="P11">
        <v>0.1605</v>
      </c>
      <c r="Q11">
        <v>0.05</v>
      </c>
      <c r="R11" t="s">
        <v>104</v>
      </c>
    </row>
    <row r="12" spans="1:18" x14ac:dyDescent="0.25">
      <c r="A12">
        <v>6</v>
      </c>
      <c r="B12" t="s">
        <v>105</v>
      </c>
      <c r="C12" t="s">
        <v>101</v>
      </c>
      <c r="D12">
        <v>-63.5</v>
      </c>
      <c r="E12">
        <v>37.5</v>
      </c>
      <c r="F12">
        <v>0</v>
      </c>
      <c r="G12">
        <v>-63.451000000000001</v>
      </c>
      <c r="H12">
        <v>37.516100000000002</v>
      </c>
      <c r="I12">
        <v>7.0300000000000001E-2</v>
      </c>
      <c r="J12">
        <v>4.9000000000000002E-2</v>
      </c>
      <c r="K12">
        <v>1.61E-2</v>
      </c>
      <c r="L12">
        <v>7.0300000000000001E-2</v>
      </c>
      <c r="P12">
        <v>0.1744</v>
      </c>
      <c r="Q12">
        <v>0.05</v>
      </c>
      <c r="R12" t="s">
        <v>104</v>
      </c>
    </row>
    <row r="13" spans="1:18" x14ac:dyDescent="0.25">
      <c r="A13">
        <v>7</v>
      </c>
      <c r="B13" t="s">
        <v>106</v>
      </c>
      <c r="C13" t="s">
        <v>101</v>
      </c>
      <c r="D13">
        <v>-62.5</v>
      </c>
      <c r="E13">
        <v>-36.5</v>
      </c>
      <c r="F13">
        <v>0</v>
      </c>
      <c r="G13">
        <v>-62.4801</v>
      </c>
      <c r="H13">
        <v>-36.4636</v>
      </c>
      <c r="I13">
        <v>7.6799999999999993E-2</v>
      </c>
      <c r="J13">
        <v>1.9900000000000001E-2</v>
      </c>
      <c r="K13">
        <v>3.6400000000000002E-2</v>
      </c>
      <c r="L13">
        <v>7.6799999999999993E-2</v>
      </c>
      <c r="P13">
        <v>0.17449999999999999</v>
      </c>
      <c r="Q13">
        <v>0.05</v>
      </c>
      <c r="R13" t="s">
        <v>104</v>
      </c>
    </row>
    <row r="14" spans="1:18" x14ac:dyDescent="0.25">
      <c r="A14">
        <v>8</v>
      </c>
      <c r="B14" t="s">
        <v>107</v>
      </c>
      <c r="C14" t="s">
        <v>101</v>
      </c>
      <c r="D14">
        <v>61.5</v>
      </c>
      <c r="E14">
        <v>-37.5</v>
      </c>
      <c r="F14">
        <v>0</v>
      </c>
      <c r="G14">
        <v>61.442599999999999</v>
      </c>
      <c r="H14">
        <v>-37.466799999999999</v>
      </c>
      <c r="I14">
        <v>7.0699999999999999E-2</v>
      </c>
      <c r="J14">
        <v>-5.74E-2</v>
      </c>
      <c r="K14">
        <v>3.32E-2</v>
      </c>
      <c r="L14">
        <v>7.0699999999999999E-2</v>
      </c>
      <c r="P14">
        <v>0.19400000000000001</v>
      </c>
      <c r="Q14">
        <v>0.05</v>
      </c>
      <c r="R14" t="s">
        <v>104</v>
      </c>
    </row>
    <row r="15" spans="1:18" x14ac:dyDescent="0.25">
      <c r="A15">
        <v>9</v>
      </c>
      <c r="B15" t="s">
        <v>0</v>
      </c>
      <c r="C15" t="s">
        <v>108</v>
      </c>
      <c r="D15">
        <v>25.4</v>
      </c>
      <c r="G15">
        <v>25.399699999999999</v>
      </c>
      <c r="J15">
        <v>-2.9999999999999997E-4</v>
      </c>
      <c r="M15">
        <v>25.5</v>
      </c>
      <c r="N15">
        <v>25.3</v>
      </c>
      <c r="O15" t="s">
        <v>102</v>
      </c>
      <c r="P15">
        <v>7.3000000000000001E-3</v>
      </c>
      <c r="Q15">
        <v>0.05</v>
      </c>
      <c r="R15" t="s">
        <v>102</v>
      </c>
    </row>
    <row r="16" spans="1:18" x14ac:dyDescent="0.25">
      <c r="A16">
        <v>10</v>
      </c>
      <c r="B16" t="s">
        <v>1</v>
      </c>
      <c r="C16" t="s">
        <v>108</v>
      </c>
      <c r="D16">
        <v>25.4</v>
      </c>
      <c r="G16">
        <v>25.402799999999999</v>
      </c>
      <c r="J16">
        <v>2.8E-3</v>
      </c>
      <c r="M16">
        <v>25.5</v>
      </c>
      <c r="N16">
        <v>25.3</v>
      </c>
      <c r="O16" t="s">
        <v>102</v>
      </c>
      <c r="P16">
        <v>5.7999999999999996E-3</v>
      </c>
      <c r="Q16">
        <v>0.05</v>
      </c>
      <c r="R16" t="s">
        <v>102</v>
      </c>
    </row>
    <row r="17" spans="1:18" x14ac:dyDescent="0.25">
      <c r="A17">
        <v>11</v>
      </c>
      <c r="B17" t="s">
        <v>2</v>
      </c>
      <c r="C17" t="s">
        <v>108</v>
      </c>
      <c r="D17">
        <v>25.4</v>
      </c>
      <c r="G17">
        <v>25.403400000000001</v>
      </c>
      <c r="J17">
        <v>3.3999999999999998E-3</v>
      </c>
      <c r="M17">
        <v>25.5</v>
      </c>
      <c r="N17">
        <v>25.3</v>
      </c>
      <c r="O17" t="s">
        <v>102</v>
      </c>
      <c r="P17">
        <v>5.7000000000000002E-3</v>
      </c>
      <c r="Q17">
        <v>0.05</v>
      </c>
      <c r="R17" t="s">
        <v>102</v>
      </c>
    </row>
    <row r="18" spans="1:18" x14ac:dyDescent="0.25">
      <c r="A18">
        <v>12</v>
      </c>
      <c r="B18" t="s">
        <v>3</v>
      </c>
      <c r="C18" t="s">
        <v>108</v>
      </c>
      <c r="D18">
        <v>25.4</v>
      </c>
      <c r="G18">
        <v>25.404599999999999</v>
      </c>
      <c r="J18">
        <v>4.5999999999999999E-3</v>
      </c>
      <c r="M18">
        <v>25.5</v>
      </c>
      <c r="N18">
        <v>25.3</v>
      </c>
      <c r="O18" t="s">
        <v>102</v>
      </c>
      <c r="P18">
        <v>7.0000000000000001E-3</v>
      </c>
      <c r="Q18">
        <v>0.05</v>
      </c>
      <c r="R18" t="s">
        <v>102</v>
      </c>
    </row>
    <row r="19" spans="1:18" x14ac:dyDescent="0.25">
      <c r="A19">
        <v>13</v>
      </c>
      <c r="B19" t="s">
        <v>4</v>
      </c>
      <c r="C19" t="s">
        <v>108</v>
      </c>
      <c r="D19">
        <v>25.4</v>
      </c>
      <c r="G19">
        <v>25.403500000000001</v>
      </c>
      <c r="J19">
        <v>3.5000000000000001E-3</v>
      </c>
      <c r="M19">
        <v>25.5</v>
      </c>
      <c r="N19">
        <v>25.3</v>
      </c>
      <c r="O19" t="s">
        <v>102</v>
      </c>
      <c r="P19">
        <v>5.1999999999999998E-3</v>
      </c>
      <c r="Q19">
        <v>0.05</v>
      </c>
      <c r="R19" t="s">
        <v>102</v>
      </c>
    </row>
    <row r="20" spans="1:18" x14ac:dyDescent="0.25">
      <c r="A20">
        <v>14</v>
      </c>
      <c r="B20" t="s">
        <v>5</v>
      </c>
      <c r="C20" t="s">
        <v>109</v>
      </c>
      <c r="D20">
        <v>72.887</v>
      </c>
      <c r="G20">
        <v>72.880499999999998</v>
      </c>
      <c r="J20">
        <v>-6.4999999999999997E-3</v>
      </c>
      <c r="M20">
        <v>72.986999999999995</v>
      </c>
      <c r="N20">
        <v>72.787000000000006</v>
      </c>
      <c r="O20" t="s">
        <v>102</v>
      </c>
    </row>
    <row r="21" spans="1:18" x14ac:dyDescent="0.25">
      <c r="A21">
        <v>15</v>
      </c>
      <c r="B21" t="s">
        <v>6</v>
      </c>
      <c r="C21" t="s">
        <v>109</v>
      </c>
      <c r="D21">
        <v>73.745999999999995</v>
      </c>
      <c r="G21">
        <v>73.712199999999996</v>
      </c>
      <c r="J21">
        <v>-3.3799999999999997E-2</v>
      </c>
      <c r="M21">
        <v>73.846000000000004</v>
      </c>
      <c r="N21">
        <v>73.646000000000001</v>
      </c>
      <c r="O21" t="s">
        <v>102</v>
      </c>
    </row>
    <row r="22" spans="1:18" x14ac:dyDescent="0.25">
      <c r="A22">
        <v>16</v>
      </c>
      <c r="B22" t="s">
        <v>7</v>
      </c>
      <c r="C22" t="s">
        <v>109</v>
      </c>
      <c r="D22">
        <v>72.376999999999995</v>
      </c>
      <c r="G22">
        <v>72.341999999999999</v>
      </c>
      <c r="J22">
        <v>-3.5000000000000003E-2</v>
      </c>
      <c r="M22">
        <v>72.477000000000004</v>
      </c>
      <c r="N22">
        <v>72.277000000000001</v>
      </c>
      <c r="O22" t="s">
        <v>102</v>
      </c>
    </row>
    <row r="23" spans="1:18" x14ac:dyDescent="0.25">
      <c r="A23">
        <v>17</v>
      </c>
      <c r="B23" t="s">
        <v>8</v>
      </c>
      <c r="C23" t="s">
        <v>109</v>
      </c>
      <c r="D23">
        <v>72.031000000000006</v>
      </c>
      <c r="G23">
        <v>71.9649</v>
      </c>
      <c r="J23">
        <v>-6.6100000000000006E-2</v>
      </c>
      <c r="M23">
        <v>72.131</v>
      </c>
      <c r="N23">
        <v>71.930999999999997</v>
      </c>
      <c r="O23" t="s">
        <v>102</v>
      </c>
    </row>
    <row r="24" spans="1:18" x14ac:dyDescent="0.25">
      <c r="A24">
        <v>18</v>
      </c>
      <c r="B24" t="s">
        <v>9</v>
      </c>
      <c r="C24" t="s">
        <v>109</v>
      </c>
      <c r="D24">
        <v>75.007000000000005</v>
      </c>
      <c r="G24">
        <v>74.990099999999998</v>
      </c>
      <c r="J24">
        <v>-1.6899999999999998E-2</v>
      </c>
      <c r="M24">
        <v>75.106999999999999</v>
      </c>
      <c r="N24">
        <v>74.906999999999996</v>
      </c>
      <c r="O24" t="s">
        <v>102</v>
      </c>
    </row>
    <row r="25" spans="1:18" x14ac:dyDescent="0.25">
      <c r="A25">
        <v>19</v>
      </c>
      <c r="B25" t="s">
        <v>10</v>
      </c>
      <c r="C25" t="s">
        <v>109</v>
      </c>
      <c r="D25">
        <v>74.007000000000005</v>
      </c>
      <c r="G25">
        <v>73.986199999999997</v>
      </c>
      <c r="J25">
        <v>-2.0799999999999999E-2</v>
      </c>
      <c r="M25">
        <v>74.106999999999999</v>
      </c>
      <c r="N25">
        <v>73.906999999999996</v>
      </c>
      <c r="O25" t="s">
        <v>102</v>
      </c>
    </row>
    <row r="26" spans="1:18" x14ac:dyDescent="0.25">
      <c r="A26">
        <v>20</v>
      </c>
      <c r="B26" t="s">
        <v>11</v>
      </c>
      <c r="C26" t="s">
        <v>109</v>
      </c>
      <c r="D26">
        <v>126</v>
      </c>
      <c r="G26">
        <v>125.93380000000001</v>
      </c>
      <c r="J26">
        <v>-6.6199999999999995E-2</v>
      </c>
      <c r="M26">
        <v>126.1</v>
      </c>
      <c r="N26">
        <v>125.9</v>
      </c>
      <c r="O26" t="s">
        <v>102</v>
      </c>
    </row>
    <row r="27" spans="1:18" x14ac:dyDescent="0.25">
      <c r="A27">
        <v>21</v>
      </c>
      <c r="B27" t="s">
        <v>12</v>
      </c>
      <c r="C27" t="s">
        <v>109</v>
      </c>
      <c r="D27">
        <v>124.004</v>
      </c>
      <c r="G27">
        <v>123.9267</v>
      </c>
      <c r="J27">
        <v>-7.7299999999999994E-2</v>
      </c>
      <c r="M27">
        <v>124.104</v>
      </c>
      <c r="N27">
        <v>123.904</v>
      </c>
      <c r="O27" t="s">
        <v>102</v>
      </c>
    </row>
    <row r="28" spans="1:18" x14ac:dyDescent="0.25">
      <c r="A28">
        <v>22</v>
      </c>
      <c r="B28" t="s">
        <v>13</v>
      </c>
      <c r="C28" t="s">
        <v>109</v>
      </c>
      <c r="D28">
        <v>145.262</v>
      </c>
      <c r="G28">
        <v>145.21960000000001</v>
      </c>
      <c r="J28">
        <v>-4.24E-2</v>
      </c>
      <c r="M28">
        <v>145.36199999999999</v>
      </c>
      <c r="N28">
        <v>145.16200000000001</v>
      </c>
      <c r="O28" t="s">
        <v>102</v>
      </c>
    </row>
    <row r="29" spans="1:18" x14ac:dyDescent="0.25">
      <c r="A29">
        <v>23</v>
      </c>
      <c r="B29" t="s">
        <v>14</v>
      </c>
      <c r="C29" t="s">
        <v>109</v>
      </c>
      <c r="D29">
        <v>145.774</v>
      </c>
      <c r="G29">
        <v>145.6737</v>
      </c>
      <c r="J29">
        <v>-0.1003</v>
      </c>
      <c r="M29">
        <v>145.874</v>
      </c>
      <c r="N29">
        <v>145.67400000000001</v>
      </c>
      <c r="O29" t="s">
        <v>104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0F863-7EFB-46F2-91C8-88F4D30E311B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36</vt:i4>
      </vt:variant>
    </vt:vector>
  </HeadingPairs>
  <TitlesOfParts>
    <vt:vector size="74" baseType="lpstr">
      <vt:lpstr>Summary</vt:lpstr>
      <vt:lpstr>Image 1</vt:lpstr>
      <vt:lpstr>Image 2</vt:lpstr>
      <vt:lpstr>Image 3</vt:lpstr>
      <vt:lpstr>Image 4</vt:lpstr>
      <vt:lpstr>Image 5</vt:lpstr>
      <vt:lpstr>Image 6</vt:lpstr>
      <vt:lpstr>Image 7</vt:lpstr>
      <vt:lpstr>Image 8</vt:lpstr>
      <vt:lpstr>Image 9</vt:lpstr>
      <vt:lpstr>Image 10</vt:lpstr>
      <vt:lpstr>Image 11</vt:lpstr>
      <vt:lpstr>Image 12</vt:lpstr>
      <vt:lpstr>Image 13</vt:lpstr>
      <vt:lpstr>Image 14</vt:lpstr>
      <vt:lpstr>Image 15</vt:lpstr>
      <vt:lpstr>Image 16</vt:lpstr>
      <vt:lpstr>Image 17</vt:lpstr>
      <vt:lpstr>Image 18</vt:lpstr>
      <vt:lpstr>Image 19</vt:lpstr>
      <vt:lpstr>Image 20</vt:lpstr>
      <vt:lpstr>Image 21</vt:lpstr>
      <vt:lpstr>Image 22</vt:lpstr>
      <vt:lpstr>Image 23</vt:lpstr>
      <vt:lpstr>Image 24</vt:lpstr>
      <vt:lpstr>Image 25</vt:lpstr>
      <vt:lpstr>Image 26</vt:lpstr>
      <vt:lpstr>Image 27</vt:lpstr>
      <vt:lpstr>Image 28</vt:lpstr>
      <vt:lpstr>Image 29</vt:lpstr>
      <vt:lpstr>Image 30</vt:lpstr>
      <vt:lpstr>Image 31</vt:lpstr>
      <vt:lpstr>Image 32</vt:lpstr>
      <vt:lpstr>Image 33</vt:lpstr>
      <vt:lpstr>Image 34</vt:lpstr>
      <vt:lpstr>Image 35</vt:lpstr>
      <vt:lpstr>Image 36</vt:lpstr>
      <vt:lpstr>Sheet1</vt:lpstr>
      <vt:lpstr>'Image 1'!BallPlateGen5_Fixture_P509_east_DC_1_1_20210305T010130.csv</vt:lpstr>
      <vt:lpstr>'Image 2'!BallPlateGen5_Fixture_P509_east_DC_1_1_20210305T015628.csv</vt:lpstr>
      <vt:lpstr>'Image 3'!BallPlateGen5_Fixture_P509_east_DC_1_1_20210305T023956.csv</vt:lpstr>
      <vt:lpstr>'Image 4'!BallPlateGen5_Fixture_P509_east_DC_1_2_20210305T010456.csv</vt:lpstr>
      <vt:lpstr>'Image 5'!BallPlateGen5_Fixture_P509_east_DC_1_2_20210305T015954.csv</vt:lpstr>
      <vt:lpstr>'Image 6'!BallPlateGen5_Fixture_P509_east_DC_1_2_20210305T024321.csv</vt:lpstr>
      <vt:lpstr>'Image 7'!BallPlateGen5_Fixture_P509_east_DC_1_3_20210305T010822.csv</vt:lpstr>
      <vt:lpstr>'Image 8'!BallPlateGen5_Fixture_P509_east_DC_1_3_20210305T020319.csv</vt:lpstr>
      <vt:lpstr>'Image 9'!BallPlateGen5_Fixture_P509_east_DC_1_3_20210305T024647.csv</vt:lpstr>
      <vt:lpstr>'Image 10'!BallPlateGen5_Fixture_P509_east_DC_1_4_20210305T011148.csv</vt:lpstr>
      <vt:lpstr>'Image 11'!BallPlateGen5_Fixture_P509_east_DC_1_4_20210305T020645.csv</vt:lpstr>
      <vt:lpstr>'Image 12'!BallPlateGen5_Fixture_P509_east_DC_1_4_20210305T025013.csv</vt:lpstr>
      <vt:lpstr>'Image 13'!BallPlateGen5_Fixture_P509_east_DC_1_5_20210305T011514.csv</vt:lpstr>
      <vt:lpstr>'Image 14'!BallPlateGen5_Fixture_P509_east_DC_1_5_20210305T021010.csv</vt:lpstr>
      <vt:lpstr>'Image 15'!BallPlateGen5_Fixture_P509_east_DC_1_5_20210305T025338.csv</vt:lpstr>
      <vt:lpstr>'Image 16'!BallPlateGen5_Fixture_P509_east_DC_1_6_20210305T011840.csv</vt:lpstr>
      <vt:lpstr>'Image 17'!BallPlateGen5_Fixture_P509_east_DC_1_6_20210305T021336.csv</vt:lpstr>
      <vt:lpstr>'Image 18'!BallPlateGen5_Fixture_P509_east_DC_1_6_20210305T025704.csv</vt:lpstr>
      <vt:lpstr>'Image 19'!BallPlateGen5_Fixture_P509_south_DC_1_1_20210305T013505.csv</vt:lpstr>
      <vt:lpstr>'Image 20'!BallPlateGen5_Fixture_P509_south_DC_1_1_20210305T021821.csv</vt:lpstr>
      <vt:lpstr>'Image 21'!BallPlateGen5_Fixture_P509_south_DC_1_1_20210305T121302.csv</vt:lpstr>
      <vt:lpstr>'Image 22'!BallPlateGen5_Fixture_P509_south_DC_1_2_20210305T013831.csv</vt:lpstr>
      <vt:lpstr>'Image 23'!BallPlateGen5_Fixture_P509_south_DC_1_2_20210305T022147.csv</vt:lpstr>
      <vt:lpstr>'Image 24'!BallPlateGen5_Fixture_P509_south_DC_1_2_20210305T121628.csv</vt:lpstr>
      <vt:lpstr>'Image 25'!BallPlateGen5_Fixture_P509_south_DC_1_3_20210305T014156.csv</vt:lpstr>
      <vt:lpstr>'Image 26'!BallPlateGen5_Fixture_P509_south_DC_1_3_20210305T022512.csv</vt:lpstr>
      <vt:lpstr>'Image 27'!BallPlateGen5_Fixture_P509_south_DC_1_3_20210305T121955.csv</vt:lpstr>
      <vt:lpstr>'Image 28'!BallPlateGen5_Fixture_P509_south_DC_1_4_20210305T014522.csv</vt:lpstr>
      <vt:lpstr>'Image 29'!BallPlateGen5_Fixture_P509_south_DC_1_4_20210305T022838.csv</vt:lpstr>
      <vt:lpstr>'Image 30'!BallPlateGen5_Fixture_P509_south_DC_1_4_20210305T122321.csv</vt:lpstr>
      <vt:lpstr>'Image 31'!BallPlateGen5_Fixture_P509_south_DC_1_5_20210305T014847.csv</vt:lpstr>
      <vt:lpstr>'Image 32'!BallPlateGen5_Fixture_P509_south_DC_1_5_20210305T023204.csv</vt:lpstr>
      <vt:lpstr>'Image 33'!BallPlateGen5_Fixture_P509_south_DC_1_5_20210305T122647.csv</vt:lpstr>
      <vt:lpstr>'Image 34'!BallPlateGen5_Fixture_P509_south_DC_1_6_20210305T015212.csv</vt:lpstr>
      <vt:lpstr>'Image 35'!BallPlateGen5_Fixture_P509_south_DC_1_6_20210305T023529.csv</vt:lpstr>
      <vt:lpstr>'Image 36'!BallPlateGen5_Fixture_P509_south_DC_1_6_20210305T123013.csv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Larry Gutkowski</dc:creator>
  <cp:lastModifiedBy>Gutkowski, Larry</cp:lastModifiedBy>
  <dcterms:created xsi:type="dcterms:W3CDTF">2021-01-15T03:02:01Z</dcterms:created>
  <dcterms:modified xsi:type="dcterms:W3CDTF">2021-03-09T23:18:58Z</dcterms:modified>
</cp:coreProperties>
</file>