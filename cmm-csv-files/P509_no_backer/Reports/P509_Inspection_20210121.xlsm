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cmm\Gen 5 Inspection\Gen5 Inspection\P509\Reports\"/>
    </mc:Choice>
  </mc:AlternateContent>
  <xr:revisionPtr revIDLastSave="0" documentId="13_ncr:1_{8F97603A-0CB2-49AA-88DE-62006E7D057E}" xr6:coauthVersionLast="45" xr6:coauthVersionMax="45" xr10:uidLastSave="{00000000-0000-0000-0000-000000000000}"/>
  <bookViews>
    <workbookView xWindow="3855" yWindow="3855" windowWidth="21600" windowHeight="11385" xr2:uid="{FE919EC7-2BC7-42C9-B4CB-CA0457928EF9}"/>
  </bookViews>
  <sheets>
    <sheet name="Summary" sheetId="44" r:id="rId1"/>
    <sheet name="Image 1" sheetId="46" r:id="rId2"/>
    <sheet name="Image 2" sheetId="47" r:id="rId3"/>
    <sheet name="Image 3" sheetId="48" r:id="rId4"/>
    <sheet name="Image 4" sheetId="49" r:id="rId5"/>
    <sheet name="Image 5" sheetId="50" r:id="rId6"/>
    <sheet name="Image 6" sheetId="51" r:id="rId7"/>
    <sheet name="Image 7" sheetId="52" r:id="rId8"/>
    <sheet name="Image 8" sheetId="53" r:id="rId9"/>
    <sheet name="Image 9" sheetId="54" r:id="rId10"/>
    <sheet name="Image 10" sheetId="55" r:id="rId11"/>
    <sheet name="Image 11" sheetId="56" r:id="rId12"/>
    <sheet name="Image 12" sheetId="57" r:id="rId13"/>
    <sheet name="Image 13" sheetId="58" r:id="rId14"/>
    <sheet name="Image 14" sheetId="59" r:id="rId15"/>
    <sheet name="Image 15" sheetId="60" r:id="rId16"/>
    <sheet name="Image 16" sheetId="61" r:id="rId17"/>
    <sheet name="Image 17" sheetId="62" r:id="rId18"/>
    <sheet name="Image 18" sheetId="63" r:id="rId19"/>
    <sheet name="Image 19" sheetId="64" r:id="rId20"/>
    <sheet name="Image 20" sheetId="65" r:id="rId21"/>
    <sheet name="Image 21" sheetId="66" r:id="rId22"/>
    <sheet name="Image 22" sheetId="67" r:id="rId23"/>
    <sheet name="Image 23" sheetId="68" r:id="rId24"/>
    <sheet name="Image 24" sheetId="69" r:id="rId25"/>
    <sheet name="Image 25" sheetId="70" r:id="rId26"/>
    <sheet name="Image 26" sheetId="71" r:id="rId27"/>
    <sheet name="Image 27" sheetId="72" r:id="rId28"/>
    <sheet name="Image 28" sheetId="73" r:id="rId29"/>
    <sheet name="Image 29" sheetId="74" r:id="rId30"/>
    <sheet name="Image 30" sheetId="75" r:id="rId31"/>
    <sheet name="Image 31" sheetId="76" r:id="rId32"/>
    <sheet name="Image 32" sheetId="77" r:id="rId33"/>
    <sheet name="Image 33" sheetId="78" r:id="rId34"/>
    <sheet name="Image 34" sheetId="79" r:id="rId35"/>
    <sheet name="Image 35" sheetId="80" r:id="rId36"/>
    <sheet name="Image 36" sheetId="81" r:id="rId37"/>
    <sheet name="Sheet1" sheetId="45" r:id="rId38"/>
  </sheets>
  <definedNames>
    <definedName name="BallPlateGen5_Fixture_P509_east_DC_1_1_20210121T031147.csv" localSheetId="1">'Image 1'!$A$1:$R$29</definedName>
    <definedName name="BallPlateGen5_Fixture_P509_east_DC_1_1_20210121T040544.csv" localSheetId="2">'Image 2'!$A$1:$R$29</definedName>
    <definedName name="BallPlateGen5_Fixture_P509_east_DC_1_2_20210121T031512.csv" localSheetId="3">'Image 3'!$A$1:$R$29</definedName>
    <definedName name="BallPlateGen5_Fixture_P509_east_DC_1_2_20210121T040909.csv" localSheetId="4">'Image 4'!$A$1:$R$29</definedName>
    <definedName name="BallPlateGen5_Fixture_P509_east_DC_1_3_20210121T031837.csv" localSheetId="5">'Image 5'!$A$1:$R$29</definedName>
    <definedName name="BallPlateGen5_Fixture_P509_east_DC_1_3_20210121T041234.csv" localSheetId="6">'Image 6'!$A$1:$R$29</definedName>
    <definedName name="BallPlateGen5_Fixture_P509_east_DC_1_4_20210121T032202.csv" localSheetId="7">'Image 7'!$A$1:$R$29</definedName>
    <definedName name="BallPlateGen5_Fixture_P509_east_DC_1_4_20210121T041559.csv" localSheetId="8">'Image 8'!$A$1:$R$29</definedName>
    <definedName name="BallPlateGen5_Fixture_P509_east_DC_1_5_20210121T032527.csv" localSheetId="9">'Image 9'!$A$1:$R$29</definedName>
    <definedName name="BallPlateGen5_Fixture_P509_east_DC_1_5_20210121T041923.csv" localSheetId="10">'Image 10'!$A$1:$R$29</definedName>
    <definedName name="BallPlateGen5_Fixture_P509_east_DC_1_6_20210121T032851.csv" localSheetId="11">'Image 11'!$A$1:$R$29</definedName>
    <definedName name="BallPlateGen5_Fixture_P509_east_DC_1_6_20210121T042248.csv" localSheetId="12">'Image 12'!$A$1:$R$29</definedName>
    <definedName name="BallPlateGen5_Fixture_P509_east_DC_4_1_20210121T022653.csv" localSheetId="13">'Image 13'!$A$1:$R$29</definedName>
    <definedName name="BallPlateGen5_Fixture_P509_east_DC_4_2_20210121T023018.csv" localSheetId="14">'Image 14'!$A$1:$R$29</definedName>
    <definedName name="BallPlateGen5_Fixture_P509_east_DC_4_3_20210121T023342.csv" localSheetId="15">'Image 15'!$A$1:$R$29</definedName>
    <definedName name="BallPlateGen5_Fixture_P509_east_DC_4_4_20210121T023707.csv" localSheetId="16">'Image 16'!$A$1:$R$29</definedName>
    <definedName name="BallPlateGen5_Fixture_P509_east_DC_4_5_20210121T024032.csv" localSheetId="17">'Image 17'!$A$1:$R$29</definedName>
    <definedName name="BallPlateGen5_Fixture_P509_east_DC_4_6_20210121T024357.csv" localSheetId="18">'Image 18'!$A$1:$R$29</definedName>
    <definedName name="BallPlateGen5_Fixture_P509_south_DC_1_1_20210121T024921.csv" localSheetId="19">'Image 19'!$A$1:$R$29</definedName>
    <definedName name="BallPlateGen5_Fixture_P509_south_DC_1_1_20210121T034041.csv" localSheetId="20">'Image 20'!$A$1:$R$29</definedName>
    <definedName name="BallPlateGen5_Fixture_P509_south_DC_1_2_20210121T025246.csv" localSheetId="21">'Image 21'!$A$1:$R$29</definedName>
    <definedName name="BallPlateGen5_Fixture_P509_south_DC_1_2_20210121T034406.csv" localSheetId="22">'Image 22'!$A$1:$R$29</definedName>
    <definedName name="BallPlateGen5_Fixture_P509_south_DC_1_3_20210121T025611.csv" localSheetId="23">'Image 23'!$A$1:$R$29</definedName>
    <definedName name="BallPlateGen5_Fixture_P509_south_DC_1_3_20210121T034731.csv" localSheetId="24">'Image 24'!$A$1:$R$29</definedName>
    <definedName name="BallPlateGen5_Fixture_P509_south_DC_1_4_20210121T025935.csv" localSheetId="25">'Image 25'!$A$1:$R$29</definedName>
    <definedName name="BallPlateGen5_Fixture_P509_south_DC_1_4_20210121T035056.csv" localSheetId="26">'Image 26'!$A$1:$R$29</definedName>
    <definedName name="BallPlateGen5_Fixture_P509_south_DC_1_5_20210121T030300.csv" localSheetId="27">'Image 27'!$A$1:$R$29</definedName>
    <definedName name="BallPlateGen5_Fixture_P509_south_DC_1_5_20210121T035420.csv" localSheetId="28">'Image 28'!$A$1:$R$29</definedName>
    <definedName name="BallPlateGen5_Fixture_P509_south_DC_1_6_20210121T030625.csv" localSheetId="29">'Image 29'!$A$1:$R$29</definedName>
    <definedName name="BallPlateGen5_Fixture_P509_south_DC_1_6_20210121T035745.csv" localSheetId="30">'Image 30'!$A$1:$R$29</definedName>
    <definedName name="BallPlateGen5_Fixture_P509_south_DC_2_1_20210121T015208.csv" localSheetId="31">'Image 31'!$A$1:$R$29</definedName>
    <definedName name="BallPlateGen5_Fixture_P509_south_DC_2_2_20210121T015533.csv" localSheetId="32">'Image 32'!$A$1:$R$29</definedName>
    <definedName name="BallPlateGen5_Fixture_P509_south_DC_2_3_20210121T015858.csv" localSheetId="33">'Image 33'!$A$1:$R$29</definedName>
    <definedName name="BallPlateGen5_Fixture_P509_south_DC_2_4_20210121T020223.csv" localSheetId="34">'Image 34'!$A$1:$R$29</definedName>
    <definedName name="BallPlateGen5_Fixture_P509_south_DC_2_5_20210121T020548.csv" localSheetId="35">'Image 35'!$A$1:$R$29</definedName>
    <definedName name="BallPlateGen5_Fixture_P509_south_DC_2_6_20210121T020913.csv" localSheetId="36">'Image 36'!$A$1:$R$29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5" i="44" l="1" a="1"/>
  <c r="H25" i="44" a="1"/>
  <c r="Z25" i="44" a="1"/>
  <c r="AF25" i="44" a="1"/>
  <c r="AL25" i="44" a="1"/>
  <c r="AR25" i="44" a="1"/>
  <c r="F37" i="44" a="1"/>
  <c r="X37" i="44" a="1"/>
  <c r="AD37" i="44" a="1"/>
  <c r="AJ37" i="44" a="1"/>
  <c r="AP37" i="44" a="1"/>
  <c r="D26" i="44" a="1"/>
  <c r="J26" i="44" a="1"/>
  <c r="V26" i="44" a="1"/>
  <c r="AB26" i="44" a="1"/>
  <c r="AH26" i="44" a="1"/>
  <c r="AN26" i="44" a="1"/>
  <c r="AT26" i="44" a="1"/>
  <c r="B38" i="44" a="1"/>
  <c r="Z38" i="44" a="1"/>
  <c r="AF38" i="44" a="1"/>
  <c r="AL38" i="44" a="1"/>
  <c r="X27" i="44" a="1"/>
  <c r="AD27" i="44" a="1"/>
  <c r="AP27" i="44" a="1"/>
  <c r="D39" i="44" a="1"/>
  <c r="AB39" i="44" a="1"/>
  <c r="AN39" i="44" a="1"/>
  <c r="AJ38" i="44" a="1"/>
  <c r="AT27" i="44" a="1"/>
  <c r="C38" i="44" a="1"/>
  <c r="AG38" i="44" a="1"/>
  <c r="AS38" i="44" a="1"/>
  <c r="Y27" i="44" a="1"/>
  <c r="AK27" i="44" a="1"/>
  <c r="K39" i="44" a="1"/>
  <c r="W39" i="44" a="1"/>
  <c r="AI39" i="44" a="1"/>
  <c r="C25" i="44" a="1"/>
  <c r="I25" i="44" a="1"/>
  <c r="AA25" i="44" a="1"/>
  <c r="AG25" i="44" a="1"/>
  <c r="AM25" i="44" a="1"/>
  <c r="AS25" i="44" a="1"/>
  <c r="G37" i="44" a="1"/>
  <c r="Y37" i="44" a="1"/>
  <c r="AE37" i="44" a="1"/>
  <c r="AK37" i="44" a="1"/>
  <c r="AQ37" i="44" a="1"/>
  <c r="E26" i="44" a="1"/>
  <c r="K26" i="44" a="1"/>
  <c r="W26" i="44" a="1"/>
  <c r="AC26" i="44" a="1"/>
  <c r="AI26" i="44" a="1"/>
  <c r="AO26" i="44" a="1"/>
  <c r="I38" i="44" a="1"/>
  <c r="AA38" i="44" a="1"/>
  <c r="AM38" i="44" a="1"/>
  <c r="G27" i="44" a="1"/>
  <c r="AE27" i="44" a="1"/>
  <c r="AQ27" i="44" a="1"/>
  <c r="E39" i="44" a="1"/>
  <c r="AC39" i="44" a="1"/>
  <c r="AO39" i="44" a="1"/>
  <c r="AP38" i="44" a="1"/>
  <c r="B39" i="44" a="1"/>
  <c r="AP26" i="44" a="1"/>
  <c r="V38" i="44" a="1"/>
  <c r="AH38" i="44" a="1"/>
  <c r="AT38" i="44" a="1"/>
  <c r="H27" i="44" a="1"/>
  <c r="AF27" i="44" a="1"/>
  <c r="AR27" i="44" a="1"/>
  <c r="F39" i="44" a="1"/>
  <c r="X39" i="44" a="1"/>
  <c r="AJ39" i="44" a="1"/>
  <c r="H26" i="44" a="1"/>
  <c r="X38" i="44" a="1"/>
  <c r="AN27" i="44" a="1"/>
  <c r="AL39" i="44" a="1"/>
  <c r="D25" i="44" a="1"/>
  <c r="J25" i="44" a="1"/>
  <c r="V25" i="44" a="1"/>
  <c r="AB25" i="44" a="1"/>
  <c r="AH25" i="44" a="1"/>
  <c r="AN25" i="44" a="1"/>
  <c r="AT25" i="44" a="1"/>
  <c r="B37" i="44" a="1"/>
  <c r="H37" i="44" a="1"/>
  <c r="Z37" i="44" a="1"/>
  <c r="AF37" i="44" a="1"/>
  <c r="AL37" i="44" a="1"/>
  <c r="AR37" i="44" a="1"/>
  <c r="F26" i="44" a="1"/>
  <c r="X26" i="44" a="1"/>
  <c r="AD26" i="44" a="1"/>
  <c r="AJ26" i="44" a="1"/>
  <c r="D38" i="44" a="1"/>
  <c r="J38" i="44" a="1"/>
  <c r="AB38" i="44" a="1"/>
  <c r="AN38" i="44" a="1"/>
  <c r="B27" i="44" a="1"/>
  <c r="Z27" i="44" a="1"/>
  <c r="AL27" i="44" a="1"/>
  <c r="AD39" i="44" a="1"/>
  <c r="AP39" i="44" a="1"/>
  <c r="AF26" i="44" a="1"/>
  <c r="AD38" i="44" a="1"/>
  <c r="AB27" i="44" a="1"/>
  <c r="AR39" i="44" a="1"/>
  <c r="AS39" i="44" a="1"/>
  <c r="K38" i="44" a="1"/>
  <c r="AO38" i="44" a="1"/>
  <c r="I27" i="44" a="1"/>
  <c r="AG27" i="44" a="1"/>
  <c r="AS27" i="44" a="1"/>
  <c r="Y39" i="44" a="1"/>
  <c r="AK39" i="44" a="1"/>
  <c r="B26" i="44" a="1"/>
  <c r="D27" i="44" a="1"/>
  <c r="Z39" i="44" a="1"/>
  <c r="E25" i="44" a="1"/>
  <c r="K25" i="44" a="1"/>
  <c r="W25" i="44" a="1"/>
  <c r="AC25" i="44" a="1"/>
  <c r="AI25" i="44" a="1"/>
  <c r="AO25" i="44" a="1"/>
  <c r="C37" i="44" a="1"/>
  <c r="I37" i="44" a="1"/>
  <c r="AA37" i="44" a="1"/>
  <c r="AG37" i="44" a="1"/>
  <c r="AM37" i="44" a="1"/>
  <c r="AS37" i="44" a="1"/>
  <c r="G26" i="44" a="1"/>
  <c r="Y26" i="44" a="1"/>
  <c r="AE26" i="44" a="1"/>
  <c r="AK26" i="44" a="1"/>
  <c r="AQ26" i="44" a="1"/>
  <c r="E38" i="44" a="1"/>
  <c r="W38" i="44" a="1"/>
  <c r="AC38" i="44" a="1"/>
  <c r="AI38" i="44" a="1"/>
  <c r="C27" i="44" a="1"/>
  <c r="AA27" i="44" a="1"/>
  <c r="AM27" i="44" a="1"/>
  <c r="G39" i="44" a="1"/>
  <c r="AE39" i="44" a="1"/>
  <c r="AQ39" i="44" a="1"/>
  <c r="Z26" i="44" a="1"/>
  <c r="AH27" i="44" a="1"/>
  <c r="AM39" i="44" a="1"/>
  <c r="F25" i="44" a="1"/>
  <c r="X25" i="44" a="1"/>
  <c r="AD25" i="44" a="1"/>
  <c r="AJ25" i="44" a="1"/>
  <c r="AP25" i="44" a="1"/>
  <c r="D37" i="44" a="1"/>
  <c r="J37" i="44" a="1"/>
  <c r="V37" i="44" a="1"/>
  <c r="AB37" i="44" a="1"/>
  <c r="AH37" i="44" a="1"/>
  <c r="AN37" i="44" a="1"/>
  <c r="AT37" i="44" a="1"/>
  <c r="AL26" i="44" a="1"/>
  <c r="AR26" i="44" a="1"/>
  <c r="J27" i="44" a="1"/>
  <c r="H39" i="44" a="1"/>
  <c r="AG39" i="44" a="1"/>
  <c r="G25" i="44" a="1"/>
  <c r="Y25" i="44" a="1"/>
  <c r="AE25" i="44" a="1"/>
  <c r="AK25" i="44" a="1"/>
  <c r="AQ25" i="44" a="1"/>
  <c r="E37" i="44" a="1"/>
  <c r="K37" i="44" a="1"/>
  <c r="W37" i="44" a="1"/>
  <c r="AC37" i="44" a="1"/>
  <c r="AI37" i="44" a="1"/>
  <c r="AO37" i="44" a="1"/>
  <c r="C26" i="44" a="1"/>
  <c r="I26" i="44" a="1"/>
  <c r="AA26" i="44" a="1"/>
  <c r="AG26" i="44" a="1"/>
  <c r="AM26" i="44" a="1"/>
  <c r="AS26" i="44" a="1"/>
  <c r="G38" i="44" a="1"/>
  <c r="Y38" i="44" a="1"/>
  <c r="AE38" i="44" a="1"/>
  <c r="AK38" i="44" a="1"/>
  <c r="AQ38" i="44" a="1"/>
  <c r="E27" i="44" a="1"/>
  <c r="K27" i="44" a="1"/>
  <c r="W27" i="44" a="1"/>
  <c r="AC27" i="44" a="1"/>
  <c r="AI27" i="44" a="1"/>
  <c r="AO27" i="44" a="1"/>
  <c r="C39" i="44" a="1"/>
  <c r="I39" i="44" a="1"/>
  <c r="AA39" i="44" a="1"/>
  <c r="H38" i="44" a="1"/>
  <c r="AR38" i="44" a="1"/>
  <c r="F27" i="44" a="1"/>
  <c r="AJ27" i="44" a="1"/>
  <c r="J39" i="44" a="1"/>
  <c r="V39" i="44" a="1"/>
  <c r="AH39" i="44" a="1"/>
  <c r="AT39" i="44" a="1"/>
  <c r="F38" i="44" a="1"/>
  <c r="V27" i="44" a="1"/>
  <c r="AF39" i="44" a="1"/>
  <c r="V11" i="44" a="1"/>
  <c r="AI40" i="44" a="1"/>
  <c r="AB17" i="44" a="1"/>
  <c r="AO14" i="44" a="1"/>
  <c r="AI28" i="44" a="1"/>
  <c r="Z19" i="44" a="1"/>
  <c r="G35" i="44" a="1"/>
  <c r="V41" i="44" a="1"/>
  <c r="AF21" i="44" a="1"/>
  <c r="AL42" i="44" a="1"/>
  <c r="D10" i="44" a="1"/>
  <c r="AT31" i="44" a="1"/>
  <c r="Z24" i="44" a="1"/>
  <c r="AC13" i="44" a="1"/>
  <c r="AI33" i="44" a="1"/>
  <c r="C22" i="44" a="1"/>
  <c r="Y17" i="44" a="1"/>
  <c r="V34" i="44" a="1"/>
  <c r="AQ14" i="44" a="1"/>
  <c r="D40" i="44" a="1"/>
  <c r="AP30" i="44" a="1"/>
  <c r="AG10" i="44" a="1"/>
  <c r="AH28" i="44" a="1"/>
  <c r="AK40" i="44" a="1"/>
  <c r="E17" i="44" a="1"/>
  <c r="H11" i="44" a="1"/>
  <c r="AF20" i="44" a="1"/>
  <c r="AE14" i="44" a="1"/>
  <c r="H42" i="44" a="1"/>
  <c r="AB42" i="44" a="1"/>
  <c r="AM32" i="44" a="1"/>
  <c r="V8" i="44" a="1"/>
  <c r="AB36" i="44" a="1"/>
  <c r="G34" i="44" a="1"/>
  <c r="AS32" i="44" a="1"/>
  <c r="AS36" i="44" a="1"/>
  <c r="E24" i="44" a="1"/>
  <c r="K10" i="44" a="1"/>
  <c r="I33" i="44" a="1"/>
  <c r="B40" i="44" a="1"/>
  <c r="I7" i="44" a="1"/>
  <c r="AN23" i="44" a="1"/>
  <c r="J18" i="44" a="1"/>
  <c r="AH9" i="44" a="1"/>
  <c r="X9" i="44" a="1"/>
  <c r="E36" i="44" a="1"/>
  <c r="C21" i="44" a="1"/>
  <c r="X12" i="44" a="1"/>
  <c r="AA33" i="44" a="1"/>
  <c r="X21" i="44" a="1"/>
  <c r="AO21" i="44" a="1"/>
  <c r="AD9" i="44" a="1"/>
  <c r="AI42" i="44" a="1"/>
  <c r="Y10" i="44" a="1"/>
  <c r="AG7" i="44" a="1"/>
  <c r="D18" i="44" a="1"/>
  <c r="AC24" i="44" a="1"/>
  <c r="AN42" i="44" a="1"/>
  <c r="AE21" i="44" a="1"/>
  <c r="AT11" i="44" a="1"/>
  <c r="AN34" i="44" a="1"/>
  <c r="AG14" i="44" a="1"/>
  <c r="W29" i="44" a="1"/>
  <c r="AO15" i="44" a="1"/>
  <c r="Z41" i="44" a="1"/>
  <c r="AG21" i="44" a="1"/>
  <c r="X31" i="44" a="1"/>
  <c r="AH17" i="44" a="1"/>
  <c r="AB34" i="44" a="1"/>
  <c r="AS21" i="44" a="1"/>
  <c r="G41" i="44" a="1"/>
  <c r="AJ22" i="44" a="1"/>
  <c r="AM15" i="44" a="1"/>
  <c r="Y24" i="44" a="1"/>
  <c r="AC41" i="44" a="1"/>
  <c r="W33" i="44" a="1"/>
  <c r="AS40" i="44" a="1"/>
  <c r="AL28" i="44" a="1"/>
  <c r="AN24" i="44" a="1"/>
  <c r="Z18" i="44" a="1"/>
  <c r="AE16" i="44" a="1"/>
  <c r="I41" i="44" a="1"/>
  <c r="AB23" i="44" a="1"/>
  <c r="AF36" i="44" a="1"/>
  <c r="AA24" i="44" a="1"/>
  <c r="Y7" i="44" a="1"/>
  <c r="AJ28" i="44" a="1"/>
  <c r="I29" i="44" a="1"/>
  <c r="I32" i="44" a="1"/>
  <c r="AD7" i="44" a="1"/>
  <c r="AQ18" i="44" a="1"/>
  <c r="AF14" i="44" a="1"/>
  <c r="V33" i="44" a="1"/>
  <c r="AP29" i="44" a="1"/>
  <c r="AR10" i="44" a="1"/>
  <c r="AN41" i="44" a="1"/>
  <c r="Z9" i="44" a="1"/>
  <c r="F32" i="44" a="1"/>
  <c r="AF16" i="44" a="1"/>
  <c r="AB41" i="44" a="1"/>
  <c r="AC22" i="44" a="1"/>
  <c r="AK23" i="44" a="1"/>
  <c r="AQ28" i="44" a="1"/>
  <c r="AM12" i="44" a="1"/>
  <c r="C31" i="44" a="1"/>
  <c r="AI41" i="44" a="1"/>
  <c r="K8" i="44" a="1"/>
  <c r="AS18" i="44" a="1"/>
  <c r="C24" i="44" a="1"/>
  <c r="AO22" i="44" a="1"/>
  <c r="Z33" i="44" a="1"/>
  <c r="D12" i="44" a="1"/>
  <c r="AE7" i="44" a="1"/>
  <c r="AS34" i="44" a="1"/>
  <c r="C14" i="44" a="1"/>
  <c r="AJ24" i="44" a="1"/>
  <c r="X11" i="44" a="1"/>
  <c r="AO20" i="44" a="1"/>
  <c r="K23" i="44" a="1"/>
  <c r="AN40" i="44" a="1"/>
  <c r="AH35" i="44" a="1"/>
  <c r="AG22" i="44" a="1"/>
  <c r="K21" i="44" a="1"/>
  <c r="AK12" i="44" a="1"/>
  <c r="AD20" i="44" a="1"/>
  <c r="AQ19" i="44" a="1"/>
  <c r="AP23" i="44" a="1"/>
  <c r="AR21" i="44" a="1"/>
  <c r="F22" i="44" a="1"/>
  <c r="AS30" i="44" a="1"/>
  <c r="AG23" i="44" a="1"/>
  <c r="AL15" i="44" a="1"/>
  <c r="J19" i="44" a="1"/>
  <c r="W11" i="44" a="1"/>
  <c r="AH20" i="44" a="1"/>
  <c r="D19" i="44" a="1"/>
  <c r="F28" i="44" a="1"/>
  <c r="AI35" i="44" a="1"/>
  <c r="AS7" i="44" a="1"/>
  <c r="AQ24" i="44" a="1"/>
  <c r="F14" i="44" a="1"/>
  <c r="D41" i="44" a="1"/>
  <c r="K32" i="44" a="1"/>
  <c r="Y21" i="44" a="1"/>
  <c r="AP32" i="44" a="1"/>
  <c r="AR30" i="44" a="1"/>
  <c r="I19" i="44" a="1"/>
  <c r="I24" i="44" a="1"/>
  <c r="AO34" i="44" a="1"/>
  <c r="AD13" i="44" a="1"/>
  <c r="AO31" i="44" a="1"/>
  <c r="Z40" i="44" a="1"/>
  <c r="AS13" i="44" a="1"/>
  <c r="H36" i="44" a="1"/>
  <c r="J16" i="44" a="1"/>
  <c r="AA15" i="44" a="1"/>
  <c r="AA35" i="44" a="1"/>
  <c r="AI21" i="44" a="1"/>
  <c r="J35" i="44" a="1"/>
  <c r="AE42" i="44" a="1"/>
  <c r="J42" i="44" a="1"/>
  <c r="E30" i="44" a="1"/>
  <c r="K9" i="44" a="1"/>
  <c r="AC17" i="44" a="1"/>
  <c r="Y35" i="44" a="1"/>
  <c r="AM23" i="44" a="1"/>
  <c r="AF32" i="44" a="1"/>
  <c r="AM19" i="44" a="1"/>
  <c r="K18" i="44" a="1"/>
  <c r="AJ32" i="44" a="1"/>
  <c r="AM36" i="44" a="1"/>
  <c r="AK24" i="44" a="1"/>
  <c r="AF13" i="44" a="1"/>
  <c r="AM7" i="44" a="1"/>
  <c r="AH12" i="44" a="1"/>
  <c r="B31" i="44" a="1"/>
  <c r="AR15" i="44" a="1"/>
  <c r="B21" i="44" a="1"/>
  <c r="E31" i="44" a="1"/>
  <c r="AK41" i="44" a="1"/>
  <c r="AI13" i="44" a="1"/>
  <c r="D34" i="44" a="1"/>
  <c r="AH34" i="44" a="1"/>
  <c r="AM10" i="44" a="1"/>
  <c r="AQ36" i="44" a="1"/>
  <c r="AH13" i="44" a="1"/>
  <c r="AO7" i="44" a="1"/>
  <c r="AN33" i="44" a="1"/>
  <c r="AF28" i="44" a="1"/>
  <c r="W36" i="44" a="1"/>
  <c r="AO33" i="44" a="1"/>
  <c r="C40" i="44" a="1"/>
  <c r="AA7" i="44" a="1"/>
  <c r="AD30" i="44" a="1"/>
  <c r="W16" i="44" a="1"/>
  <c r="AH22" i="44" a="1"/>
  <c r="Y12" i="44" a="1"/>
  <c r="AQ15" i="44" a="1"/>
  <c r="AC18" i="44" a="1"/>
  <c r="Z10" i="44" a="1"/>
  <c r="AF29" i="44" a="1"/>
  <c r="AJ36" i="44" a="1"/>
  <c r="F17" i="44" a="1"/>
  <c r="F35" i="44" a="1"/>
  <c r="B20" i="44" a="1"/>
  <c r="AF24" i="44" a="1"/>
  <c r="J23" i="44" a="1"/>
  <c r="Z29" i="44" a="1"/>
  <c r="E15" i="44" a="1"/>
  <c r="AC42" i="44" a="1"/>
  <c r="AC20" i="44" a="1"/>
  <c r="AP8" i="44" a="1"/>
  <c r="K16" i="44" a="1"/>
  <c r="AD14" i="44" a="1"/>
  <c r="C34" i="44" a="1"/>
  <c r="B10" i="44" a="1"/>
  <c r="I42" i="44" a="1"/>
  <c r="V7" i="44" a="1"/>
  <c r="C7" i="44" a="1"/>
  <c r="AA29" i="44" a="1"/>
  <c r="J10" i="44" a="1"/>
  <c r="V17" i="44" a="1"/>
  <c r="AT13" i="44" a="1"/>
  <c r="AE13" i="44" a="1"/>
  <c r="AN32" i="44" a="1"/>
  <c r="W14" i="44" a="1"/>
  <c r="AS20" i="44" a="1"/>
  <c r="AJ42" i="44" a="1"/>
  <c r="AJ10" i="44" a="1"/>
  <c r="AE8" i="44" a="1"/>
  <c r="W18" i="44" a="1"/>
  <c r="AG34" i="44" a="1"/>
  <c r="H30" i="44" a="1"/>
  <c r="AO30" i="44" a="1"/>
  <c r="AT14" i="44" a="1"/>
  <c r="G28" i="44" a="1"/>
  <c r="J24" i="44" a="1"/>
  <c r="H23" i="44" a="1"/>
  <c r="J8" i="44" a="1"/>
  <c r="AG30" i="44" a="1"/>
  <c r="AN30" i="44" a="1"/>
  <c r="AQ31" i="44" a="1"/>
  <c r="AQ22" i="44" a="1"/>
  <c r="Y36" i="44" a="1"/>
  <c r="AA34" i="44" a="1"/>
  <c r="B7" i="44" a="1"/>
  <c r="AL13" i="44" a="1"/>
  <c r="AQ8" i="44" a="1"/>
  <c r="G30" i="44" a="1"/>
  <c r="W40" i="44" a="1"/>
  <c r="G31" i="44" a="1"/>
  <c r="AB14" i="44" a="1"/>
  <c r="G8" i="44" a="1"/>
  <c r="F18" i="44" a="1"/>
  <c r="K20" i="44" a="1"/>
  <c r="J21" i="44" a="1"/>
  <c r="AR31" i="44" a="1"/>
  <c r="AB8" i="44" a="1"/>
  <c r="D17" i="44" a="1"/>
  <c r="V15" i="44" a="1"/>
  <c r="AD10" i="44" a="1"/>
  <c r="C30" i="44" a="1"/>
  <c r="AA41" i="44" a="1"/>
  <c r="AQ40" i="44" a="1"/>
  <c r="E14" i="44" a="1"/>
  <c r="J12" i="44" a="1"/>
  <c r="AF7" i="44" a="1"/>
  <c r="AK13" i="44" a="1"/>
  <c r="AB15" i="44" a="1"/>
  <c r="J28" i="44" a="1"/>
  <c r="AI24" i="44" a="1"/>
  <c r="AA23" i="44" a="1"/>
  <c r="B42" i="44" a="1"/>
  <c r="AO32" i="44" a="1"/>
  <c r="AM31" i="44" a="1"/>
  <c r="AQ12" i="44" a="1"/>
  <c r="AL9" i="44" a="1"/>
  <c r="AE23" i="44" a="1"/>
  <c r="AA20" i="44" a="1"/>
  <c r="AF12" i="44" a="1"/>
  <c r="AD29" i="44" a="1"/>
  <c r="E19" i="44" a="1"/>
  <c r="AH40" i="44" a="1"/>
  <c r="H18" i="44" a="1"/>
  <c r="AN29" i="44" a="1"/>
  <c r="AL35" i="44" a="1"/>
  <c r="AT36" i="44" a="1"/>
  <c r="AC28" i="44" a="1"/>
  <c r="AT33" i="44" a="1"/>
  <c r="AK21" i="44" a="1"/>
  <c r="AJ16" i="44" a="1"/>
  <c r="AJ15" i="44" a="1"/>
  <c r="E12" i="44" a="1"/>
  <c r="AL24" i="44" a="1"/>
  <c r="V16" i="44" a="1"/>
  <c r="J40" i="44" a="1"/>
  <c r="AM8" i="44" a="1"/>
  <c r="AI8" i="44" a="1"/>
  <c r="AQ42" i="44" a="1"/>
  <c r="F10" i="44" a="1"/>
  <c r="AD18" i="44" a="1"/>
  <c r="AE31" i="44" a="1"/>
  <c r="AP10" i="44" a="1"/>
  <c r="E33" i="44" a="1"/>
  <c r="AH41" i="44" a="1"/>
  <c r="AT8" i="44" a="1"/>
  <c r="AH24" i="44" a="1"/>
  <c r="AH30" i="44" a="1"/>
  <c r="V10" i="44" a="1"/>
  <c r="AB13" i="44" a="1"/>
  <c r="AA40" i="44" a="1"/>
  <c r="F12" i="44" a="1"/>
  <c r="C32" i="44" a="1"/>
  <c r="AS28" i="44" a="1"/>
  <c r="AB16" i="44" a="1"/>
  <c r="AG15" i="44" a="1"/>
  <c r="AI34" i="44" a="1"/>
  <c r="AC29" i="44" a="1"/>
  <c r="C28" i="44" a="1"/>
  <c r="AT34" i="44" a="1"/>
  <c r="AG24" i="44" a="1"/>
  <c r="Z15" i="44" a="1"/>
  <c r="W42" i="44" a="1"/>
  <c r="AT10" i="44" a="1"/>
  <c r="AK28" i="44" a="1"/>
  <c r="I16" i="44" a="1"/>
  <c r="B13" i="44" a="1"/>
  <c r="AI14" i="44" a="1"/>
  <c r="AN21" i="44" a="1"/>
  <c r="E10" i="44" a="1"/>
  <c r="D8" i="44" a="1"/>
  <c r="AT9" i="44" a="1"/>
  <c r="B34" i="44" a="1"/>
  <c r="AL8" i="44" a="1"/>
  <c r="AB40" i="44" a="1"/>
  <c r="H16" i="44" a="1"/>
  <c r="AL22" i="44" a="1"/>
  <c r="G23" i="44" a="1"/>
  <c r="Y40" i="44" a="1"/>
  <c r="AS41" i="44" a="1"/>
  <c r="AM42" i="44" a="1"/>
  <c r="AA13" i="44" a="1"/>
  <c r="G12" i="44" a="1"/>
  <c r="AF42" i="44" a="1"/>
  <c r="H20" i="44" a="1"/>
  <c r="AT28" i="44" a="1"/>
  <c r="AI22" i="44" a="1"/>
  <c r="AS24" i="44" a="1"/>
  <c r="G32" i="44" a="1"/>
  <c r="AI15" i="44" a="1"/>
  <c r="Z42" i="44" a="1"/>
  <c r="H32" i="44" a="1"/>
  <c r="AN31" i="44" a="1"/>
  <c r="AR12" i="44" a="1"/>
  <c r="AJ31" i="44" a="1"/>
  <c r="AE34" i="44" a="1"/>
  <c r="AK9" i="44" a="1"/>
  <c r="F11" i="44" a="1"/>
  <c r="D29" i="44" a="1"/>
  <c r="X36" i="44" a="1"/>
  <c r="AH14" i="44" a="1"/>
  <c r="I30" i="44" a="1"/>
  <c r="J32" i="44" a="1"/>
  <c r="Z20" i="44" a="1"/>
  <c r="AR23" i="44" a="1"/>
  <c r="X13" i="44" a="1"/>
  <c r="AG40" i="44" a="1"/>
  <c r="AI31" i="44" a="1"/>
  <c r="Z16" i="44" a="1"/>
  <c r="AB24" i="44" a="1"/>
  <c r="F42" i="44" a="1"/>
  <c r="AR7" i="44" a="1"/>
  <c r="AP16" i="44" a="1"/>
  <c r="AF41" i="44" a="1"/>
  <c r="AI20" i="44" a="1"/>
  <c r="AL36" i="44" a="1"/>
  <c r="AB22" i="44" a="1"/>
  <c r="V13" i="44" a="1"/>
  <c r="AH29" i="44" a="1"/>
  <c r="AO42" i="44" a="1"/>
  <c r="F24" i="44" a="1"/>
  <c r="G21" i="44" a="1"/>
  <c r="K7" i="44" a="1"/>
  <c r="X17" i="44" a="1"/>
  <c r="AQ23" i="44" a="1"/>
  <c r="K30" i="44" a="1"/>
  <c r="Z12" i="44" a="1"/>
  <c r="H15" i="44" a="1"/>
  <c r="AL29" i="44" a="1"/>
  <c r="AM20" i="44" a="1"/>
  <c r="AK32" i="44" a="1"/>
  <c r="Y31" i="44" a="1"/>
  <c r="AT32" i="44" a="1"/>
  <c r="AN35" i="44" a="1"/>
  <c r="J30" i="44" a="1"/>
  <c r="K41" i="44" a="1"/>
  <c r="AB7" i="44" a="1"/>
  <c r="AM16" i="44" a="1"/>
  <c r="B14" i="44" a="1"/>
  <c r="AR41" i="44" a="1"/>
  <c r="I12" i="44" a="1"/>
  <c r="I20" i="44" a="1"/>
  <c r="AE28" i="44" a="1"/>
  <c r="V30" i="44" a="1"/>
  <c r="AI10" i="44" a="1"/>
  <c r="AC12" i="44" a="1"/>
  <c r="D30" i="44" a="1"/>
  <c r="AG36" i="44" a="1"/>
  <c r="AM30" i="44" a="1"/>
  <c r="AI11" i="44" a="1"/>
  <c r="AE18" i="44" a="1"/>
  <c r="G42" i="44" a="1"/>
  <c r="AI17" i="44" a="1"/>
  <c r="F8" i="44" a="1"/>
  <c r="I21" i="44" a="1"/>
  <c r="Y28" i="44" a="1"/>
  <c r="K36" i="44" a="1"/>
  <c r="AH23" i="44" a="1"/>
  <c r="F36" i="44" a="1"/>
  <c r="I28" i="44" a="1"/>
  <c r="K22" i="44" a="1"/>
  <c r="F40" i="44" a="1"/>
  <c r="F16" i="44" a="1"/>
  <c r="AB21" i="44" a="1"/>
  <c r="E9" i="44" a="1"/>
  <c r="AM18" i="44" a="1"/>
  <c r="AM24" i="44" a="1"/>
  <c r="AP14" i="44" a="1"/>
  <c r="E32" i="44" a="1"/>
  <c r="B29" i="44" a="1"/>
  <c r="D21" i="44" a="1"/>
  <c r="J36" i="44" a="1"/>
  <c r="AK34" i="44" a="1"/>
  <c r="AJ21" i="44" a="1"/>
  <c r="AR32" i="44" a="1"/>
  <c r="AR17" i="44" a="1"/>
  <c r="F31" i="44" a="1"/>
  <c r="AE22" i="44" a="1"/>
  <c r="G18" i="44" a="1"/>
  <c r="AC23" i="44" a="1"/>
  <c r="AT15" i="44" a="1"/>
  <c r="C35" i="44" a="1"/>
  <c r="W21" i="44" a="1"/>
  <c r="E20" i="44" a="1"/>
  <c r="AR18" i="44" a="1"/>
  <c r="C17" i="44" a="1"/>
  <c r="H13" i="44" a="1"/>
  <c r="AC34" i="44" a="1"/>
  <c r="AR16" i="44" a="1"/>
  <c r="W17" i="44" a="1"/>
  <c r="AR33" i="44" a="1"/>
  <c r="AD11" i="44" a="1"/>
  <c r="AG35" i="44" a="1"/>
  <c r="E34" i="44" a="1"/>
  <c r="AH21" i="44" a="1"/>
  <c r="AR28" i="44" a="1"/>
  <c r="W28" i="44" a="1"/>
  <c r="X19" i="44" a="1"/>
  <c r="AK16" i="44" a="1"/>
  <c r="W23" i="44" a="1"/>
  <c r="E7" i="44" a="1"/>
  <c r="B33" i="44" a="1"/>
  <c r="I40" i="44" a="1"/>
  <c r="Z35" i="44" a="1"/>
  <c r="AG19" i="44" a="1"/>
  <c r="Y9" i="44" a="1"/>
  <c r="I13" i="44" a="1"/>
  <c r="Y30" i="44" a="1"/>
  <c r="AL12" i="44" a="1"/>
  <c r="X40" i="44" a="1"/>
  <c r="AL19" i="44" a="1"/>
  <c r="G7" i="44" a="1"/>
  <c r="D31" i="44" a="1"/>
  <c r="AL17" i="44" a="1"/>
  <c r="AA17" i="44" a="1"/>
  <c r="AD33" i="44" a="1"/>
  <c r="D9" i="44" a="1"/>
  <c r="V31" i="44" a="1"/>
  <c r="AJ35" i="44" a="1"/>
  <c r="J20" i="44" a="1"/>
  <c r="AH11" i="44" a="1"/>
  <c r="X20" i="44" a="1"/>
  <c r="AM14" i="44" a="1"/>
  <c r="J31" i="44" a="1"/>
  <c r="H7" i="44" a="1"/>
  <c r="AA9" i="44" a="1"/>
  <c r="AL23" i="44" a="1"/>
  <c r="X32" i="44" a="1"/>
  <c r="Y18" i="44" a="1"/>
  <c r="AM13" i="44" a="1"/>
  <c r="AL20" i="44" a="1"/>
  <c r="X15" i="44" a="1"/>
  <c r="AR22" i="44" a="1"/>
  <c r="H12" i="44" a="1"/>
  <c r="AT19" i="44" a="1"/>
  <c r="AF19" i="44" a="1"/>
  <c r="K13" i="44" a="1"/>
  <c r="G36" i="44" a="1"/>
  <c r="AT17" i="44" a="1"/>
  <c r="W35" i="44" a="1"/>
  <c r="K15" i="44" a="1"/>
  <c r="AP35" i="44" a="1"/>
  <c r="AQ41" i="44" a="1"/>
  <c r="AI32" i="44" a="1"/>
  <c r="AK18" i="44" a="1"/>
  <c r="W31" i="44" a="1"/>
  <c r="D24" i="44" a="1"/>
  <c r="B11" i="44" a="1"/>
  <c r="D28" i="44" a="1"/>
  <c r="H24" i="44" a="1"/>
  <c r="D22" i="44" a="1"/>
  <c r="W12" i="44" a="1"/>
  <c r="AA10" i="44" a="1"/>
  <c r="D36" i="44" a="1"/>
  <c r="AP22" i="44" a="1"/>
  <c r="K19" i="44" a="1"/>
  <c r="AB12" i="44" a="1"/>
  <c r="AB32" i="44" a="1"/>
  <c r="B9" i="44" a="1"/>
  <c r="W22" i="44" a="1"/>
  <c r="AC11" i="44" a="1"/>
  <c r="Z30" i="44" a="1"/>
  <c r="AE36" i="44" a="1"/>
  <c r="Y32" i="44" a="1"/>
  <c r="AD17" i="44" a="1"/>
  <c r="AT42" i="44" a="1"/>
  <c r="K29" i="44" a="1"/>
  <c r="AP18" i="44" a="1"/>
  <c r="AH18" i="44" a="1"/>
  <c r="D15" i="44" a="1"/>
  <c r="AT18" i="44" a="1"/>
  <c r="AR34" i="44" a="1"/>
  <c r="AN17" i="44" a="1"/>
  <c r="AQ33" i="44" a="1"/>
  <c r="AL32" i="44" a="1"/>
  <c r="AE11" i="44" a="1"/>
  <c r="V20" i="44" a="1"/>
  <c r="H28" i="44" a="1"/>
  <c r="Y22" i="44" a="1"/>
  <c r="G11" i="44" a="1"/>
  <c r="AD21" i="44" a="1"/>
  <c r="AO29" i="44" a="1"/>
  <c r="I8" i="44" a="1"/>
  <c r="I14" i="44" a="1"/>
  <c r="X30" i="44" a="1"/>
  <c r="AD42" i="44" a="1"/>
  <c r="AL40" i="44" a="1"/>
  <c r="I31" i="44" a="1"/>
  <c r="I17" i="44" a="1"/>
  <c r="AP12" i="44" a="1"/>
  <c r="AG13" i="44" a="1"/>
  <c r="B19" i="44" a="1"/>
  <c r="AE30" i="44" a="1"/>
  <c r="AR20" i="44" a="1"/>
  <c r="Z11" i="44" a="1"/>
  <c r="W15" i="44" a="1"/>
  <c r="AT22" i="44" a="1"/>
  <c r="AH33" i="44" a="1"/>
  <c r="AA36" i="44" a="1"/>
  <c r="K28" i="44" a="1"/>
  <c r="G16" i="44" a="1"/>
  <c r="AM22" i="44" a="1"/>
  <c r="D42" i="44" a="1"/>
  <c r="AT20" i="44" a="1"/>
  <c r="B23" i="44" a="1"/>
  <c r="Z7" i="44" a="1"/>
  <c r="X34" i="44" a="1"/>
  <c r="AF17" i="44" a="1"/>
  <c r="V21" i="44" a="1"/>
  <c r="AB30" i="44" a="1"/>
  <c r="Z28" i="44" a="1"/>
  <c r="AS15" i="44" a="1"/>
  <c r="AN14" i="44" a="1"/>
  <c r="X10" i="44" a="1"/>
  <c r="AQ32" i="44" a="1"/>
  <c r="AC21" i="44" a="1"/>
  <c r="AP42" i="44" a="1"/>
  <c r="AK20" i="44" a="1"/>
  <c r="G40" i="44" a="1"/>
  <c r="G17" i="44" a="1"/>
  <c r="AM34" i="44" a="1"/>
  <c r="AS10" i="44" a="1"/>
  <c r="AS22" i="44" a="1"/>
  <c r="E21" i="44" a="1"/>
  <c r="F41" i="44" a="1"/>
  <c r="Z14" i="44" a="1"/>
  <c r="AK31" i="44" a="1"/>
  <c r="AO24" i="44" a="1"/>
  <c r="AL16" i="44" a="1"/>
  <c r="AO28" i="44" a="1"/>
  <c r="AJ30" i="44" a="1"/>
  <c r="AC10" i="44" a="1"/>
  <c r="Y15" i="44" a="1"/>
  <c r="E23" i="44" a="1"/>
  <c r="F34" i="44" a="1"/>
  <c r="E11" i="44" a="1"/>
  <c r="J22" i="44" a="1"/>
  <c r="AK42" i="44" a="1"/>
  <c r="AM40" i="44" a="1"/>
  <c r="AR9" i="44" a="1"/>
  <c r="AS11" i="44" a="1"/>
  <c r="AP40" i="44" a="1"/>
  <c r="AT23" i="44" a="1"/>
  <c r="C10" i="44" a="1"/>
  <c r="AK10" i="44" a="1"/>
  <c r="Z31" i="44" a="1"/>
  <c r="Y19" i="44" a="1"/>
  <c r="AO36" i="44" a="1"/>
  <c r="W24" i="44" a="1"/>
  <c r="AS8" i="44" a="1"/>
  <c r="G29" i="44" a="1"/>
  <c r="AO17" i="44" a="1"/>
  <c r="AC16" i="44" a="1"/>
  <c r="AD15" i="44" a="1"/>
  <c r="B16" i="44" a="1"/>
  <c r="AQ11" i="44" a="1"/>
  <c r="J11" i="44" a="1"/>
  <c r="H22" i="44" a="1"/>
  <c r="AO9" i="44" a="1"/>
  <c r="AB9" i="44" a="1"/>
  <c r="AI7" i="44" a="1"/>
  <c r="H33" i="44" a="1"/>
  <c r="F23" i="44" a="1"/>
  <c r="AF40" i="44" a="1"/>
  <c r="D16" i="44" a="1"/>
  <c r="C15" i="44" a="1"/>
  <c r="AF11" i="44" a="1"/>
  <c r="W30" i="44" a="1"/>
  <c r="B30" i="44" a="1"/>
  <c r="AI19" i="44" a="1"/>
  <c r="B15" i="44" a="1"/>
  <c r="AK30" i="44" a="1"/>
  <c r="Y11" i="44" a="1"/>
  <c r="AQ21" i="44" a="1"/>
  <c r="AJ12" i="44" a="1"/>
  <c r="X23" i="44" a="1"/>
  <c r="D11" i="44" a="1"/>
  <c r="AM28" i="44" a="1"/>
  <c r="AP17" i="44" a="1"/>
  <c r="AN22" i="44" a="1"/>
  <c r="J29" i="44" a="1"/>
  <c r="V23" i="44" a="1"/>
  <c r="AS12" i="44" a="1"/>
  <c r="AD34" i="44" a="1"/>
  <c r="AE24" i="44" a="1"/>
  <c r="AF8" i="44" a="1"/>
  <c r="AG28" i="44" a="1"/>
  <c r="B24" i="44" a="1"/>
  <c r="AD35" i="44" a="1"/>
  <c r="AG42" i="44" a="1"/>
  <c r="K11" i="44" a="1"/>
  <c r="AN11" i="44" a="1"/>
  <c r="AQ10" i="44" a="1"/>
  <c r="AH19" i="44" a="1"/>
  <c r="E35" i="44" a="1"/>
  <c r="H10" i="44" a="1"/>
  <c r="Y20" i="44" a="1"/>
  <c r="B36" i="44" a="1"/>
  <c r="AC14" i="44" a="1"/>
  <c r="K17" i="44" a="1"/>
  <c r="AO41" i="44" a="1"/>
  <c r="Y41" i="44" a="1"/>
  <c r="AL18" i="44" a="1"/>
  <c r="AD24" i="44" a="1"/>
  <c r="H8" i="44" a="1"/>
  <c r="AF34" i="44" a="1"/>
  <c r="G20" i="44" a="1"/>
  <c r="AK33" i="44" a="1"/>
  <c r="AL31" i="44" a="1"/>
  <c r="AD8" i="44" a="1"/>
  <c r="F9" i="44" a="1"/>
  <c r="B35" i="44" a="1"/>
  <c r="AT21" i="44" a="1"/>
  <c r="AR8" i="44" a="1"/>
  <c r="AF10" i="44" a="1"/>
  <c r="H34" i="44" a="1"/>
  <c r="X29" i="44" a="1"/>
  <c r="AB31" i="44" a="1"/>
  <c r="G15" i="44" a="1"/>
  <c r="Y29" i="44" a="1"/>
  <c r="AI23" i="44" a="1"/>
  <c r="AF22" i="44" a="1"/>
  <c r="AJ8" i="44" a="1"/>
  <c r="I9" i="44" a="1"/>
  <c r="AN18" i="44" a="1"/>
  <c r="AM17" i="44" a="1"/>
  <c r="AC9" i="44" a="1"/>
  <c r="Z13" i="44" a="1"/>
  <c r="AH7" i="44" a="1"/>
  <c r="X41" i="44" a="1"/>
  <c r="V19" i="44" a="1"/>
  <c r="F7" i="44" a="1"/>
  <c r="AF33" i="44" a="1"/>
  <c r="AP13" i="44" a="1"/>
  <c r="D33" i="44" a="1"/>
  <c r="AG16" i="44" a="1"/>
  <c r="AB33" i="44" a="1"/>
  <c r="AN12" i="44" a="1"/>
  <c r="AT30" i="44" a="1"/>
  <c r="B41" i="44" a="1"/>
  <c r="AR40" i="44" a="1"/>
  <c r="J14" i="44" a="1"/>
  <c r="I15" i="44" a="1"/>
  <c r="F20" i="44" a="1"/>
  <c r="V9" i="44" a="1"/>
  <c r="V40" i="44" a="1"/>
  <c r="AQ17" i="44" a="1"/>
  <c r="Z22" i="44" a="1"/>
  <c r="AB28" i="44" a="1"/>
  <c r="AE10" i="44" a="1"/>
  <c r="C13" i="44" a="1"/>
  <c r="AB10" i="44" a="1"/>
  <c r="X33" i="44" a="1"/>
  <c r="AT29" i="44" a="1"/>
  <c r="V28" i="44" a="1"/>
  <c r="AN15" i="44" a="1"/>
  <c r="AC8" i="44" a="1"/>
  <c r="V42" i="44" a="1"/>
  <c r="J41" i="44" a="1"/>
  <c r="AG20" i="44" a="1"/>
  <c r="AS35" i="44" a="1"/>
  <c r="AS17" i="44" a="1"/>
  <c r="AO12" i="44" a="1"/>
  <c r="AA32" i="44" a="1"/>
  <c r="C23" i="44" a="1"/>
  <c r="J9" i="44" a="1"/>
  <c r="AE12" i="44" a="1"/>
  <c r="AM41" i="44" a="1"/>
  <c r="AI18" i="44" a="1"/>
  <c r="E18" i="44" a="1"/>
  <c r="W9" i="44" a="1"/>
  <c r="AS42" i="44" a="1"/>
  <c r="AM29" i="44" a="1"/>
  <c r="C36" i="44" a="1"/>
  <c r="AM21" i="44" a="1"/>
  <c r="E42" i="44" a="1"/>
  <c r="E8" i="44" a="1"/>
  <c r="I10" i="44" a="1"/>
  <c r="AQ7" i="44" a="1"/>
  <c r="K14" i="44" a="1"/>
  <c r="I11" i="44" a="1"/>
  <c r="AT41" i="44" a="1"/>
  <c r="G13" i="44" a="1"/>
  <c r="AT24" i="44" a="1"/>
  <c r="AH32" i="44" a="1"/>
  <c r="AI12" i="44" a="1"/>
  <c r="AQ20" i="44" a="1"/>
  <c r="AJ40" i="44" a="1"/>
  <c r="K24" i="44" a="1"/>
  <c r="Z34" i="44" a="1"/>
  <c r="AO10" i="44" a="1"/>
  <c r="AN28" i="44" a="1"/>
  <c r="K40" i="44" a="1"/>
  <c r="AN7" i="44" a="1"/>
  <c r="W8" i="44" a="1"/>
  <c r="AH31" i="44" a="1"/>
  <c r="X24" i="44" a="1"/>
  <c r="AA28" i="44" a="1"/>
  <c r="AM33" i="44" a="1"/>
  <c r="AS29" i="44" a="1"/>
  <c r="V22" i="44" a="1"/>
  <c r="H17" i="44" a="1"/>
  <c r="X14" i="44" a="1"/>
  <c r="AL33" i="44" a="1"/>
  <c r="X42" i="44" a="1"/>
  <c r="AC32" i="44" a="1"/>
  <c r="X8" i="44" a="1"/>
  <c r="AQ29" i="44" a="1"/>
  <c r="AS23" i="44" a="1"/>
  <c r="F15" i="44" a="1"/>
  <c r="AD41" i="44" a="1"/>
  <c r="D32" i="44" a="1"/>
  <c r="AN13" i="44" a="1"/>
  <c r="X16" i="44" a="1"/>
  <c r="Z21" i="44" a="1"/>
  <c r="AT16" i="44" a="1"/>
  <c r="V29" i="44" a="1"/>
  <c r="Y13" i="44" a="1"/>
  <c r="X18" i="44" a="1"/>
  <c r="B12" i="44" a="1"/>
  <c r="AA21" i="44" a="1"/>
  <c r="W32" i="44" a="1"/>
  <c r="AR24" i="44" a="1"/>
  <c r="AD40" i="44" a="1"/>
  <c r="AE19" i="44" a="1"/>
  <c r="V24" i="44" a="1"/>
  <c r="K34" i="44" a="1"/>
  <c r="H9" i="44" a="1"/>
  <c r="AF30" i="44" a="1"/>
  <c r="AK36" i="44" a="1"/>
  <c r="B32" i="44" a="1"/>
  <c r="H21" i="44" a="1"/>
  <c r="AI36" i="44" a="1"/>
  <c r="AS31" i="44" a="1"/>
  <c r="V36" i="44" a="1"/>
  <c r="I22" i="44" a="1"/>
  <c r="AT40" i="44" a="1"/>
  <c r="AL30" i="44" a="1"/>
  <c r="AP33" i="44" a="1"/>
  <c r="G19" i="44" a="1"/>
  <c r="Y34" i="44" a="1"/>
  <c r="AP31" i="44" a="1"/>
  <c r="AM35" i="44" a="1"/>
  <c r="C9" i="44" a="1"/>
  <c r="AN19" i="44" a="1"/>
  <c r="AK35" i="44" a="1"/>
  <c r="Z23" i="44" a="1"/>
  <c r="W41" i="44" a="1"/>
  <c r="AA11" i="44" a="1"/>
  <c r="X28" i="44" a="1"/>
  <c r="E29" i="44" a="1"/>
  <c r="C42" i="44" a="1"/>
  <c r="C11" i="44" a="1"/>
  <c r="AD36" i="44" a="1"/>
  <c r="AN16" i="44" a="1"/>
  <c r="AL34" i="44" a="1"/>
  <c r="F19" i="44" a="1"/>
  <c r="AT7" i="44" a="1"/>
  <c r="AP7" i="44" a="1"/>
  <c r="AS14" i="44" a="1"/>
  <c r="F29" i="44" a="1"/>
  <c r="AP41" i="44" a="1"/>
  <c r="AJ18" i="44" a="1"/>
  <c r="AA16" i="44" a="1"/>
  <c r="AP34" i="44" a="1"/>
  <c r="AE29" i="44" a="1"/>
  <c r="AL14" i="44" a="1"/>
  <c r="E22" i="44" a="1"/>
  <c r="E16" i="44" a="1"/>
  <c r="AP36" i="44" a="1"/>
  <c r="F33" i="44" a="1"/>
  <c r="AE41" i="44" a="1"/>
  <c r="AS19" i="44" a="1"/>
  <c r="AI9" i="44" a="1"/>
  <c r="AC15" i="44" a="1"/>
  <c r="Z8" i="44" a="1"/>
  <c r="AG8" i="44" a="1"/>
  <c r="AG32" i="44" a="1"/>
  <c r="X35" i="44" a="1"/>
  <c r="AM11" i="44" a="1"/>
  <c r="AB19" i="44" a="1"/>
  <c r="AG31" i="44" a="1"/>
  <c r="AD12" i="44" a="1"/>
  <c r="AK29" i="44" a="1"/>
  <c r="AH36" i="44" a="1"/>
  <c r="AC31" i="44" a="1"/>
  <c r="AG29" i="44" a="1"/>
  <c r="H29" i="44" a="1"/>
  <c r="AL11" i="44" a="1"/>
  <c r="C19" i="44" a="1"/>
  <c r="AC36" i="44" a="1"/>
  <c r="I35" i="44" a="1"/>
  <c r="AH10" i="44" a="1"/>
  <c r="AE32" i="44" a="1"/>
  <c r="Y16" i="44" a="1"/>
  <c r="AF23" i="44" a="1"/>
  <c r="K12" i="44" a="1"/>
  <c r="AQ34" i="44" a="1"/>
  <c r="AN20" i="44" a="1"/>
  <c r="AK11" i="44" a="1"/>
  <c r="AO11" i="44" a="1"/>
  <c r="J34" i="44" a="1"/>
  <c r="Y23" i="44" a="1"/>
  <c r="AR13" i="44" a="1"/>
  <c r="AG17" i="44" a="1"/>
  <c r="AA8" i="44" a="1"/>
  <c r="AC7" i="44" a="1"/>
  <c r="G24" i="44" a="1"/>
  <c r="W34" i="44" a="1"/>
  <c r="AK17" i="44" a="1"/>
  <c r="AG33" i="44" a="1"/>
  <c r="AH42" i="44" a="1"/>
  <c r="AJ9" i="44" a="1"/>
  <c r="C20" i="44" a="1"/>
  <c r="AB18" i="44" a="1"/>
  <c r="AJ33" i="44" a="1"/>
  <c r="AA19" i="44" a="1"/>
  <c r="I34" i="44" a="1"/>
  <c r="AR11" i="44" a="1"/>
  <c r="AO23" i="44" a="1"/>
  <c r="AC40" i="44" a="1"/>
  <c r="C12" i="44" a="1"/>
  <c r="AL41" i="44" a="1"/>
  <c r="AD28" i="44" a="1"/>
  <c r="AD16" i="44" a="1"/>
  <c r="J13" i="44" a="1"/>
  <c r="W20" i="44" a="1"/>
  <c r="J15" i="44" a="1"/>
  <c r="F13" i="44" a="1"/>
  <c r="G10" i="44" a="1"/>
  <c r="AI29" i="44" a="1"/>
  <c r="B17" i="44" a="1"/>
  <c r="C29" i="44" a="1"/>
  <c r="AO13" i="44" a="1"/>
  <c r="AG18" i="44" a="1"/>
  <c r="AD19" i="44" a="1"/>
  <c r="AF31" i="44" a="1"/>
  <c r="K42" i="44" a="1"/>
  <c r="V32" i="44" a="1"/>
  <c r="B28" i="44" a="1"/>
  <c r="E13" i="44" a="1"/>
  <c r="H19" i="44" a="1"/>
  <c r="AP15" i="44" a="1"/>
  <c r="AA30" i="44" a="1"/>
  <c r="AG9" i="44" a="1"/>
  <c r="C16" i="44" a="1"/>
  <c r="K33" i="44" a="1"/>
  <c r="AA12" i="44" a="1"/>
  <c r="AM9" i="44" a="1"/>
  <c r="AT35" i="44" a="1"/>
  <c r="AS33" i="44" a="1"/>
  <c r="AR29" i="44" a="1"/>
  <c r="AC19" i="44" a="1"/>
  <c r="F30" i="44" a="1"/>
  <c r="C8" i="44" a="1"/>
  <c r="AN8" i="44" a="1"/>
  <c r="AJ11" i="44" a="1"/>
  <c r="AE33" i="44" a="1"/>
  <c r="B18" i="44" a="1"/>
  <c r="AQ13" i="44" a="1"/>
  <c r="AA18" i="44" a="1"/>
  <c r="AP11" i="44" a="1"/>
  <c r="H31" i="44" a="1"/>
  <c r="AL7" i="44" a="1"/>
  <c r="AD22" i="44" a="1"/>
  <c r="AD32" i="44" a="1"/>
  <c r="V12" i="44" a="1"/>
  <c r="AJ20" i="44" a="1"/>
  <c r="I18" i="44" a="1"/>
  <c r="AS16" i="44" a="1"/>
  <c r="AA14" i="44" a="1"/>
  <c r="AJ29" i="44" a="1"/>
  <c r="AR42" i="44" a="1"/>
  <c r="AQ9" i="44" a="1"/>
  <c r="W7" i="44" a="1"/>
  <c r="AK22" i="44" a="1"/>
  <c r="AO8" i="44" a="1"/>
  <c r="AO18" i="44" a="1"/>
  <c r="AL10" i="44" a="1"/>
  <c r="AN9" i="44" a="1"/>
  <c r="AO19" i="44" a="1"/>
  <c r="AI16" i="44" a="1"/>
  <c r="V14" i="44" a="1"/>
  <c r="J17" i="44" a="1"/>
  <c r="AI30" i="44" a="1"/>
  <c r="AB20" i="44" a="1"/>
  <c r="Y14" i="44" a="1"/>
  <c r="J33" i="44" a="1"/>
  <c r="K31" i="44" a="1"/>
  <c r="AR14" i="44" a="1"/>
  <c r="AG12" i="44" a="1"/>
  <c r="AA42" i="44" a="1"/>
  <c r="AK14" i="44" a="1"/>
  <c r="C33" i="44" a="1"/>
  <c r="G22" i="44" a="1"/>
  <c r="AH16" i="44" a="1"/>
  <c r="AN36" i="44" a="1"/>
  <c r="AE20" i="44" a="1"/>
  <c r="AE9" i="44" a="1"/>
  <c r="E28" i="44" a="1"/>
  <c r="AH8" i="44" a="1"/>
  <c r="D23" i="44" a="1"/>
  <c r="Y42" i="44" a="1"/>
  <c r="AG41" i="44" a="1"/>
  <c r="E40" i="44" a="1"/>
  <c r="AJ14" i="44" a="1"/>
  <c r="H14" i="44" a="1"/>
  <c r="H35" i="44" a="1"/>
  <c r="AE40" i="44" a="1"/>
  <c r="AO16" i="44" a="1"/>
  <c r="V18" i="44" a="1"/>
  <c r="AE35" i="44" a="1"/>
  <c r="I23" i="44" a="1"/>
  <c r="AB11" i="44" a="1"/>
  <c r="G9" i="44" a="1"/>
  <c r="AR19" i="44" a="1"/>
  <c r="AC35" i="44" a="1"/>
  <c r="C41" i="44" a="1"/>
  <c r="AQ16" i="44" a="1"/>
  <c r="AF9" i="44" a="1"/>
  <c r="AO40" i="44" a="1"/>
  <c r="D13" i="44" a="1"/>
  <c r="AC30" i="44" a="1"/>
  <c r="H40" i="44" a="1"/>
  <c r="AJ41" i="44" a="1"/>
  <c r="AA22" i="44" a="1"/>
  <c r="AC33" i="44" a="1"/>
  <c r="AJ34" i="44" a="1"/>
  <c r="D7" i="44" a="1"/>
  <c r="AG11" i="44" a="1"/>
  <c r="I36" i="44" a="1"/>
  <c r="AD31" i="44" a="1"/>
  <c r="AK8" i="44" a="1"/>
  <c r="AS9" i="44" a="1"/>
  <c r="Z36" i="44" a="1"/>
  <c r="AP24" i="44" a="1"/>
  <c r="Z32" i="44" a="1"/>
  <c r="V35" i="44" a="1"/>
  <c r="AK7" i="44" a="1"/>
  <c r="Y33" i="44" a="1"/>
  <c r="AE17" i="44" a="1"/>
  <c r="AH15" i="44" a="1"/>
  <c r="AD23" i="44" a="1"/>
  <c r="G33" i="44" a="1"/>
  <c r="AF18" i="44" a="1"/>
  <c r="AE15" i="44" a="1"/>
  <c r="Y8" i="44" a="1"/>
  <c r="K35" i="44" a="1"/>
  <c r="AR36" i="44" a="1"/>
  <c r="AL21" i="44" a="1"/>
  <c r="AQ35" i="44" a="1"/>
  <c r="B22" i="44" a="1"/>
  <c r="AB29" i="44" a="1"/>
  <c r="F21" i="44" a="1"/>
  <c r="W19" i="44" a="1"/>
  <c r="AO35" i="44" a="1"/>
  <c r="D35" i="44" a="1"/>
  <c r="X7" i="44" a="1"/>
  <c r="X22" i="44" a="1"/>
  <c r="AJ13" i="44" a="1"/>
  <c r="W10" i="44" a="1"/>
  <c r="AF35" i="44" a="1"/>
  <c r="AP9" i="44" a="1"/>
  <c r="G14" i="44" a="1"/>
  <c r="AR35" i="44" a="1"/>
  <c r="AP19" i="44" a="1"/>
  <c r="AP21" i="44" a="1"/>
  <c r="AK15" i="44" a="1"/>
  <c r="AJ7" i="44" a="1"/>
  <c r="W13" i="44" a="1"/>
  <c r="AF15" i="44" a="1"/>
  <c r="D20" i="44" a="1"/>
  <c r="AJ23" i="44" a="1"/>
  <c r="AN10" i="44" a="1"/>
  <c r="J7" i="44" a="1"/>
  <c r="AP28" i="44" a="1"/>
  <c r="AB35" i="44" a="1"/>
  <c r="AA31" i="44" a="1"/>
  <c r="AP20" i="44" a="1"/>
  <c r="E41" i="44" a="1"/>
  <c r="D14" i="44" a="1"/>
  <c r="AQ30" i="44" a="1"/>
  <c r="H41" i="44" a="1"/>
  <c r="Z17" i="44" a="1"/>
  <c r="AK19" i="44" a="1"/>
  <c r="AJ17" i="44" a="1"/>
  <c r="B8" i="44" a="1"/>
  <c r="AT12" i="44" a="1"/>
  <c r="C18" i="44" a="1"/>
  <c r="AJ19" i="44" a="1"/>
  <c r="AF39" i="44" l="1"/>
  <c r="V27" i="44"/>
  <c r="F38" i="44"/>
  <c r="AT39" i="44"/>
  <c r="AH39" i="44"/>
  <c r="V39" i="44"/>
  <c r="J39" i="44"/>
  <c r="AJ27" i="44"/>
  <c r="F27" i="44"/>
  <c r="AR38" i="44"/>
  <c r="H38" i="44"/>
  <c r="AA39" i="44"/>
  <c r="I39" i="44"/>
  <c r="C39" i="44"/>
  <c r="AO27" i="44"/>
  <c r="AI27" i="44"/>
  <c r="AC27" i="44"/>
  <c r="W27" i="44"/>
  <c r="K27" i="44"/>
  <c r="E27" i="44"/>
  <c r="AQ38" i="44"/>
  <c r="AK38" i="44"/>
  <c r="AE38" i="44"/>
  <c r="Y38" i="44"/>
  <c r="G38" i="44"/>
  <c r="AS26" i="44"/>
  <c r="AM26" i="44"/>
  <c r="AG26" i="44"/>
  <c r="AA26" i="44"/>
  <c r="I26" i="44"/>
  <c r="C26" i="44"/>
  <c r="AO37" i="44"/>
  <c r="AI37" i="44"/>
  <c r="AC37" i="44"/>
  <c r="W37" i="44"/>
  <c r="K37" i="44"/>
  <c r="E37" i="44"/>
  <c r="AQ25" i="44"/>
  <c r="AK25" i="44"/>
  <c r="AE25" i="44"/>
  <c r="Y25" i="44"/>
  <c r="G25" i="44"/>
  <c r="AG39" i="44"/>
  <c r="H39" i="44"/>
  <c r="J27" i="44"/>
  <c r="AR26" i="44"/>
  <c r="AL26" i="44"/>
  <c r="AT37" i="44"/>
  <c r="AN37" i="44"/>
  <c r="AH37" i="44"/>
  <c r="AB37" i="44"/>
  <c r="V37" i="44"/>
  <c r="J37" i="44"/>
  <c r="D37" i="44"/>
  <c r="AP25" i="44"/>
  <c r="AJ25" i="44"/>
  <c r="AD25" i="44"/>
  <c r="X25" i="44"/>
  <c r="F25" i="44"/>
  <c r="AM39" i="44"/>
  <c r="AH27" i="44"/>
  <c r="Z26" i="44"/>
  <c r="AQ39" i="44"/>
  <c r="AE39" i="44"/>
  <c r="G39" i="44"/>
  <c r="AM27" i="44"/>
  <c r="AA27" i="44"/>
  <c r="C27" i="44"/>
  <c r="AI38" i="44"/>
  <c r="AC38" i="44"/>
  <c r="W38" i="44"/>
  <c r="E38" i="44"/>
  <c r="AQ26" i="44"/>
  <c r="AK26" i="44"/>
  <c r="AE26" i="44"/>
  <c r="Y26" i="44"/>
  <c r="G26" i="44"/>
  <c r="AS37" i="44"/>
  <c r="AM37" i="44"/>
  <c r="AG37" i="44"/>
  <c r="AA37" i="44"/>
  <c r="I37" i="44"/>
  <c r="C37" i="44"/>
  <c r="AO25" i="44"/>
  <c r="AI25" i="44"/>
  <c r="AC25" i="44"/>
  <c r="W25" i="44"/>
  <c r="K25" i="44"/>
  <c r="E25" i="44"/>
  <c r="Z39" i="44"/>
  <c r="D27" i="44"/>
  <c r="B26" i="44"/>
  <c r="AK39" i="44"/>
  <c r="Y39" i="44"/>
  <c r="AS27" i="44"/>
  <c r="AG27" i="44"/>
  <c r="I27" i="44"/>
  <c r="AO38" i="44"/>
  <c r="K38" i="44"/>
  <c r="AS39" i="44"/>
  <c r="AR39" i="44"/>
  <c r="AB27" i="44"/>
  <c r="AD38" i="44"/>
  <c r="AF26" i="44"/>
  <c r="AP39" i="44"/>
  <c r="AD39" i="44"/>
  <c r="AL27" i="44"/>
  <c r="Z27" i="44"/>
  <c r="B27" i="44"/>
  <c r="AN38" i="44"/>
  <c r="AB38" i="44"/>
  <c r="J38" i="44"/>
  <c r="D38" i="44"/>
  <c r="AJ26" i="44"/>
  <c r="AD26" i="44"/>
  <c r="X26" i="44"/>
  <c r="F26" i="44"/>
  <c r="AR37" i="44"/>
  <c r="AL37" i="44"/>
  <c r="AF37" i="44"/>
  <c r="Z37" i="44"/>
  <c r="H37" i="44"/>
  <c r="B37" i="44"/>
  <c r="AT25" i="44"/>
  <c r="AN25" i="44"/>
  <c r="AH25" i="44"/>
  <c r="AB25" i="44"/>
  <c r="V25" i="44"/>
  <c r="J25" i="44"/>
  <c r="D25" i="44"/>
  <c r="AL39" i="44"/>
  <c r="AN27" i="44"/>
  <c r="X38" i="44"/>
  <c r="H26" i="44"/>
  <c r="AJ39" i="44"/>
  <c r="X39" i="44"/>
  <c r="F39" i="44"/>
  <c r="AR27" i="44"/>
  <c r="AF27" i="44"/>
  <c r="H27" i="44"/>
  <c r="AT38" i="44"/>
  <c r="AH38" i="44"/>
  <c r="V38" i="44"/>
  <c r="AP26" i="44"/>
  <c r="B39" i="44"/>
  <c r="AP38" i="44"/>
  <c r="AO39" i="44"/>
  <c r="AC39" i="44"/>
  <c r="E39" i="44"/>
  <c r="AQ27" i="44"/>
  <c r="AE27" i="44"/>
  <c r="G27" i="44"/>
  <c r="AM38" i="44"/>
  <c r="AA38" i="44"/>
  <c r="I38" i="44"/>
  <c r="AO26" i="44"/>
  <c r="AI26" i="44"/>
  <c r="AC26" i="44"/>
  <c r="W26" i="44"/>
  <c r="K26" i="44"/>
  <c r="E26" i="44"/>
  <c r="AQ37" i="44"/>
  <c r="AK37" i="44"/>
  <c r="AE37" i="44"/>
  <c r="Y37" i="44"/>
  <c r="G37" i="44"/>
  <c r="AS25" i="44"/>
  <c r="AM25" i="44"/>
  <c r="AG25" i="44"/>
  <c r="AA25" i="44"/>
  <c r="I25" i="44"/>
  <c r="C25" i="44"/>
  <c r="AI39" i="44"/>
  <c r="W39" i="44"/>
  <c r="K39" i="44"/>
  <c r="AK27" i="44"/>
  <c r="Y27" i="44"/>
  <c r="AS38" i="44"/>
  <c r="AG38" i="44"/>
  <c r="C38" i="44"/>
  <c r="AT27" i="44"/>
  <c r="AJ38" i="44"/>
  <c r="AN39" i="44"/>
  <c r="AB39" i="44"/>
  <c r="D39" i="44"/>
  <c r="AP27" i="44"/>
  <c r="AD27" i="44"/>
  <c r="X27" i="44"/>
  <c r="AL38" i="44"/>
  <c r="AF38" i="44"/>
  <c r="Z38" i="44"/>
  <c r="B38" i="44"/>
  <c r="AT26" i="44"/>
  <c r="AN26" i="44"/>
  <c r="AH26" i="44"/>
  <c r="AB26" i="44"/>
  <c r="V26" i="44"/>
  <c r="J26" i="44"/>
  <c r="D26" i="44"/>
  <c r="AP37" i="44"/>
  <c r="AJ37" i="44"/>
  <c r="AD37" i="44"/>
  <c r="X37" i="44"/>
  <c r="F37" i="44"/>
  <c r="AR25" i="44"/>
  <c r="AL25" i="44"/>
  <c r="AF25" i="44"/>
  <c r="Z25" i="44"/>
  <c r="H25" i="44"/>
  <c r="B25" i="44"/>
  <c r="AJ19" i="44"/>
  <c r="C18" i="44"/>
  <c r="AT12" i="44"/>
  <c r="B8" i="44"/>
  <c r="AJ17" i="44"/>
  <c r="AK19" i="44"/>
  <c r="Z17" i="44"/>
  <c r="H41" i="44"/>
  <c r="AQ30" i="44"/>
  <c r="D14" i="44"/>
  <c r="E41" i="44"/>
  <c r="AP20" i="44"/>
  <c r="AA31" i="44"/>
  <c r="AB35" i="44"/>
  <c r="AP28" i="44"/>
  <c r="J7" i="44"/>
  <c r="AN10" i="44"/>
  <c r="AJ23" i="44"/>
  <c r="D20" i="44"/>
  <c r="AF15" i="44"/>
  <c r="W13" i="44"/>
  <c r="AJ7" i="44"/>
  <c r="AK15" i="44"/>
  <c r="AP21" i="44"/>
  <c r="AP19" i="44"/>
  <c r="AR35" i="44"/>
  <c r="G14" i="44"/>
  <c r="AP9" i="44"/>
  <c r="AF35" i="44"/>
  <c r="W10" i="44"/>
  <c r="AJ13" i="44"/>
  <c r="X22" i="44"/>
  <c r="X7" i="44"/>
  <c r="D35" i="44"/>
  <c r="AO35" i="44"/>
  <c r="W19" i="44"/>
  <c r="F21" i="44"/>
  <c r="AB29" i="44"/>
  <c r="B22" i="44"/>
  <c r="AQ35" i="44"/>
  <c r="AL21" i="44"/>
  <c r="AR36" i="44"/>
  <c r="K35" i="44"/>
  <c r="Y8" i="44"/>
  <c r="AE15" i="44"/>
  <c r="AF18" i="44"/>
  <c r="G33" i="44"/>
  <c r="AD23" i="44"/>
  <c r="AH15" i="44"/>
  <c r="AE17" i="44"/>
  <c r="Y33" i="44"/>
  <c r="AK7" i="44"/>
  <c r="V35" i="44"/>
  <c r="Z32" i="44"/>
  <c r="AP24" i="44"/>
  <c r="Z36" i="44"/>
  <c r="AS9" i="44"/>
  <c r="AK8" i="44"/>
  <c r="AD31" i="44"/>
  <c r="I36" i="44"/>
  <c r="AG11" i="44"/>
  <c r="D7" i="44"/>
  <c r="AJ34" i="44"/>
  <c r="AC33" i="44"/>
  <c r="AA22" i="44"/>
  <c r="AJ41" i="44"/>
  <c r="H40" i="44"/>
  <c r="AC30" i="44"/>
  <c r="D13" i="44"/>
  <c r="AO40" i="44"/>
  <c r="AF9" i="44"/>
  <c r="AQ16" i="44"/>
  <c r="C41" i="44"/>
  <c r="AC35" i="44"/>
  <c r="AR19" i="44"/>
  <c r="G9" i="44"/>
  <c r="AB11" i="44"/>
  <c r="I23" i="44"/>
  <c r="AE35" i="44"/>
  <c r="V18" i="44"/>
  <c r="AO16" i="44"/>
  <c r="AE40" i="44"/>
  <c r="H35" i="44"/>
  <c r="H14" i="44"/>
  <c r="AJ14" i="44"/>
  <c r="E40" i="44"/>
  <c r="AG41" i="44"/>
  <c r="Y42" i="44"/>
  <c r="D23" i="44"/>
  <c r="AH8" i="44"/>
  <c r="E28" i="44"/>
  <c r="AE9" i="44"/>
  <c r="AE20" i="44"/>
  <c r="AN36" i="44"/>
  <c r="AH16" i="44"/>
  <c r="G22" i="44"/>
  <c r="C33" i="44"/>
  <c r="AK14" i="44"/>
  <c r="AA42" i="44"/>
  <c r="AG12" i="44"/>
  <c r="AR14" i="44"/>
  <c r="K31" i="44"/>
  <c r="J33" i="44"/>
  <c r="Y14" i="44"/>
  <c r="AB20" i="44"/>
  <c r="AI30" i="44"/>
  <c r="J17" i="44"/>
  <c r="V14" i="44"/>
  <c r="AI16" i="44"/>
  <c r="AO19" i="44"/>
  <c r="AN9" i="44"/>
  <c r="AL10" i="44"/>
  <c r="AO18" i="44"/>
  <c r="AO8" i="44"/>
  <c r="AK22" i="44"/>
  <c r="W7" i="44"/>
  <c r="AQ9" i="44"/>
  <c r="AR42" i="44"/>
  <c r="AJ29" i="44"/>
  <c r="AA14" i="44"/>
  <c r="AS16" i="44"/>
  <c r="I18" i="44"/>
  <c r="AJ20" i="44"/>
  <c r="V12" i="44"/>
  <c r="AD32" i="44"/>
  <c r="AD22" i="44"/>
  <c r="AL7" i="44"/>
  <c r="H31" i="44"/>
  <c r="AP11" i="44"/>
  <c r="AA18" i="44"/>
  <c r="AQ13" i="44"/>
  <c r="B18" i="44"/>
  <c r="AE33" i="44"/>
  <c r="AJ11" i="44"/>
  <c r="AN8" i="44"/>
  <c r="C8" i="44"/>
  <c r="F30" i="44"/>
  <c r="AC19" i="44"/>
  <c r="AR29" i="44"/>
  <c r="AS33" i="44"/>
  <c r="AT35" i="44"/>
  <c r="AM9" i="44"/>
  <c r="AA12" i="44"/>
  <c r="K33" i="44"/>
  <c r="C16" i="44"/>
  <c r="AG9" i="44"/>
  <c r="AA30" i="44"/>
  <c r="AP15" i="44"/>
  <c r="H19" i="44"/>
  <c r="E13" i="44"/>
  <c r="B28" i="44"/>
  <c r="V32" i="44"/>
  <c r="K42" i="44"/>
  <c r="AF31" i="44"/>
  <c r="AD19" i="44"/>
  <c r="AG18" i="44"/>
  <c r="AO13" i="44"/>
  <c r="C29" i="44"/>
  <c r="B17" i="44"/>
  <c r="AI29" i="44"/>
  <c r="G10" i="44"/>
  <c r="F13" i="44"/>
  <c r="J15" i="44"/>
  <c r="W20" i="44"/>
  <c r="J13" i="44"/>
  <c r="AD16" i="44"/>
  <c r="AD28" i="44"/>
  <c r="AL41" i="44"/>
  <c r="C12" i="44"/>
  <c r="AC40" i="44"/>
  <c r="AO23" i="44"/>
  <c r="AR11" i="44"/>
  <c r="I34" i="44"/>
  <c r="AA19" i="44"/>
  <c r="AJ33" i="44"/>
  <c r="AB18" i="44"/>
  <c r="C20" i="44"/>
  <c r="AJ9" i="44"/>
  <c r="AH42" i="44"/>
  <c r="AG33" i="44"/>
  <c r="AK17" i="44"/>
  <c r="W34" i="44"/>
  <c r="G24" i="44"/>
  <c r="AC7" i="44"/>
  <c r="AA8" i="44"/>
  <c r="AG17" i="44"/>
  <c r="AR13" i="44"/>
  <c r="Y23" i="44"/>
  <c r="J34" i="44"/>
  <c r="AO11" i="44"/>
  <c r="AK11" i="44"/>
  <c r="AN20" i="44"/>
  <c r="AQ34" i="44"/>
  <c r="K12" i="44"/>
  <c r="AF23" i="44"/>
  <c r="Y16" i="44"/>
  <c r="AE32" i="44"/>
  <c r="AH10" i="44"/>
  <c r="I35" i="44"/>
  <c r="AC36" i="44"/>
  <c r="C19" i="44"/>
  <c r="AL11" i="44"/>
  <c r="H29" i="44"/>
  <c r="AG29" i="44"/>
  <c r="AC31" i="44"/>
  <c r="AH36" i="44"/>
  <c r="AK29" i="44"/>
  <c r="AD12" i="44"/>
  <c r="AG31" i="44"/>
  <c r="AB19" i="44"/>
  <c r="AM11" i="44"/>
  <c r="X35" i="44"/>
  <c r="AG32" i="44"/>
  <c r="AG8" i="44"/>
  <c r="Z8" i="44"/>
  <c r="AC15" i="44"/>
  <c r="AI9" i="44"/>
  <c r="AS19" i="44"/>
  <c r="AE41" i="44"/>
  <c r="F33" i="44"/>
  <c r="AP36" i="44"/>
  <c r="E16" i="44"/>
  <c r="E22" i="44"/>
  <c r="AL14" i="44"/>
  <c r="AE29" i="44"/>
  <c r="AP34" i="44"/>
  <c r="AA16" i="44"/>
  <c r="AJ18" i="44"/>
  <c r="AP41" i="44"/>
  <c r="F29" i="44"/>
  <c r="AS14" i="44"/>
  <c r="AP7" i="44"/>
  <c r="AT7" i="44"/>
  <c r="F19" i="44"/>
  <c r="AL34" i="44"/>
  <c r="AN16" i="44"/>
  <c r="AD36" i="44"/>
  <c r="C11" i="44"/>
  <c r="C42" i="44"/>
  <c r="E29" i="44"/>
  <c r="X28" i="44"/>
  <c r="AA11" i="44"/>
  <c r="W41" i="44"/>
  <c r="Z23" i="44"/>
  <c r="AK35" i="44"/>
  <c r="AN19" i="44"/>
  <c r="C9" i="44"/>
  <c r="AM35" i="44"/>
  <c r="AP31" i="44"/>
  <c r="Y34" i="44"/>
  <c r="G19" i="44"/>
  <c r="AP33" i="44"/>
  <c r="AL30" i="44"/>
  <c r="AT40" i="44"/>
  <c r="I22" i="44"/>
  <c r="V36" i="44"/>
  <c r="AS31" i="44"/>
  <c r="AI36" i="44"/>
  <c r="H21" i="44"/>
  <c r="B32" i="44"/>
  <c r="AK36" i="44"/>
  <c r="AF30" i="44"/>
  <c r="H9" i="44"/>
  <c r="K34" i="44"/>
  <c r="V24" i="44"/>
  <c r="AE19" i="44"/>
  <c r="AD40" i="44"/>
  <c r="AR24" i="44"/>
  <c r="W32" i="44"/>
  <c r="AA21" i="44"/>
  <c r="B12" i="44"/>
  <c r="X18" i="44"/>
  <c r="Y13" i="44"/>
  <c r="V29" i="44"/>
  <c r="AT16" i="44"/>
  <c r="Z21" i="44"/>
  <c r="X16" i="44"/>
  <c r="AN13" i="44"/>
  <c r="D32" i="44"/>
  <c r="AD41" i="44"/>
  <c r="F15" i="44"/>
  <c r="AS23" i="44"/>
  <c r="AQ29" i="44"/>
  <c r="X8" i="44"/>
  <c r="AC32" i="44"/>
  <c r="X42" i="44"/>
  <c r="AL33" i="44"/>
  <c r="X14" i="44"/>
  <c r="H17" i="44"/>
  <c r="V22" i="44"/>
  <c r="AS29" i="44"/>
  <c r="AM33" i="44"/>
  <c r="AA28" i="44"/>
  <c r="X24" i="44"/>
  <c r="AH31" i="44"/>
  <c r="W8" i="44"/>
  <c r="AN7" i="44"/>
  <c r="K40" i="44"/>
  <c r="AN28" i="44"/>
  <c r="AO10" i="44"/>
  <c r="Z34" i="44"/>
  <c r="K24" i="44"/>
  <c r="AJ40" i="44"/>
  <c r="AQ20" i="44"/>
  <c r="AI12" i="44"/>
  <c r="AH32" i="44"/>
  <c r="AT24" i="44"/>
  <c r="G13" i="44"/>
  <c r="AT41" i="44"/>
  <c r="I11" i="44"/>
  <c r="K14" i="44"/>
  <c r="AQ7" i="44"/>
  <c r="I10" i="44"/>
  <c r="E8" i="44"/>
  <c r="E42" i="44"/>
  <c r="AM21" i="44"/>
  <c r="C36" i="44"/>
  <c r="AM29" i="44"/>
  <c r="AS42" i="44"/>
  <c r="W9" i="44"/>
  <c r="E18" i="44"/>
  <c r="AI18" i="44"/>
  <c r="AM41" i="44"/>
  <c r="AE12" i="44"/>
  <c r="J9" i="44"/>
  <c r="C23" i="44"/>
  <c r="AA32" i="44"/>
  <c r="AO12" i="44"/>
  <c r="AS17" i="44"/>
  <c r="AS35" i="44"/>
  <c r="AG20" i="44"/>
  <c r="J41" i="44"/>
  <c r="V42" i="44"/>
  <c r="AC8" i="44"/>
  <c r="AN15" i="44"/>
  <c r="V28" i="44"/>
  <c r="AT29" i="44"/>
  <c r="X33" i="44"/>
  <c r="AB10" i="44"/>
  <c r="C13" i="44"/>
  <c r="AE10" i="44"/>
  <c r="AB28" i="44"/>
  <c r="Z22" i="44"/>
  <c r="AQ17" i="44"/>
  <c r="V40" i="44"/>
  <c r="V9" i="44"/>
  <c r="F20" i="44"/>
  <c r="I15" i="44"/>
  <c r="J14" i="44"/>
  <c r="AR40" i="44"/>
  <c r="B41" i="44"/>
  <c r="AT30" i="44"/>
  <c r="AN12" i="44"/>
  <c r="AB33" i="44"/>
  <c r="AG16" i="44"/>
  <c r="D33" i="44"/>
  <c r="AP13" i="44"/>
  <c r="AF33" i="44"/>
  <c r="F7" i="44"/>
  <c r="V19" i="44"/>
  <c r="X41" i="44"/>
  <c r="AH7" i="44"/>
  <c r="Z13" i="44"/>
  <c r="AC9" i="44"/>
  <c r="AM17" i="44"/>
  <c r="AN18" i="44"/>
  <c r="I9" i="44"/>
  <c r="AJ8" i="44"/>
  <c r="AF22" i="44"/>
  <c r="AI23" i="44"/>
  <c r="Y29" i="44"/>
  <c r="G15" i="44"/>
  <c r="AB31" i="44"/>
  <c r="X29" i="44"/>
  <c r="H34" i="44"/>
  <c r="AF10" i="44"/>
  <c r="AR8" i="44"/>
  <c r="AT21" i="44"/>
  <c r="B35" i="44"/>
  <c r="F9" i="44"/>
  <c r="AD8" i="44"/>
  <c r="AL31" i="44"/>
  <c r="AK33" i="44"/>
  <c r="G20" i="44"/>
  <c r="AF34" i="44"/>
  <c r="H8" i="44"/>
  <c r="AD24" i="44"/>
  <c r="AL18" i="44"/>
  <c r="Y41" i="44"/>
  <c r="AO41" i="44"/>
  <c r="K17" i="44"/>
  <c r="AC14" i="44"/>
  <c r="B36" i="44"/>
  <c r="Y20" i="44"/>
  <c r="H10" i="44"/>
  <c r="E35" i="44"/>
  <c r="AH19" i="44"/>
  <c r="AQ10" i="44"/>
  <c r="AN11" i="44"/>
  <c r="K11" i="44"/>
  <c r="AG42" i="44"/>
  <c r="AD35" i="44"/>
  <c r="B24" i="44"/>
  <c r="AG28" i="44"/>
  <c r="AF8" i="44"/>
  <c r="AE24" i="44"/>
  <c r="AD34" i="44"/>
  <c r="AS12" i="44"/>
  <c r="V23" i="44"/>
  <c r="J29" i="44"/>
  <c r="AN22" i="44"/>
  <c r="AP17" i="44"/>
  <c r="AM28" i="44"/>
  <c r="D11" i="44"/>
  <c r="X23" i="44"/>
  <c r="AJ12" i="44"/>
  <c r="AQ21" i="44"/>
  <c r="Y11" i="44"/>
  <c r="AK30" i="44"/>
  <c r="B15" i="44"/>
  <c r="AI19" i="44"/>
  <c r="B30" i="44"/>
  <c r="W30" i="44"/>
  <c r="AF11" i="44"/>
  <c r="C15" i="44"/>
  <c r="D16" i="44"/>
  <c r="AF40" i="44"/>
  <c r="F23" i="44"/>
  <c r="H33" i="44"/>
  <c r="AI7" i="44"/>
  <c r="AB9" i="44"/>
  <c r="AO9" i="44"/>
  <c r="H22" i="44"/>
  <c r="J11" i="44"/>
  <c r="AQ11" i="44"/>
  <c r="B16" i="44"/>
  <c r="AD15" i="44"/>
  <c r="AC16" i="44"/>
  <c r="AO17" i="44"/>
  <c r="G29" i="44"/>
  <c r="AS8" i="44"/>
  <c r="W24" i="44"/>
  <c r="AO36" i="44"/>
  <c r="Y19" i="44"/>
  <c r="Z31" i="44"/>
  <c r="AK10" i="44"/>
  <c r="C10" i="44"/>
  <c r="AT23" i="44"/>
  <c r="AP40" i="44"/>
  <c r="AS11" i="44"/>
  <c r="AR9" i="44"/>
  <c r="AM40" i="44"/>
  <c r="AK42" i="44"/>
  <c r="J22" i="44"/>
  <c r="E11" i="44"/>
  <c r="F34" i="44"/>
  <c r="E23" i="44"/>
  <c r="Y15" i="44"/>
  <c r="AC10" i="44"/>
  <c r="AJ30" i="44"/>
  <c r="AO28" i="44"/>
  <c r="AL16" i="44"/>
  <c r="AO24" i="44"/>
  <c r="AK31" i="44"/>
  <c r="Z14" i="44"/>
  <c r="F41" i="44"/>
  <c r="E21" i="44"/>
  <c r="AS22" i="44"/>
  <c r="AS10" i="44"/>
  <c r="AM34" i="44"/>
  <c r="G17" i="44"/>
  <c r="G40" i="44"/>
  <c r="AK20" i="44"/>
  <c r="AP42" i="44"/>
  <c r="AC21" i="44"/>
  <c r="AQ32" i="44"/>
  <c r="X10" i="44"/>
  <c r="AN14" i="44"/>
  <c r="AS15" i="44"/>
  <c r="Z28" i="44"/>
  <c r="AB30" i="44"/>
  <c r="V21" i="44"/>
  <c r="AF17" i="44"/>
  <c r="X34" i="44"/>
  <c r="Z7" i="44"/>
  <c r="B23" i="44"/>
  <c r="AT20" i="44"/>
  <c r="D42" i="44"/>
  <c r="AM22" i="44"/>
  <c r="G16" i="44"/>
  <c r="K28" i="44"/>
  <c r="AA36" i="44"/>
  <c r="AH33" i="44"/>
  <c r="AT22" i="44"/>
  <c r="W15" i="44"/>
  <c r="Z11" i="44"/>
  <c r="AR20" i="44"/>
  <c r="AE30" i="44"/>
  <c r="B19" i="44"/>
  <c r="AG13" i="44"/>
  <c r="AP12" i="44"/>
  <c r="I17" i="44"/>
  <c r="I31" i="44"/>
  <c r="AL40" i="44"/>
  <c r="AD42" i="44"/>
  <c r="X30" i="44"/>
  <c r="I14" i="44"/>
  <c r="I8" i="44"/>
  <c r="AO29" i="44"/>
  <c r="AD21" i="44"/>
  <c r="G11" i="44"/>
  <c r="Y22" i="44"/>
  <c r="H28" i="44"/>
  <c r="V20" i="44"/>
  <c r="AE11" i="44"/>
  <c r="AL32" i="44"/>
  <c r="AQ33" i="44"/>
  <c r="AN17" i="44"/>
  <c r="AR34" i="44"/>
  <c r="AT18" i="44"/>
  <c r="D15" i="44"/>
  <c r="AH18" i="44"/>
  <c r="AP18" i="44"/>
  <c r="K29" i="44"/>
  <c r="AT42" i="44"/>
  <c r="AD17" i="44"/>
  <c r="Y32" i="44"/>
  <c r="AE36" i="44"/>
  <c r="Z30" i="44"/>
  <c r="AC11" i="44"/>
  <c r="W22" i="44"/>
  <c r="B9" i="44"/>
  <c r="AB32" i="44"/>
  <c r="AB12" i="44"/>
  <c r="K19" i="44"/>
  <c r="AP22" i="44"/>
  <c r="D36" i="44"/>
  <c r="AA10" i="44"/>
  <c r="W12" i="44"/>
  <c r="D22" i="44"/>
  <c r="H24" i="44"/>
  <c r="D28" i="44"/>
  <c r="B11" i="44"/>
  <c r="D24" i="44"/>
  <c r="W31" i="44"/>
  <c r="AK18" i="44"/>
  <c r="AI32" i="44"/>
  <c r="AQ41" i="44"/>
  <c r="AP35" i="44"/>
  <c r="K15" i="44"/>
  <c r="W35" i="44"/>
  <c r="AT17" i="44"/>
  <c r="G36" i="44"/>
  <c r="K13" i="44"/>
  <c r="AF19" i="44"/>
  <c r="AT19" i="44"/>
  <c r="H12" i="44"/>
  <c r="AR22" i="44"/>
  <c r="X15" i="44"/>
  <c r="AL20" i="44"/>
  <c r="AM13" i="44"/>
  <c r="Y18" i="44"/>
  <c r="X32" i="44"/>
  <c r="AL23" i="44"/>
  <c r="AA9" i="44"/>
  <c r="H7" i="44"/>
  <c r="J31" i="44"/>
  <c r="AM14" i="44"/>
  <c r="X20" i="44"/>
  <c r="AH11" i="44"/>
  <c r="J20" i="44"/>
  <c r="AJ35" i="44"/>
  <c r="V31" i="44"/>
  <c r="D9" i="44"/>
  <c r="AD33" i="44"/>
  <c r="AA17" i="44"/>
  <c r="AL17" i="44"/>
  <c r="D31" i="44"/>
  <c r="G7" i="44"/>
  <c r="AL19" i="44"/>
  <c r="X40" i="44"/>
  <c r="AL12" i="44"/>
  <c r="Y30" i="44"/>
  <c r="I13" i="44"/>
  <c r="Y9" i="44"/>
  <c r="AG19" i="44"/>
  <c r="Z35" i="44"/>
  <c r="I40" i="44"/>
  <c r="B33" i="44"/>
  <c r="E7" i="44"/>
  <c r="W23" i="44"/>
  <c r="AK16" i="44"/>
  <c r="X19" i="44"/>
  <c r="W28" i="44"/>
  <c r="AR28" i="44"/>
  <c r="AH21" i="44"/>
  <c r="E34" i="44"/>
  <c r="AG35" i="44"/>
  <c r="AD11" i="44"/>
  <c r="AR33" i="44"/>
  <c r="W17" i="44"/>
  <c r="AR16" i="44"/>
  <c r="AC34" i="44"/>
  <c r="H13" i="44"/>
  <c r="C17" i="44"/>
  <c r="AR18" i="44"/>
  <c r="E20" i="44"/>
  <c r="W21" i="44"/>
  <c r="C35" i="44"/>
  <c r="AT15" i="44"/>
  <c r="AC23" i="44"/>
  <c r="G18" i="44"/>
  <c r="AE22" i="44"/>
  <c r="F31" i="44"/>
  <c r="AR17" i="44"/>
  <c r="AR32" i="44"/>
  <c r="AJ21" i="44"/>
  <c r="AK34" i="44"/>
  <c r="J36" i="44"/>
  <c r="D21" i="44"/>
  <c r="B29" i="44"/>
  <c r="E32" i="44"/>
  <c r="AP14" i="44"/>
  <c r="AM24" i="44"/>
  <c r="AM18" i="44"/>
  <c r="E9" i="44"/>
  <c r="AB21" i="44"/>
  <c r="F16" i="44"/>
  <c r="F40" i="44"/>
  <c r="K22" i="44"/>
  <c r="I28" i="44"/>
  <c r="F36" i="44"/>
  <c r="AH23" i="44"/>
  <c r="K36" i="44"/>
  <c r="Y28" i="44"/>
  <c r="I21" i="44"/>
  <c r="F8" i="44"/>
  <c r="AI17" i="44"/>
  <c r="G42" i="44"/>
  <c r="AE18" i="44"/>
  <c r="AI11" i="44"/>
  <c r="AM30" i="44"/>
  <c r="AG36" i="44"/>
  <c r="D30" i="44"/>
  <c r="AC12" i="44"/>
  <c r="AI10" i="44"/>
  <c r="V30" i="44"/>
  <c r="AE28" i="44"/>
  <c r="I20" i="44"/>
  <c r="I12" i="44"/>
  <c r="AR41" i="44"/>
  <c r="B14" i="44"/>
  <c r="AM16" i="44"/>
  <c r="AB7" i="44"/>
  <c r="K41" i="44"/>
  <c r="J30" i="44"/>
  <c r="AN35" i="44"/>
  <c r="AT32" i="44"/>
  <c r="Y31" i="44"/>
  <c r="AK32" i="44"/>
  <c r="AM20" i="44"/>
  <c r="AL29" i="44"/>
  <c r="H15" i="44"/>
  <c r="Z12" i="44"/>
  <c r="K30" i="44"/>
  <c r="AQ23" i="44"/>
  <c r="X17" i="44"/>
  <c r="K7" i="44"/>
  <c r="G21" i="44"/>
  <c r="F24" i="44"/>
  <c r="AO42" i="44"/>
  <c r="AH29" i="44"/>
  <c r="V13" i="44"/>
  <c r="AB22" i="44"/>
  <c r="AL36" i="44"/>
  <c r="AI20" i="44"/>
  <c r="AF41" i="44"/>
  <c r="AP16" i="44"/>
  <c r="AR7" i="44"/>
  <c r="F42" i="44"/>
  <c r="AB24" i="44"/>
  <c r="Z16" i="44"/>
  <c r="AI31" i="44"/>
  <c r="AG40" i="44"/>
  <c r="X13" i="44"/>
  <c r="AR23" i="44"/>
  <c r="Z20" i="44"/>
  <c r="J32" i="44"/>
  <c r="I30" i="44"/>
  <c r="AH14" i="44"/>
  <c r="X36" i="44"/>
  <c r="D29" i="44"/>
  <c r="F11" i="44"/>
  <c r="AK9" i="44"/>
  <c r="AE34" i="44"/>
  <c r="AJ31" i="44"/>
  <c r="AR12" i="44"/>
  <c r="AN31" i="44"/>
  <c r="H32" i="44"/>
  <c r="Z42" i="44"/>
  <c r="AI15" i="44"/>
  <c r="G32" i="44"/>
  <c r="AS24" i="44"/>
  <c r="AI22" i="44"/>
  <c r="AT28" i="44"/>
  <c r="H20" i="44"/>
  <c r="AF42" i="44"/>
  <c r="G12" i="44"/>
  <c r="AA13" i="44"/>
  <c r="AM42" i="44"/>
  <c r="AS41" i="44"/>
  <c r="Y40" i="44"/>
  <c r="G23" i="44"/>
  <c r="AL22" i="44"/>
  <c r="H16" i="44"/>
  <c r="AB40" i="44"/>
  <c r="AL8" i="44"/>
  <c r="B34" i="44"/>
  <c r="AT9" i="44"/>
  <c r="D8" i="44"/>
  <c r="E10" i="44"/>
  <c r="AN21" i="44"/>
  <c r="AI14" i="44"/>
  <c r="B13" i="44"/>
  <c r="I16" i="44"/>
  <c r="AK28" i="44"/>
  <c r="AT10" i="44"/>
  <c r="W42" i="44"/>
  <c r="Z15" i="44"/>
  <c r="AG24" i="44"/>
  <c r="AT34" i="44"/>
  <c r="C28" i="44"/>
  <c r="AC29" i="44"/>
  <c r="AI34" i="44"/>
  <c r="AG15" i="44"/>
  <c r="AB16" i="44"/>
  <c r="AS28" i="44"/>
  <c r="C32" i="44"/>
  <c r="F12" i="44"/>
  <c r="AA40" i="44"/>
  <c r="AB13" i="44"/>
  <c r="V10" i="44"/>
  <c r="AH30" i="44"/>
  <c r="AH24" i="44"/>
  <c r="AT8" i="44"/>
  <c r="AH41" i="44"/>
  <c r="E33" i="44"/>
  <c r="AP10" i="44"/>
  <c r="AE31" i="44"/>
  <c r="AD18" i="44"/>
  <c r="F10" i="44"/>
  <c r="AQ42" i="44"/>
  <c r="AI8" i="44"/>
  <c r="AM8" i="44"/>
  <c r="J40" i="44"/>
  <c r="V16" i="44"/>
  <c r="AL24" i="44"/>
  <c r="E12" i="44"/>
  <c r="AJ15" i="44"/>
  <c r="AJ16" i="44"/>
  <c r="AK21" i="44"/>
  <c r="AT33" i="44"/>
  <c r="AC28" i="44"/>
  <c r="AT36" i="44"/>
  <c r="AL35" i="44"/>
  <c r="AN29" i="44"/>
  <c r="H18" i="44"/>
  <c r="AH40" i="44"/>
  <c r="E19" i="44"/>
  <c r="AD29" i="44"/>
  <c r="AF12" i="44"/>
  <c r="AA20" i="44"/>
  <c r="AE23" i="44"/>
  <c r="AL9" i="44"/>
  <c r="AQ12" i="44"/>
  <c r="AM31" i="44"/>
  <c r="AO32" i="44"/>
  <c r="B42" i="44"/>
  <c r="AA23" i="44"/>
  <c r="AI24" i="44"/>
  <c r="J28" i="44"/>
  <c r="AB15" i="44"/>
  <c r="AK13" i="44"/>
  <c r="AF7" i="44"/>
  <c r="J12" i="44"/>
  <c r="E14" i="44"/>
  <c r="AQ40" i="44"/>
  <c r="AA41" i="44"/>
  <c r="C30" i="44"/>
  <c r="AD10" i="44"/>
  <c r="V15" i="44"/>
  <c r="D17" i="44"/>
  <c r="AB8" i="44"/>
  <c r="AR31" i="44"/>
  <c r="J21" i="44"/>
  <c r="K20" i="44"/>
  <c r="F18" i="44"/>
  <c r="G8" i="44"/>
  <c r="AB14" i="44"/>
  <c r="G31" i="44"/>
  <c r="W40" i="44"/>
  <c r="G30" i="44"/>
  <c r="AQ8" i="44"/>
  <c r="AL13" i="44"/>
  <c r="B7" i="44"/>
  <c r="AA34" i="44"/>
  <c r="Y36" i="44"/>
  <c r="AQ22" i="44"/>
  <c r="AQ31" i="44"/>
  <c r="AN30" i="44"/>
  <c r="AG30" i="44"/>
  <c r="J8" i="44"/>
  <c r="H23" i="44"/>
  <c r="J24" i="44"/>
  <c r="G28" i="44"/>
  <c r="AT14" i="44"/>
  <c r="AO30" i="44"/>
  <c r="H30" i="44"/>
  <c r="AG34" i="44"/>
  <c r="W18" i="44"/>
  <c r="AE8" i="44"/>
  <c r="AJ10" i="44"/>
  <c r="AJ42" i="44"/>
  <c r="AS20" i="44"/>
  <c r="W14" i="44"/>
  <c r="AN32" i="44"/>
  <c r="AE13" i="44"/>
  <c r="AT13" i="44"/>
  <c r="V17" i="44"/>
  <c r="J10" i="44"/>
  <c r="AA29" i="44"/>
  <c r="C7" i="44"/>
  <c r="V7" i="44"/>
  <c r="I42" i="44"/>
  <c r="B10" i="44"/>
  <c r="C34" i="44"/>
  <c r="AD14" i="44"/>
  <c r="K16" i="44"/>
  <c r="AP8" i="44"/>
  <c r="AC20" i="44"/>
  <c r="AC42" i="44"/>
  <c r="E15" i="44"/>
  <c r="Z29" i="44"/>
  <c r="J23" i="44"/>
  <c r="AF24" i="44"/>
  <c r="B20" i="44"/>
  <c r="F35" i="44"/>
  <c r="F17" i="44"/>
  <c r="AJ36" i="44"/>
  <c r="AF29" i="44"/>
  <c r="Z10" i="44"/>
  <c r="AC18" i="44"/>
  <c r="AQ15" i="44"/>
  <c r="Y12" i="44"/>
  <c r="AH22" i="44"/>
  <c r="W16" i="44"/>
  <c r="AD30" i="44"/>
  <c r="AA7" i="44"/>
  <c r="C40" i="44"/>
  <c r="AO33" i="44"/>
  <c r="W36" i="44"/>
  <c r="AF28" i="44"/>
  <c r="AN33" i="44"/>
  <c r="AO7" i="44"/>
  <c r="AH13" i="44"/>
  <c r="AQ36" i="44"/>
  <c r="AM10" i="44"/>
  <c r="AH34" i="44"/>
  <c r="D34" i="44"/>
  <c r="AI13" i="44"/>
  <c r="AK41" i="44"/>
  <c r="E31" i="44"/>
  <c r="B21" i="44"/>
  <c r="AR15" i="44"/>
  <c r="B31" i="44"/>
  <c r="AH12" i="44"/>
  <c r="AM7" i="44"/>
  <c r="AF13" i="44"/>
  <c r="AK24" i="44"/>
  <c r="AM36" i="44"/>
  <c r="AJ32" i="44"/>
  <c r="K18" i="44"/>
  <c r="AM19" i="44"/>
  <c r="AF32" i="44"/>
  <c r="AM23" i="44"/>
  <c r="Y35" i="44"/>
  <c r="AC17" i="44"/>
  <c r="K9" i="44"/>
  <c r="E30" i="44"/>
  <c r="J42" i="44"/>
  <c r="AE42" i="44"/>
  <c r="J35" i="44"/>
  <c r="AI21" i="44"/>
  <c r="AA35" i="44"/>
  <c r="AA15" i="44"/>
  <c r="J16" i="44"/>
  <c r="H36" i="44"/>
  <c r="AS13" i="44"/>
  <c r="Z40" i="44"/>
  <c r="AO31" i="44"/>
  <c r="AD13" i="44"/>
  <c r="AO34" i="44"/>
  <c r="I24" i="44"/>
  <c r="I19" i="44"/>
  <c r="AR30" i="44"/>
  <c r="AP32" i="44"/>
  <c r="Y21" i="44"/>
  <c r="K32" i="44"/>
  <c r="D41" i="44"/>
  <c r="F14" i="44"/>
  <c r="AQ24" i="44"/>
  <c r="AS7" i="44"/>
  <c r="AI35" i="44"/>
  <c r="F28" i="44"/>
  <c r="D19" i="44"/>
  <c r="AH20" i="44"/>
  <c r="W11" i="44"/>
  <c r="J19" i="44"/>
  <c r="AL15" i="44"/>
  <c r="AG23" i="44"/>
  <c r="AS30" i="44"/>
  <c r="F22" i="44"/>
  <c r="AR21" i="44"/>
  <c r="AP23" i="44"/>
  <c r="AQ19" i="44"/>
  <c r="AD20" i="44"/>
  <c r="AK12" i="44"/>
  <c r="K21" i="44"/>
  <c r="AG22" i="44"/>
  <c r="AH35" i="44"/>
  <c r="AN40" i="44"/>
  <c r="K23" i="44"/>
  <c r="AO20" i="44"/>
  <c r="X11" i="44"/>
  <c r="AJ24" i="44"/>
  <c r="C14" i="44"/>
  <c r="AS34" i="44"/>
  <c r="AE7" i="44"/>
  <c r="D12" i="44"/>
  <c r="Z33" i="44"/>
  <c r="AO22" i="44"/>
  <c r="C24" i="44"/>
  <c r="AS18" i="44"/>
  <c r="K8" i="44"/>
  <c r="AI41" i="44"/>
  <c r="C31" i="44"/>
  <c r="AM12" i="44"/>
  <c r="AQ28" i="44"/>
  <c r="AK23" i="44"/>
  <c r="AC22" i="44"/>
  <c r="AB41" i="44"/>
  <c r="AF16" i="44"/>
  <c r="F32" i="44"/>
  <c r="Z9" i="44"/>
  <c r="AN41" i="44"/>
  <c r="AR10" i="44"/>
  <c r="AP29" i="44"/>
  <c r="V33" i="44"/>
  <c r="AF14" i="44"/>
  <c r="AQ18" i="44"/>
  <c r="AD7" i="44"/>
  <c r="I32" i="44"/>
  <c r="I29" i="44"/>
  <c r="AJ28" i="44"/>
  <c r="Y7" i="44"/>
  <c r="AA24" i="44"/>
  <c r="AF36" i="44"/>
  <c r="AB23" i="44"/>
  <c r="I41" i="44"/>
  <c r="AE16" i="44"/>
  <c r="Z18" i="44"/>
  <c r="AN24" i="44"/>
  <c r="AL28" i="44"/>
  <c r="AS40" i="44"/>
  <c r="W33" i="44"/>
  <c r="AC41" i="44"/>
  <c r="Y24" i="44"/>
  <c r="AM15" i="44"/>
  <c r="AJ22" i="44"/>
  <c r="G41" i="44"/>
  <c r="AS21" i="44"/>
  <c r="AB34" i="44"/>
  <c r="AH17" i="44"/>
  <c r="X31" i="44"/>
  <c r="AG21" i="44"/>
  <c r="Z41" i="44"/>
  <c r="AO15" i="44"/>
  <c r="W29" i="44"/>
  <c r="AG14" i="44"/>
  <c r="AN34" i="44"/>
  <c r="AT11" i="44"/>
  <c r="AE21" i="44"/>
  <c r="AN42" i="44"/>
  <c r="AC24" i="44"/>
  <c r="D18" i="44"/>
  <c r="AG7" i="44"/>
  <c r="Y10" i="44"/>
  <c r="AI42" i="44"/>
  <c r="AD9" i="44"/>
  <c r="AO21" i="44"/>
  <c r="X21" i="44"/>
  <c r="AA33" i="44"/>
  <c r="X12" i="44"/>
  <c r="C21" i="44"/>
  <c r="E36" i="44"/>
  <c r="X9" i="44"/>
  <c r="AH9" i="44"/>
  <c r="J18" i="44"/>
  <c r="AN23" i="44"/>
  <c r="I7" i="44"/>
  <c r="B40" i="44"/>
  <c r="I33" i="44"/>
  <c r="K10" i="44"/>
  <c r="E24" i="44"/>
  <c r="AS36" i="44"/>
  <c r="AS32" i="44"/>
  <c r="G34" i="44"/>
  <c r="AB36" i="44"/>
  <c r="V8" i="44"/>
  <c r="AM32" i="44"/>
  <c r="AB42" i="44"/>
  <c r="H42" i="44"/>
  <c r="AE14" i="44"/>
  <c r="AF20" i="44"/>
  <c r="H11" i="44"/>
  <c r="E17" i="44"/>
  <c r="AK40" i="44"/>
  <c r="AH28" i="44"/>
  <c r="AG10" i="44"/>
  <c r="AP30" i="44"/>
  <c r="D40" i="44"/>
  <c r="AQ14" i="44"/>
  <c r="V34" i="44"/>
  <c r="Y17" i="44"/>
  <c r="C22" i="44"/>
  <c r="AI33" i="44"/>
  <c r="AC13" i="44"/>
  <c r="Z24" i="44"/>
  <c r="AT31" i="44"/>
  <c r="D10" i="44"/>
  <c r="AL42" i="44"/>
  <c r="AF21" i="44"/>
  <c r="V41" i="44"/>
  <c r="G35" i="44"/>
  <c r="Z19" i="44"/>
  <c r="AI28" i="44"/>
  <c r="AO14" i="44"/>
  <c r="AB17" i="44"/>
  <c r="AI40" i="44"/>
  <c r="V11" i="44"/>
  <c r="L39" i="44" l="1" a="1"/>
  <c r="L39" i="44" s="1"/>
  <c r="L38" i="44" a="1"/>
  <c r="L38" i="44" s="1"/>
  <c r="N38" i="44" a="1"/>
  <c r="N38" i="44" s="1"/>
  <c r="Q38" i="44" a="1"/>
  <c r="Q38" i="44" s="1"/>
  <c r="S38" i="44" a="1"/>
  <c r="S38" i="44" s="1"/>
  <c r="T38" i="44" a="1"/>
  <c r="T38" i="44" s="1"/>
  <c r="U38" i="44" a="1"/>
  <c r="U38" i="44" s="1"/>
  <c r="R38" i="44" a="1"/>
  <c r="R38" i="44" s="1"/>
  <c r="O38" i="44" a="1"/>
  <c r="O38" i="44" s="1"/>
  <c r="L27" i="44" a="1"/>
  <c r="L27" i="44" s="1"/>
  <c r="L37" i="44" a="1"/>
  <c r="L37" i="44" s="1"/>
  <c r="S27" i="44" a="1"/>
  <c r="S27" i="44" s="1"/>
  <c r="N27" i="44" a="1"/>
  <c r="N27" i="44" s="1"/>
  <c r="Q27" i="44" a="1"/>
  <c r="Q27" i="44" s="1"/>
  <c r="P25" i="44" a="1"/>
  <c r="P25" i="44" s="1"/>
  <c r="M25" i="44" a="1"/>
  <c r="M25" i="44" s="1"/>
  <c r="S37" i="44" a="1"/>
  <c r="S37" i="44" s="1"/>
  <c r="N37" i="44" a="1"/>
  <c r="N37" i="44" s="1"/>
  <c r="Q37" i="44" a="1"/>
  <c r="Q37" i="44" s="1"/>
  <c r="T25" i="44" a="1"/>
  <c r="T25" i="44" s="1"/>
  <c r="O25" i="44" a="1"/>
  <c r="O25" i="44" s="1"/>
  <c r="U25" i="44" a="1"/>
  <c r="U25" i="44" s="1"/>
  <c r="R25" i="44" a="1"/>
  <c r="R25" i="44" s="1"/>
  <c r="M27" i="44" a="1"/>
  <c r="M27" i="44" s="1"/>
  <c r="P27" i="44" a="1"/>
  <c r="P27" i="44" s="1"/>
  <c r="L25" i="44" a="1"/>
  <c r="L25" i="44" s="1"/>
  <c r="R39" i="44" a="1"/>
  <c r="R39" i="44" s="1"/>
  <c r="T39" i="44" a="1"/>
  <c r="T39" i="44" s="1"/>
  <c r="O39" i="44" a="1"/>
  <c r="O39" i="44" s="1"/>
  <c r="U39" i="44" a="1"/>
  <c r="U39" i="44" s="1"/>
  <c r="P26" i="44" a="1"/>
  <c r="P26" i="44" s="1"/>
  <c r="M26" i="44" a="1"/>
  <c r="M26" i="44" s="1"/>
  <c r="P39" i="44" a="1"/>
  <c r="P39" i="44" s="1"/>
  <c r="M39" i="44" a="1"/>
  <c r="M39" i="44" s="1"/>
  <c r="L26" i="44" a="1"/>
  <c r="L26" i="44" s="1"/>
  <c r="N39" i="44" a="1"/>
  <c r="N39" i="44" s="1"/>
  <c r="Q39" i="44" a="1"/>
  <c r="Q39" i="44" s="1"/>
  <c r="S39" i="44" a="1"/>
  <c r="S39" i="44" s="1"/>
  <c r="N25" i="44" a="1"/>
  <c r="N25" i="44" s="1"/>
  <c r="Q25" i="44" a="1"/>
  <c r="Q25" i="44" s="1"/>
  <c r="S25" i="44" a="1"/>
  <c r="S25" i="44" s="1"/>
  <c r="T26" i="44" a="1"/>
  <c r="T26" i="44" s="1"/>
  <c r="R26" i="44" a="1"/>
  <c r="R26" i="44" s="1"/>
  <c r="O26" i="44" a="1"/>
  <c r="O26" i="44" s="1"/>
  <c r="U26" i="44" a="1"/>
  <c r="U26" i="44" s="1"/>
  <c r="P38" i="44" a="1"/>
  <c r="P38" i="44" s="1"/>
  <c r="M38" i="44" a="1"/>
  <c r="M38" i="44" s="1"/>
  <c r="Q26" i="44" a="1"/>
  <c r="Q26" i="44" s="1"/>
  <c r="N26" i="44" a="1"/>
  <c r="N26" i="44" s="1"/>
  <c r="S26" i="44" a="1"/>
  <c r="S26" i="44" s="1"/>
  <c r="M37" i="44" a="1"/>
  <c r="M37" i="44" s="1"/>
  <c r="P37" i="44" a="1"/>
  <c r="P37" i="44" s="1"/>
  <c r="R37" i="44" a="1"/>
  <c r="R37" i="44" s="1"/>
  <c r="T37" i="44" a="1"/>
  <c r="T37" i="44" s="1"/>
  <c r="O37" i="44" a="1"/>
  <c r="O37" i="44" s="1"/>
  <c r="U37" i="44" a="1"/>
  <c r="U37" i="44" s="1"/>
  <c r="T27" i="44" a="1"/>
  <c r="T27" i="44" s="1"/>
  <c r="U27" i="44" a="1"/>
  <c r="U27" i="44" s="1"/>
  <c r="O27" i="44" a="1"/>
  <c r="O27" i="44" s="1"/>
  <c r="R27" i="44" a="1"/>
  <c r="R27" i="44" s="1"/>
  <c r="L12" i="44" a="1"/>
  <c r="L12" i="44" s="1"/>
  <c r="AV12" i="44" s="1"/>
  <c r="L24" i="44" a="1"/>
  <c r="L24" i="44" s="1"/>
  <c r="L10" i="44" a="1"/>
  <c r="L10" i="44" s="1"/>
  <c r="L36" i="44" a="1"/>
  <c r="L36" i="44" s="1"/>
  <c r="AV36" i="44" s="1"/>
  <c r="L7" i="44" a="1"/>
  <c r="L7" i="44" s="1"/>
  <c r="AV7" i="44" s="1"/>
  <c r="L32" i="44" a="1"/>
  <c r="L32" i="44" s="1"/>
  <c r="L18" i="44" a="1"/>
  <c r="L18" i="44" s="1"/>
  <c r="L21" i="44" a="1"/>
  <c r="L21" i="44" s="1"/>
  <c r="L29" i="44" a="1"/>
  <c r="L29" i="44" s="1"/>
  <c r="L22" i="44" a="1"/>
  <c r="L22" i="44" s="1"/>
  <c r="L40" i="44" a="1"/>
  <c r="L40" i="44" s="1"/>
  <c r="L15" i="44" a="1"/>
  <c r="L15" i="44" s="1"/>
  <c r="L17" i="44" a="1"/>
  <c r="L17" i="44" s="1"/>
  <c r="L41" i="44" a="1"/>
  <c r="L41" i="44" s="1"/>
  <c r="L19" i="44" a="1"/>
  <c r="L19" i="44" s="1"/>
  <c r="L31" i="44" a="1"/>
  <c r="L31" i="44" s="1"/>
  <c r="L20" i="44" a="1"/>
  <c r="L20" i="44" s="1"/>
  <c r="L23" i="44" a="1"/>
  <c r="L23" i="44" s="1"/>
  <c r="L14" i="44" a="1"/>
  <c r="L14" i="44" s="1"/>
  <c r="T7" i="44" a="1"/>
  <c r="T7" i="44" s="1"/>
  <c r="R7" i="44" a="1"/>
  <c r="R7" i="44" s="1"/>
  <c r="U7" i="44" a="1"/>
  <c r="U7" i="44" s="1"/>
  <c r="O7" i="44" a="1"/>
  <c r="O7" i="44" s="1"/>
  <c r="M19" i="44" a="1"/>
  <c r="M19" i="44" s="1"/>
  <c r="P19" i="44" a="1"/>
  <c r="P19" i="44" s="1"/>
  <c r="F54" i="44"/>
  <c r="F52" i="44"/>
  <c r="F50" i="44"/>
  <c r="F51" i="44"/>
  <c r="F53" i="44"/>
  <c r="L35" i="44" a="1"/>
  <c r="L35" i="44" s="1"/>
  <c r="G54" i="44"/>
  <c r="G50" i="44"/>
  <c r="G52" i="44"/>
  <c r="G68" i="44" s="1"/>
  <c r="G51" i="44"/>
  <c r="G53" i="44"/>
  <c r="G85" i="44" s="1"/>
  <c r="I53" i="44"/>
  <c r="I85" i="44" s="1"/>
  <c r="I51" i="44"/>
  <c r="I52" i="44"/>
  <c r="I68" i="44" s="1"/>
  <c r="I54" i="44"/>
  <c r="I50" i="44"/>
  <c r="T11" i="44" a="1"/>
  <c r="T11" i="44" s="1"/>
  <c r="U11" i="44" a="1"/>
  <c r="U11" i="44" s="1"/>
  <c r="R11" i="44" a="1"/>
  <c r="R11" i="44" s="1"/>
  <c r="O11" i="44" a="1"/>
  <c r="O11" i="44" s="1"/>
  <c r="U19" i="44" a="1"/>
  <c r="U19" i="44" s="1"/>
  <c r="O19" i="44" a="1"/>
  <c r="O19" i="44" s="1"/>
  <c r="T19" i="44" a="1"/>
  <c r="T19" i="44" s="1"/>
  <c r="R19" i="44" a="1"/>
  <c r="R19" i="44" s="1"/>
  <c r="L33" i="44" a="1"/>
  <c r="L33" i="44" s="1"/>
  <c r="N30" i="44" a="1"/>
  <c r="N30" i="44" s="1"/>
  <c r="S30" i="44" a="1"/>
  <c r="S30" i="44" s="1"/>
  <c r="Q30" i="44" a="1"/>
  <c r="Q30" i="44" s="1"/>
  <c r="S10" i="44" a="1"/>
  <c r="S10" i="44" s="1"/>
  <c r="Q10" i="44" a="1"/>
  <c r="Q10" i="44" s="1"/>
  <c r="N10" i="44" a="1"/>
  <c r="N10" i="44" s="1"/>
  <c r="N41" i="44" a="1"/>
  <c r="N41" i="44" s="1"/>
  <c r="S41" i="44" a="1"/>
  <c r="S41" i="44" s="1"/>
  <c r="Q41" i="44" a="1"/>
  <c r="Q41" i="44" s="1"/>
  <c r="S40" i="44" a="1"/>
  <c r="S40" i="44" s="1"/>
  <c r="N40" i="44" a="1"/>
  <c r="N40" i="44" s="1"/>
  <c r="Q40" i="44" a="1"/>
  <c r="Q40" i="44" s="1"/>
  <c r="P42" i="44" a="1"/>
  <c r="P42" i="44" s="1"/>
  <c r="M42" i="44" a="1"/>
  <c r="M42" i="44" s="1"/>
  <c r="O17" i="44" a="1"/>
  <c r="O17" i="44" s="1"/>
  <c r="T17" i="44" a="1"/>
  <c r="T17" i="44" s="1"/>
  <c r="R17" i="44" a="1"/>
  <c r="R17" i="44" s="1"/>
  <c r="U17" i="44" a="1"/>
  <c r="U17" i="44" s="1"/>
  <c r="AJ50" i="44"/>
  <c r="AJ51" i="44"/>
  <c r="AJ53" i="44"/>
  <c r="AJ54" i="44"/>
  <c r="AJ52" i="44"/>
  <c r="AJ68" i="44" s="1"/>
  <c r="M8" i="44" a="1"/>
  <c r="M8" i="44" s="1"/>
  <c r="P8" i="44" a="1"/>
  <c r="P8" i="44" s="1"/>
  <c r="AC54" i="44"/>
  <c r="AC51" i="44"/>
  <c r="AC53" i="44"/>
  <c r="AC52" i="44"/>
  <c r="AC68" i="44" s="1"/>
  <c r="AC50" i="44"/>
  <c r="O24" i="44" a="1"/>
  <c r="O24" i="44" s="1"/>
  <c r="U24" i="44" a="1"/>
  <c r="U24" i="44" s="1"/>
  <c r="T24" i="44" a="1"/>
  <c r="T24" i="44" s="1"/>
  <c r="R24" i="44" a="1"/>
  <c r="R24" i="44" s="1"/>
  <c r="O29" i="44" a="1"/>
  <c r="O29" i="44" s="1"/>
  <c r="R29" i="44" a="1"/>
  <c r="R29" i="44" s="1"/>
  <c r="U29" i="44" a="1"/>
  <c r="U29" i="44" s="1"/>
  <c r="T29" i="44" a="1"/>
  <c r="T29" i="44" s="1"/>
  <c r="N36" i="44" a="1"/>
  <c r="N36" i="44" s="1"/>
  <c r="AX36" i="44" s="1"/>
  <c r="S36" i="44" a="1"/>
  <c r="S36" i="44" s="1"/>
  <c r="BC36" i="44" s="1"/>
  <c r="Q36" i="44" a="1"/>
  <c r="Q36" i="44" s="1"/>
  <c r="BA36" i="44" s="1"/>
  <c r="N24" i="44" a="1"/>
  <c r="N24" i="44" s="1"/>
  <c r="S24" i="44" a="1"/>
  <c r="S24" i="44" s="1"/>
  <c r="Q24" i="44" a="1"/>
  <c r="Q24" i="44" s="1"/>
  <c r="S17" i="44" a="1"/>
  <c r="S17" i="44" s="1"/>
  <c r="Q17" i="44" a="1"/>
  <c r="Q17" i="44" s="1"/>
  <c r="N17" i="44" a="1"/>
  <c r="N17" i="44" s="1"/>
  <c r="AI54" i="44"/>
  <c r="AI52" i="44"/>
  <c r="AI68" i="44" s="1"/>
  <c r="AI50" i="44"/>
  <c r="AI53" i="44"/>
  <c r="AI51" i="44"/>
  <c r="T12" i="44" a="1"/>
  <c r="T12" i="44" s="1"/>
  <c r="R12" i="44" a="1"/>
  <c r="R12" i="44" s="1"/>
  <c r="BB12" i="44" s="1"/>
  <c r="O12" i="44" a="1"/>
  <c r="O12" i="44" s="1"/>
  <c r="U12" i="44" a="1"/>
  <c r="U12" i="44" s="1"/>
  <c r="O22" i="44" a="1"/>
  <c r="O22" i="44" s="1"/>
  <c r="T22" i="44" a="1"/>
  <c r="T22" i="44" s="1"/>
  <c r="U22" i="44" a="1"/>
  <c r="U22" i="44" s="1"/>
  <c r="R22" i="44" a="1"/>
  <c r="R22" i="44" s="1"/>
  <c r="S23" i="44" a="1"/>
  <c r="S23" i="44" s="1"/>
  <c r="Q23" i="44" a="1"/>
  <c r="Q23" i="44" s="1"/>
  <c r="N23" i="44" a="1"/>
  <c r="N23" i="44" s="1"/>
  <c r="U30" i="44" a="1"/>
  <c r="U30" i="44" s="1"/>
  <c r="T30" i="44" a="1"/>
  <c r="T30" i="44" s="1"/>
  <c r="O30" i="44" a="1"/>
  <c r="O30" i="44" s="1"/>
  <c r="R30" i="44" a="1"/>
  <c r="R30" i="44" s="1"/>
  <c r="K58" i="44"/>
  <c r="H57" i="44"/>
  <c r="X62" i="44"/>
  <c r="G62" i="44"/>
  <c r="Z62" i="44"/>
  <c r="AJ62" i="44"/>
  <c r="I61" i="44"/>
  <c r="Z58" i="44"/>
  <c r="AH62" i="44"/>
  <c r="X58" i="44"/>
  <c r="J62" i="44"/>
  <c r="K59" i="44" a="1"/>
  <c r="K59" i="44" s="1"/>
  <c r="I59" i="44" a="1"/>
  <c r="I59" i="44" s="1"/>
  <c r="L61" i="44"/>
  <c r="O61" i="44"/>
  <c r="AJ58" i="44"/>
  <c r="AB58" i="44"/>
  <c r="AF58" i="44"/>
  <c r="I57" i="44"/>
  <c r="G58" i="44"/>
  <c r="AF62" i="44"/>
  <c r="U57" i="44"/>
  <c r="T57" i="44"/>
  <c r="T61" i="44"/>
  <c r="AC62" i="44"/>
  <c r="M61" i="44"/>
  <c r="V62" i="44"/>
  <c r="AE58" i="44"/>
  <c r="H63" i="44" a="1"/>
  <c r="H63" i="44" s="1"/>
  <c r="AE62" i="44"/>
  <c r="AB62" i="44"/>
  <c r="AD62" i="44"/>
  <c r="J59" i="44" a="1"/>
  <c r="J59" i="44" s="1"/>
  <c r="H62" i="44"/>
  <c r="G57" i="44"/>
  <c r="R61" i="44"/>
  <c r="K63" i="44" a="1"/>
  <c r="K63" i="44" s="1"/>
  <c r="G63" i="44" a="1"/>
  <c r="G63" i="44" s="1"/>
  <c r="I58" i="44"/>
  <c r="M57" i="44"/>
  <c r="I63" i="44" a="1"/>
  <c r="I63" i="44" s="1"/>
  <c r="J61" i="44"/>
  <c r="J63" i="44" a="1"/>
  <c r="J63" i="44" s="1"/>
  <c r="J58" i="44"/>
  <c r="G61" i="44"/>
  <c r="AC58" i="44"/>
  <c r="AA58" i="44"/>
  <c r="F57" i="44"/>
  <c r="N61" i="44"/>
  <c r="K61" i="44"/>
  <c r="H61" i="44"/>
  <c r="H59" i="44" a="1"/>
  <c r="H59" i="44" s="1"/>
  <c r="Q61" i="44"/>
  <c r="G59" i="44" a="1"/>
  <c r="G59" i="44" s="1"/>
  <c r="P57" i="44"/>
  <c r="W58" i="44"/>
  <c r="AA62" i="44"/>
  <c r="H58" i="44"/>
  <c r="I62" i="44"/>
  <c r="Y62" i="44"/>
  <c r="W62" i="44"/>
  <c r="L57" i="44"/>
  <c r="S57" i="44"/>
  <c r="F59" i="44" a="1"/>
  <c r="F59" i="44" s="1"/>
  <c r="J57" i="44"/>
  <c r="AG58" i="44"/>
  <c r="K57" i="44"/>
  <c r="O57" i="44"/>
  <c r="K62" i="44"/>
  <c r="P61" i="44"/>
  <c r="F62" i="44"/>
  <c r="AI58" i="44"/>
  <c r="N57" i="44"/>
  <c r="AH58" i="44"/>
  <c r="V58" i="44"/>
  <c r="S61" i="44"/>
  <c r="AI62" i="44"/>
  <c r="F58" i="44"/>
  <c r="R57" i="44"/>
  <c r="AD58" i="44"/>
  <c r="F61" i="44"/>
  <c r="U61" i="44"/>
  <c r="AG62" i="44"/>
  <c r="Q57" i="44"/>
  <c r="Y58" i="44"/>
  <c r="F63" i="44" a="1"/>
  <c r="F63" i="44" s="1"/>
  <c r="M24" i="44" a="1"/>
  <c r="M24" i="44" s="1"/>
  <c r="P24" i="44" a="1"/>
  <c r="P24" i="44" s="1"/>
  <c r="Q18" i="44" a="1"/>
  <c r="Q18" i="44" s="1"/>
  <c r="S18" i="44" a="1"/>
  <c r="S18" i="44" s="1"/>
  <c r="N18" i="44" a="1"/>
  <c r="N18" i="44" s="1"/>
  <c r="M10" i="44" a="1"/>
  <c r="M10" i="44" s="1"/>
  <c r="P10" i="44" a="1"/>
  <c r="P10" i="44" s="1"/>
  <c r="Q19" i="44" a="1"/>
  <c r="Q19" i="44" s="1"/>
  <c r="S19" i="44" a="1"/>
  <c r="S19" i="44" s="1"/>
  <c r="BC25" i="44" s="1"/>
  <c r="N19" i="44" a="1"/>
  <c r="N19" i="44" s="1"/>
  <c r="AX25" i="44" s="1"/>
  <c r="Q29" i="44" a="1"/>
  <c r="Q29" i="44" s="1"/>
  <c r="S29" i="44" a="1"/>
  <c r="S29" i="44" s="1"/>
  <c r="N29" i="44" a="1"/>
  <c r="N29" i="44" s="1"/>
  <c r="L42" i="44" a="1"/>
  <c r="L42" i="44" s="1"/>
  <c r="R13" i="44" a="1"/>
  <c r="R13" i="44" s="1"/>
  <c r="BB19" i="44" s="1"/>
  <c r="U13" i="44" a="1"/>
  <c r="U13" i="44" s="1"/>
  <c r="T13" i="44" a="1"/>
  <c r="T13" i="44" s="1"/>
  <c r="O13" i="44" a="1"/>
  <c r="O13" i="44" s="1"/>
  <c r="P22" i="44" a="1"/>
  <c r="P22" i="44" s="1"/>
  <c r="M22" i="44" a="1"/>
  <c r="M22" i="44" s="1"/>
  <c r="M34" i="44" a="1"/>
  <c r="M34" i="44" s="1"/>
  <c r="P34" i="44" a="1"/>
  <c r="P34" i="44" s="1"/>
  <c r="P15" i="44" a="1"/>
  <c r="P15" i="44" s="1"/>
  <c r="M15" i="44" a="1"/>
  <c r="M15" i="44" s="1"/>
  <c r="N21" i="44" a="1"/>
  <c r="N21" i="44" s="1"/>
  <c r="S21" i="44" a="1"/>
  <c r="S21" i="44" s="1"/>
  <c r="Q21" i="44" a="1"/>
  <c r="Q21" i="44" s="1"/>
  <c r="AF50" i="44"/>
  <c r="AF52" i="44"/>
  <c r="AF68" i="44" s="1"/>
  <c r="AF54" i="44"/>
  <c r="AF51" i="44"/>
  <c r="AF53" i="44"/>
  <c r="J52" i="44"/>
  <c r="J68" i="44" s="1"/>
  <c r="J50" i="44"/>
  <c r="J53" i="44"/>
  <c r="J85" i="44" s="1"/>
  <c r="J51" i="44"/>
  <c r="J54" i="44"/>
  <c r="AE53" i="44"/>
  <c r="AE52" i="44"/>
  <c r="AE68" i="44" s="1"/>
  <c r="AE50" i="44"/>
  <c r="Q28" i="44" a="1"/>
  <c r="Q28" i="44" s="1"/>
  <c r="AE54" i="44"/>
  <c r="N28" i="44" a="1"/>
  <c r="N28" i="44" s="1"/>
  <c r="AE51" i="44"/>
  <c r="S28" i="44" a="1"/>
  <c r="S28" i="44" s="1"/>
  <c r="L9" i="44" a="1"/>
  <c r="L9" i="44" s="1"/>
  <c r="AV39" i="44" s="1"/>
  <c r="AG50" i="44"/>
  <c r="AG51" i="44"/>
  <c r="AG54" i="44"/>
  <c r="AG52" i="44"/>
  <c r="AG68" i="44" s="1"/>
  <c r="AG53" i="44"/>
  <c r="U31" i="44" a="1"/>
  <c r="U31" i="44" s="1"/>
  <c r="T31" i="44" a="1"/>
  <c r="T31" i="44" s="1"/>
  <c r="BD26" i="44" s="1"/>
  <c r="R31" i="44" a="1"/>
  <c r="R31" i="44" s="1"/>
  <c r="BB26" i="44" s="1"/>
  <c r="O31" i="44" a="1"/>
  <c r="O31" i="44" s="1"/>
  <c r="U10" i="44" a="1"/>
  <c r="U10" i="44" s="1"/>
  <c r="T10" i="44" a="1"/>
  <c r="T10" i="44" s="1"/>
  <c r="O10" i="44" a="1"/>
  <c r="O10" i="44" s="1"/>
  <c r="R10" i="44" a="1"/>
  <c r="R10" i="44" s="1"/>
  <c r="P20" i="44" a="1"/>
  <c r="P20" i="44" s="1"/>
  <c r="AZ27" i="44" s="1"/>
  <c r="M20" i="44" a="1"/>
  <c r="M20" i="44" s="1"/>
  <c r="AW27" i="44" s="1"/>
  <c r="U16" i="44" a="1"/>
  <c r="U16" i="44" s="1"/>
  <c r="BE22" i="44" s="1"/>
  <c r="O16" i="44" a="1"/>
  <c r="O16" i="44" s="1"/>
  <c r="R16" i="44" a="1"/>
  <c r="R16" i="44" s="1"/>
  <c r="BB22" i="44" s="1"/>
  <c r="T16" i="44" a="1"/>
  <c r="T16" i="44" s="1"/>
  <c r="Q35" i="44" a="1"/>
  <c r="Q35" i="44" s="1"/>
  <c r="N35" i="44" a="1"/>
  <c r="N35" i="44" s="1"/>
  <c r="S35" i="44" a="1"/>
  <c r="S35" i="44" s="1"/>
  <c r="R15" i="44" a="1"/>
  <c r="R15" i="44" s="1"/>
  <c r="O15" i="44" a="1"/>
  <c r="O15" i="44" s="1"/>
  <c r="U15" i="44" a="1"/>
  <c r="U15" i="44" s="1"/>
  <c r="T15" i="44" a="1"/>
  <c r="T15" i="44" s="1"/>
  <c r="R8" i="44" a="1"/>
  <c r="R8" i="44" s="1"/>
  <c r="U8" i="44" a="1"/>
  <c r="U8" i="44" s="1"/>
  <c r="BE38" i="44" s="1"/>
  <c r="O8" i="44" a="1"/>
  <c r="O8" i="44" s="1"/>
  <c r="T8" i="44" a="1"/>
  <c r="T8" i="44" s="1"/>
  <c r="BD38" i="44" s="1"/>
  <c r="R32" i="44" a="1"/>
  <c r="R32" i="44" s="1"/>
  <c r="T32" i="44" a="1"/>
  <c r="T32" i="44" s="1"/>
  <c r="U32" i="44" a="1"/>
  <c r="U32" i="44" s="1"/>
  <c r="O32" i="44" a="1"/>
  <c r="O32" i="44" s="1"/>
  <c r="N33" i="44" a="1"/>
  <c r="N33" i="44" s="1"/>
  <c r="AX30" i="44" s="1"/>
  <c r="S33" i="44" a="1"/>
  <c r="S33" i="44" s="1"/>
  <c r="BC30" i="44" s="1"/>
  <c r="Q33" i="44" a="1"/>
  <c r="Q33" i="44" s="1"/>
  <c r="BA30" i="44" s="1"/>
  <c r="P36" i="44" a="1"/>
  <c r="P36" i="44" s="1"/>
  <c r="AZ36" i="44" s="1"/>
  <c r="M36" i="44" a="1"/>
  <c r="M36" i="44" s="1"/>
  <c r="AW36" i="44" s="1"/>
  <c r="P41" i="44" a="1"/>
  <c r="P41" i="44" s="1"/>
  <c r="M41" i="44" a="1"/>
  <c r="M41" i="44" s="1"/>
  <c r="P13" i="44" a="1"/>
  <c r="P13" i="44" s="1"/>
  <c r="AZ19" i="44" s="1"/>
  <c r="M13" i="44" a="1"/>
  <c r="M13" i="44" s="1"/>
  <c r="U14" i="44" a="1"/>
  <c r="U14" i="44" s="1"/>
  <c r="R14" i="44" a="1"/>
  <c r="R14" i="44" s="1"/>
  <c r="O14" i="44" a="1"/>
  <c r="O14" i="44" s="1"/>
  <c r="T14" i="44" a="1"/>
  <c r="T14" i="44" s="1"/>
  <c r="O21" i="44" a="1"/>
  <c r="O21" i="44" s="1"/>
  <c r="AY29" i="44" s="1"/>
  <c r="U21" i="44" a="1"/>
  <c r="U21" i="44" s="1"/>
  <c r="BE29" i="44" s="1"/>
  <c r="R21" i="44" a="1"/>
  <c r="R21" i="44" s="1"/>
  <c r="BB29" i="44" s="1"/>
  <c r="T21" i="44" a="1"/>
  <c r="T21" i="44" s="1"/>
  <c r="BD29" i="44" s="1"/>
  <c r="AH53" i="44"/>
  <c r="AH51" i="44"/>
  <c r="AH54" i="44"/>
  <c r="T28" i="44" a="1"/>
  <c r="T28" i="44" s="1"/>
  <c r="AH52" i="44"/>
  <c r="AH68" i="44" s="1"/>
  <c r="R28" i="44" a="1"/>
  <c r="R28" i="44" s="1"/>
  <c r="AH50" i="44"/>
  <c r="U28" i="44" a="1"/>
  <c r="U28" i="44" s="1"/>
  <c r="O28" i="44" a="1"/>
  <c r="O28" i="44" s="1"/>
  <c r="R35" i="44" a="1"/>
  <c r="R35" i="44" s="1"/>
  <c r="U35" i="44" a="1"/>
  <c r="U35" i="44" s="1"/>
  <c r="O35" i="44" a="1"/>
  <c r="O35" i="44" s="1"/>
  <c r="T35" i="44" a="1"/>
  <c r="T35" i="44" s="1"/>
  <c r="U33" i="44" a="1"/>
  <c r="U33" i="44" s="1"/>
  <c r="BE30" i="44" s="1"/>
  <c r="R33" i="44" a="1"/>
  <c r="R33" i="44" s="1"/>
  <c r="T33" i="44" a="1"/>
  <c r="T33" i="44" s="1"/>
  <c r="O33" i="44" a="1"/>
  <c r="O33" i="44" s="1"/>
  <c r="M9" i="44" a="1"/>
  <c r="M9" i="44" s="1"/>
  <c r="P9" i="44" a="1"/>
  <c r="P9" i="44" s="1"/>
  <c r="V52" i="44"/>
  <c r="V68" i="44" s="1"/>
  <c r="V50" i="44"/>
  <c r="V51" i="44"/>
  <c r="V54" i="44"/>
  <c r="V53" i="44"/>
  <c r="L13" i="44" a="1"/>
  <c r="L13" i="44" s="1"/>
  <c r="AV19" i="44" s="1"/>
  <c r="L16" i="44" a="1"/>
  <c r="L16" i="44" s="1"/>
  <c r="R42" i="44" a="1"/>
  <c r="R42" i="44" s="1"/>
  <c r="U42" i="44" a="1"/>
  <c r="U42" i="44" s="1"/>
  <c r="O42" i="44" a="1"/>
  <c r="O42" i="44" s="1"/>
  <c r="T42" i="44" a="1"/>
  <c r="T42" i="44" s="1"/>
  <c r="P29" i="44" a="1"/>
  <c r="P29" i="44" s="1"/>
  <c r="M29" i="44" a="1"/>
  <c r="M29" i="44" s="1"/>
  <c r="P21" i="44" a="1"/>
  <c r="P21" i="44" s="1"/>
  <c r="M21" i="44" a="1"/>
  <c r="M21" i="44" s="1"/>
  <c r="O36" i="44" a="1"/>
  <c r="O36" i="44" s="1"/>
  <c r="AY36" i="44" s="1"/>
  <c r="R36" i="44" a="1"/>
  <c r="R36" i="44" s="1"/>
  <c r="BB36" i="44" s="1"/>
  <c r="T36" i="44" a="1"/>
  <c r="T36" i="44" s="1"/>
  <c r="BD36" i="44" s="1"/>
  <c r="U36" i="44" a="1"/>
  <c r="U36" i="44" s="1"/>
  <c r="BE36" i="44" s="1"/>
  <c r="Q16" i="44" a="1"/>
  <c r="Q16" i="44" s="1"/>
  <c r="N16" i="44" a="1"/>
  <c r="N16" i="44" s="1"/>
  <c r="S16" i="44" a="1"/>
  <c r="S16" i="44" s="1"/>
  <c r="N7" i="44" a="1"/>
  <c r="N7" i="44" s="1"/>
  <c r="AX37" i="44" s="1"/>
  <c r="S7" i="44" a="1"/>
  <c r="S7" i="44" s="1"/>
  <c r="BC37" i="44" s="1"/>
  <c r="Q7" i="44" a="1"/>
  <c r="Q7" i="44" s="1"/>
  <c r="BA37" i="44" s="1"/>
  <c r="N8" i="44" a="1"/>
  <c r="N8" i="44" s="1"/>
  <c r="AX38" i="44" s="1"/>
  <c r="Q8" i="44" a="1"/>
  <c r="Q8" i="44" s="1"/>
  <c r="BA38" i="44" s="1"/>
  <c r="S8" i="44" a="1"/>
  <c r="S8" i="44" s="1"/>
  <c r="BC38" i="44" s="1"/>
  <c r="P14" i="44" a="1"/>
  <c r="P14" i="44" s="1"/>
  <c r="M14" i="44" a="1"/>
  <c r="M14" i="44" s="1"/>
  <c r="N31" i="44" a="1"/>
  <c r="N31" i="44" s="1"/>
  <c r="AX26" i="44" s="1"/>
  <c r="S31" i="44" a="1"/>
  <c r="S31" i="44" s="1"/>
  <c r="BC26" i="44" s="1"/>
  <c r="Q31" i="44" a="1"/>
  <c r="Q31" i="44" s="1"/>
  <c r="M40" i="44" a="1"/>
  <c r="M40" i="44" s="1"/>
  <c r="P40" i="44" a="1"/>
  <c r="P40" i="44" s="1"/>
  <c r="W52" i="44"/>
  <c r="W68" i="44" s="1"/>
  <c r="W54" i="44"/>
  <c r="W50" i="44"/>
  <c r="W51" i="44"/>
  <c r="W53" i="44"/>
  <c r="L30" i="44" a="1"/>
  <c r="L30" i="44" s="1"/>
  <c r="AV17" i="44" s="1"/>
  <c r="P12" i="44" a="1"/>
  <c r="P12" i="44" s="1"/>
  <c r="AZ42" i="44" s="1"/>
  <c r="M12" i="44" a="1"/>
  <c r="M12" i="44" s="1"/>
  <c r="H53" i="44"/>
  <c r="H85" i="44" s="1"/>
  <c r="H52" i="44"/>
  <c r="H68" i="44" s="1"/>
  <c r="H50" i="44"/>
  <c r="H51" i="44"/>
  <c r="H54" i="44"/>
  <c r="S12" i="44" a="1"/>
  <c r="S12" i="44" s="1"/>
  <c r="Q12" i="44" a="1"/>
  <c r="Q12" i="44" s="1"/>
  <c r="N12" i="44" a="1"/>
  <c r="N12" i="44" s="1"/>
  <c r="AA52" i="44"/>
  <c r="AA68" i="44" s="1"/>
  <c r="AA50" i="44"/>
  <c r="AA51" i="44"/>
  <c r="AA53" i="44"/>
  <c r="AA54" i="44"/>
  <c r="Q20" i="44" a="1"/>
  <c r="Q20" i="44" s="1"/>
  <c r="BA27" i="44" s="1"/>
  <c r="N20" i="44" a="1"/>
  <c r="N20" i="44" s="1"/>
  <c r="AX27" i="44" s="1"/>
  <c r="S20" i="44" a="1"/>
  <c r="S20" i="44" s="1"/>
  <c r="M11" i="44" a="1"/>
  <c r="M11" i="44" s="1"/>
  <c r="P11" i="44" a="1"/>
  <c r="P11" i="44" s="1"/>
  <c r="P35" i="44" a="1"/>
  <c r="P35" i="44" s="1"/>
  <c r="AZ34" i="44" s="1"/>
  <c r="M35" i="44" a="1"/>
  <c r="M35" i="44" s="1"/>
  <c r="Q13" i="44" a="1"/>
  <c r="Q13" i="44" s="1"/>
  <c r="N13" i="44" a="1"/>
  <c r="N13" i="44" s="1"/>
  <c r="S13" i="44" a="1"/>
  <c r="S13" i="44" s="1"/>
  <c r="M16" i="44" a="1"/>
  <c r="M16" i="44" s="1"/>
  <c r="P16" i="44" a="1"/>
  <c r="P16" i="44" s="1"/>
  <c r="R23" i="44" a="1"/>
  <c r="R23" i="44" s="1"/>
  <c r="O23" i="44" a="1"/>
  <c r="O23" i="44" s="1"/>
  <c r="AY33" i="44" s="1"/>
  <c r="U23" i="44" a="1"/>
  <c r="U23" i="44" s="1"/>
  <c r="T23" i="44" a="1"/>
  <c r="T23" i="44" s="1"/>
  <c r="Z53" i="44"/>
  <c r="Z50" i="44"/>
  <c r="Z51" i="44"/>
  <c r="Z54" i="44"/>
  <c r="Z52" i="44"/>
  <c r="Z68" i="44" s="1"/>
  <c r="S32" i="44" a="1"/>
  <c r="S32" i="44" s="1"/>
  <c r="Q32" i="44" a="1"/>
  <c r="Q32" i="44" s="1"/>
  <c r="N32" i="44" a="1"/>
  <c r="N32" i="44" s="1"/>
  <c r="P17" i="44" a="1"/>
  <c r="P17" i="44" s="1"/>
  <c r="M17" i="44" a="1"/>
  <c r="M17" i="44" s="1"/>
  <c r="O9" i="44" a="1"/>
  <c r="O9" i="44" s="1"/>
  <c r="AY39" i="44" s="1"/>
  <c r="U9" i="44" a="1"/>
  <c r="U9" i="44" s="1"/>
  <c r="BE39" i="44" s="1"/>
  <c r="T9" i="44" a="1"/>
  <c r="T9" i="44" s="1"/>
  <c r="R9" i="44" a="1"/>
  <c r="R9" i="44" s="1"/>
  <c r="BB39" i="44" s="1"/>
  <c r="N42" i="44" a="1"/>
  <c r="N42" i="44" s="1"/>
  <c r="AX18" i="44" s="1"/>
  <c r="S42" i="44" a="1"/>
  <c r="S42" i="44" s="1"/>
  <c r="Q42" i="44" a="1"/>
  <c r="Q42" i="44" s="1"/>
  <c r="T34" i="44" a="1"/>
  <c r="T34" i="44" s="1"/>
  <c r="O34" i="44" a="1"/>
  <c r="O34" i="44" s="1"/>
  <c r="R34" i="44" a="1"/>
  <c r="R34" i="44" s="1"/>
  <c r="U34" i="44" a="1"/>
  <c r="U34" i="44" s="1"/>
  <c r="Y50" i="44"/>
  <c r="Y52" i="44"/>
  <c r="Y68" i="44" s="1"/>
  <c r="Y53" i="44"/>
  <c r="Y54" i="44"/>
  <c r="Y51" i="44"/>
  <c r="L28" i="44" a="1"/>
  <c r="L28" i="44" s="1"/>
  <c r="P32" i="44" a="1"/>
  <c r="P32" i="44" s="1"/>
  <c r="M32" i="44" a="1"/>
  <c r="M32" i="44" s="1"/>
  <c r="O18" i="44" a="1"/>
  <c r="O18" i="44" s="1"/>
  <c r="R18" i="44" a="1"/>
  <c r="R18" i="44" s="1"/>
  <c r="U18" i="44" a="1"/>
  <c r="U18" i="44" s="1"/>
  <c r="T18" i="44" a="1"/>
  <c r="T18" i="44" s="1"/>
  <c r="K54" i="44"/>
  <c r="K52" i="44"/>
  <c r="K68" i="44" s="1"/>
  <c r="K53" i="44"/>
  <c r="K85" i="44" s="1"/>
  <c r="K51" i="44"/>
  <c r="K50" i="44"/>
  <c r="X53" i="44"/>
  <c r="X50" i="44"/>
  <c r="X51" i="44"/>
  <c r="X54" i="44"/>
  <c r="X52" i="44"/>
  <c r="X68" i="44" s="1"/>
  <c r="AD54" i="44"/>
  <c r="AD52" i="44"/>
  <c r="AD68" i="44" s="1"/>
  <c r="AD50" i="44"/>
  <c r="AD53" i="44"/>
  <c r="AD51" i="44"/>
  <c r="N9" i="44" a="1"/>
  <c r="N9" i="44" s="1"/>
  <c r="S9" i="44" a="1"/>
  <c r="S9" i="44" s="1"/>
  <c r="BC39" i="44" s="1"/>
  <c r="Q9" i="44" a="1"/>
  <c r="Q9" i="44" s="1"/>
  <c r="BA39" i="44" s="1"/>
  <c r="Q14" i="44" a="1"/>
  <c r="Q14" i="44" s="1"/>
  <c r="N14" i="44" a="1"/>
  <c r="N14" i="44" s="1"/>
  <c r="S14" i="44" a="1"/>
  <c r="S14" i="44" s="1"/>
  <c r="Q11" i="44" a="1"/>
  <c r="Q11" i="44" s="1"/>
  <c r="S11" i="44" a="1"/>
  <c r="S11" i="44" s="1"/>
  <c r="N11" i="44" a="1"/>
  <c r="N11" i="44" s="1"/>
  <c r="P23" i="44" a="1"/>
  <c r="P23" i="44" s="1"/>
  <c r="M23" i="44" a="1"/>
  <c r="M23" i="44" s="1"/>
  <c r="O40" i="44" a="1"/>
  <c r="O40" i="44" s="1"/>
  <c r="AY14" i="44" s="1"/>
  <c r="U40" i="44" a="1"/>
  <c r="U40" i="44" s="1"/>
  <c r="R40" i="44" a="1"/>
  <c r="R40" i="44" s="1"/>
  <c r="T40" i="44" a="1"/>
  <c r="T40" i="44" s="1"/>
  <c r="P33" i="44" a="1"/>
  <c r="P33" i="44" s="1"/>
  <c r="M33" i="44" a="1"/>
  <c r="M33" i="44" s="1"/>
  <c r="L34" i="44" a="1"/>
  <c r="L34" i="44" s="1"/>
  <c r="AV32" i="44" s="1"/>
  <c r="P18" i="44" a="1"/>
  <c r="P18" i="44" s="1"/>
  <c r="AZ24" i="44" s="1"/>
  <c r="M18" i="44" a="1"/>
  <c r="M18" i="44" s="1"/>
  <c r="N15" i="44" a="1"/>
  <c r="N15" i="44" s="1"/>
  <c r="S15" i="44" a="1"/>
  <c r="S15" i="44" s="1"/>
  <c r="Q15" i="44" a="1"/>
  <c r="Q15" i="44" s="1"/>
  <c r="T20" i="44" a="1"/>
  <c r="T20" i="44" s="1"/>
  <c r="R20" i="44" a="1"/>
  <c r="R20" i="44" s="1"/>
  <c r="U20" i="44" a="1"/>
  <c r="U20" i="44" s="1"/>
  <c r="O20" i="44" a="1"/>
  <c r="O20" i="44" s="1"/>
  <c r="T41" i="44" a="1"/>
  <c r="T41" i="44" s="1"/>
  <c r="R41" i="44" a="1"/>
  <c r="R41" i="44" s="1"/>
  <c r="O41" i="44" a="1"/>
  <c r="O41" i="44" s="1"/>
  <c r="AY16" i="44" s="1"/>
  <c r="U41" i="44" a="1"/>
  <c r="U41" i="44" s="1"/>
  <c r="BE16" i="44" s="1"/>
  <c r="S34" i="44" a="1"/>
  <c r="S34" i="44" s="1"/>
  <c r="Q34" i="44" a="1"/>
  <c r="Q34" i="44" s="1"/>
  <c r="N34" i="44" a="1"/>
  <c r="N34" i="44" s="1"/>
  <c r="M7" i="44" a="1"/>
  <c r="M7" i="44" s="1"/>
  <c r="AW37" i="44" s="1"/>
  <c r="P7" i="44" a="1"/>
  <c r="P7" i="44" s="1"/>
  <c r="Q22" i="44" a="1"/>
  <c r="Q22" i="44" s="1"/>
  <c r="N22" i="44" a="1"/>
  <c r="N22" i="44" s="1"/>
  <c r="S22" i="44" a="1"/>
  <c r="S22" i="44" s="1"/>
  <c r="M30" i="44" a="1"/>
  <c r="M30" i="44" s="1"/>
  <c r="P30" i="44" a="1"/>
  <c r="P30" i="44" s="1"/>
  <c r="L11" i="44" a="1"/>
  <c r="L11" i="44" s="1"/>
  <c r="AV41" i="44" s="1"/>
  <c r="P31" i="44" a="1"/>
  <c r="P31" i="44" s="1"/>
  <c r="AZ26" i="44" s="1"/>
  <c r="M31" i="44" a="1"/>
  <c r="M31" i="44" s="1"/>
  <c r="AB54" i="44"/>
  <c r="AB52" i="44"/>
  <c r="AB68" i="44" s="1"/>
  <c r="AB50" i="44"/>
  <c r="AB53" i="44"/>
  <c r="P28" i="44" a="1"/>
  <c r="P28" i="44" s="1"/>
  <c r="AB51" i="44"/>
  <c r="M28" i="44" a="1"/>
  <c r="M28" i="44" s="1"/>
  <c r="L8" i="44" a="1"/>
  <c r="L8" i="44" s="1"/>
  <c r="AV38" i="44" s="1"/>
  <c r="BA25" i="44" l="1"/>
  <c r="AZ37" i="44"/>
  <c r="AW42" i="44"/>
  <c r="BD16" i="44"/>
  <c r="BA28" i="44"/>
  <c r="BB32" i="44"/>
  <c r="BA20" i="44"/>
  <c r="AV13" i="44"/>
  <c r="AX29" i="44"/>
  <c r="BC41" i="44"/>
  <c r="BE24" i="44"/>
  <c r="AV22" i="44"/>
  <c r="AW26" i="44"/>
  <c r="BB38" i="44"/>
  <c r="BD25" i="44"/>
  <c r="AY26" i="44"/>
  <c r="BD33" i="44"/>
  <c r="BD17" i="44"/>
  <c r="BC18" i="44"/>
  <c r="BE27" i="44"/>
  <c r="BB37" i="44"/>
  <c r="AY17" i="44"/>
  <c r="AY27" i="44"/>
  <c r="AY19" i="44"/>
  <c r="BD24" i="44"/>
  <c r="AV26" i="44"/>
  <c r="BA41" i="44"/>
  <c r="AY32" i="44"/>
  <c r="AY22" i="44"/>
  <c r="AW38" i="44"/>
  <c r="BB25" i="44"/>
  <c r="BC31" i="44"/>
  <c r="AV20" i="44"/>
  <c r="AX23" i="44"/>
  <c r="AZ29" i="44"/>
  <c r="BB27" i="44"/>
  <c r="AX39" i="44"/>
  <c r="BD37" i="44"/>
  <c r="BC40" i="44"/>
  <c r="AW33" i="44"/>
  <c r="BC27" i="44"/>
  <c r="AZ14" i="44"/>
  <c r="AX21" i="44"/>
  <c r="BA26" i="44"/>
  <c r="AW19" i="44"/>
  <c r="BD22" i="44"/>
  <c r="BD19" i="44"/>
  <c r="BC32" i="44"/>
  <c r="AW24" i="44"/>
  <c r="BE19" i="44"/>
  <c r="BB24" i="44"/>
  <c r="BA24" i="44"/>
  <c r="AY25" i="44"/>
  <c r="BD14" i="44"/>
  <c r="AW34" i="44"/>
  <c r="AW29" i="44"/>
  <c r="BE25" i="44"/>
  <c r="BE37" i="44"/>
  <c r="BD27" i="44"/>
  <c r="AZ39" i="44"/>
  <c r="AV24" i="44"/>
  <c r="BE17" i="44"/>
  <c r="AW39" i="44"/>
  <c r="BE28" i="44"/>
  <c r="AY30" i="44"/>
  <c r="AX41" i="44"/>
  <c r="AX24" i="44"/>
  <c r="AZ22" i="44"/>
  <c r="BB30" i="44"/>
  <c r="BE26" i="44"/>
  <c r="BC24" i="44"/>
  <c r="AZ38" i="44"/>
  <c r="AY38" i="44"/>
  <c r="AY24" i="44"/>
  <c r="BC28" i="44"/>
  <c r="BC19" i="44"/>
  <c r="AZ25" i="44"/>
  <c r="AV10" i="44"/>
  <c r="BA31" i="44"/>
  <c r="AZ41" i="44"/>
  <c r="BC42" i="44"/>
  <c r="AW15" i="44"/>
  <c r="BB21" i="44"/>
  <c r="AX40" i="44"/>
  <c r="AV29" i="44"/>
  <c r="BB9" i="44"/>
  <c r="AV8" i="44"/>
  <c r="AW41" i="44"/>
  <c r="AZ15" i="44"/>
  <c r="AW31" i="44"/>
  <c r="BB23" i="44"/>
  <c r="BA40" i="44"/>
  <c r="BE41" i="44"/>
  <c r="AV34" i="44"/>
  <c r="BA21" i="44"/>
  <c r="BE33" i="44"/>
  <c r="BD18" i="44"/>
  <c r="BB20" i="44"/>
  <c r="AX34" i="44"/>
  <c r="AZ31" i="44"/>
  <c r="AV33" i="44"/>
  <c r="AX31" i="44"/>
  <c r="AX32" i="44"/>
  <c r="BC21" i="44"/>
  <c r="AZ33" i="44"/>
  <c r="AW14" i="44"/>
  <c r="AY18" i="44"/>
  <c r="BE20" i="44"/>
  <c r="BD28" i="44"/>
  <c r="BA34" i="44"/>
  <c r="BC17" i="44"/>
  <c r="AV25" i="44"/>
  <c r="AX8" i="44"/>
  <c r="AZ8" i="44"/>
  <c r="BC29" i="44"/>
  <c r="AW8" i="44"/>
  <c r="BA7" i="44"/>
  <c r="AZ17" i="44"/>
  <c r="BB16" i="44"/>
  <c r="AW30" i="44"/>
  <c r="BA18" i="44"/>
  <c r="AX19" i="44"/>
  <c r="AZ20" i="44"/>
  <c r="AW25" i="44"/>
  <c r="AY11" i="44"/>
  <c r="AZ40" i="44"/>
  <c r="BD23" i="44"/>
  <c r="BD41" i="44"/>
  <c r="AV28" i="44"/>
  <c r="BE9" i="44"/>
  <c r="AX7" i="44"/>
  <c r="BC8" i="44"/>
  <c r="BA32" i="44"/>
  <c r="BE32" i="44"/>
  <c r="AZ23" i="44"/>
  <c r="BB33" i="44"/>
  <c r="AX22" i="44"/>
  <c r="BE18" i="44"/>
  <c r="BD30" i="44"/>
  <c r="BD13" i="44"/>
  <c r="BB28" i="44"/>
  <c r="BA13" i="44"/>
  <c r="AW40" i="44"/>
  <c r="AX33" i="44"/>
  <c r="AY23" i="44"/>
  <c r="BA17" i="44"/>
  <c r="AV27" i="44"/>
  <c r="AV37" i="44"/>
  <c r="BC9" i="44"/>
  <c r="BC12" i="44"/>
  <c r="AV11" i="44"/>
  <c r="AY10" i="44"/>
  <c r="BC22" i="44"/>
  <c r="AX28" i="44"/>
  <c r="BA22" i="44"/>
  <c r="BB18" i="44"/>
  <c r="BA33" i="44"/>
  <c r="BD15" i="44"/>
  <c r="AW18" i="44"/>
  <c r="AX9" i="44"/>
  <c r="AX11" i="44"/>
  <c r="BA8" i="44"/>
  <c r="BD12" i="44"/>
  <c r="AW22" i="44"/>
  <c r="AW16" i="44"/>
  <c r="BC33" i="44"/>
  <c r="BE15" i="44"/>
  <c r="AZ18" i="44"/>
  <c r="AX17" i="44"/>
  <c r="AV40" i="44"/>
  <c r="BD8" i="44"/>
  <c r="BA9" i="44"/>
  <c r="AX12" i="44"/>
  <c r="AZ11" i="44"/>
  <c r="BE10" i="44"/>
  <c r="BD42" i="44"/>
  <c r="AW23" i="44"/>
  <c r="BC20" i="44"/>
  <c r="BD32" i="44"/>
  <c r="AW20" i="44"/>
  <c r="BD34" i="44"/>
  <c r="AZ16" i="44"/>
  <c r="BA29" i="44"/>
  <c r="BB31" i="44"/>
  <c r="BB15" i="44"/>
  <c r="BA14" i="44"/>
  <c r="AV30" i="44"/>
  <c r="AV16" i="44"/>
  <c r="AV35" i="44"/>
  <c r="BB8" i="44"/>
  <c r="AW10" i="44"/>
  <c r="AW11" i="44"/>
  <c r="AZ7" i="44"/>
  <c r="BD10" i="44"/>
  <c r="AX20" i="44"/>
  <c r="AY34" i="44"/>
  <c r="AV18" i="44"/>
  <c r="AZ35" i="44"/>
  <c r="BE31" i="44"/>
  <c r="AY15" i="44"/>
  <c r="AX14" i="44"/>
  <c r="AV23" i="44"/>
  <c r="AV9" i="44"/>
  <c r="BB7" i="44"/>
  <c r="BC10" i="44"/>
  <c r="AW28" i="44"/>
  <c r="AW17" i="44"/>
  <c r="AZ30" i="44"/>
  <c r="AZ28" i="44"/>
  <c r="BA19" i="44"/>
  <c r="BE34" i="44"/>
  <c r="BD21" i="44"/>
  <c r="AX15" i="44"/>
  <c r="AW35" i="44"/>
  <c r="BD31" i="44"/>
  <c r="BA23" i="44"/>
  <c r="BB35" i="44"/>
  <c r="BC14" i="44"/>
  <c r="AV21" i="44"/>
  <c r="AY8" i="44"/>
  <c r="AZ10" i="44"/>
  <c r="AZ12" i="44"/>
  <c r="BE7" i="44"/>
  <c r="AX42" i="44"/>
  <c r="BB34" i="44"/>
  <c r="BE21" i="44"/>
  <c r="BB40" i="44"/>
  <c r="AW21" i="44"/>
  <c r="BC15" i="44"/>
  <c r="AY31" i="44"/>
  <c r="BC23" i="44"/>
  <c r="BD35" i="44"/>
  <c r="BA16" i="44"/>
  <c r="AY37" i="44"/>
  <c r="AV14" i="44"/>
  <c r="BB11" i="44"/>
  <c r="BA10" i="44"/>
  <c r="AY9" i="44"/>
  <c r="AW9" i="44"/>
  <c r="AY7" i="44"/>
  <c r="BC11" i="44"/>
  <c r="AX10" i="44"/>
  <c r="BB14" i="44"/>
  <c r="BA42" i="44"/>
  <c r="AY21" i="44"/>
  <c r="AY40" i="44"/>
  <c r="AZ21" i="44"/>
  <c r="BA15" i="44"/>
  <c r="BE42" i="44"/>
  <c r="BA35" i="44"/>
  <c r="BE35" i="44"/>
  <c r="BC16" i="44"/>
  <c r="AV31" i="44"/>
  <c r="AW7" i="44"/>
  <c r="AZ9" i="44"/>
  <c r="BD7" i="44"/>
  <c r="BB10" i="44"/>
  <c r="AW12" i="44"/>
  <c r="BE14" i="44"/>
  <c r="BD39" i="44"/>
  <c r="BD20" i="44"/>
  <c r="BD40" i="44"/>
  <c r="BC13" i="44"/>
  <c r="AZ32" i="44"/>
  <c r="BB17" i="44"/>
  <c r="AY42" i="44"/>
  <c r="BC35" i="44"/>
  <c r="AY35" i="44"/>
  <c r="AX16" i="44"/>
  <c r="AY41" i="44"/>
  <c r="AV15" i="44"/>
  <c r="BE11" i="44"/>
  <c r="BD9" i="44"/>
  <c r="BE12" i="44"/>
  <c r="BA11" i="44"/>
  <c r="AY20" i="44"/>
  <c r="AY28" i="44"/>
  <c r="BC34" i="44"/>
  <c r="BE40" i="44"/>
  <c r="AV42" i="44"/>
  <c r="AW32" i="44"/>
  <c r="BB42" i="44"/>
  <c r="AX35" i="44"/>
  <c r="BE23" i="44"/>
  <c r="BB41" i="44"/>
  <c r="BD11" i="44"/>
  <c r="BC7" i="44"/>
  <c r="AY12" i="44"/>
  <c r="BA12" i="44"/>
  <c r="BE8" i="44"/>
  <c r="N63" i="44" a="1"/>
  <c r="N63" i="44" s="1"/>
  <c r="P63" i="44" a="1"/>
  <c r="P63" i="44" s="1"/>
  <c r="M59" i="44" a="1"/>
  <c r="M59" i="44" s="1"/>
  <c r="O59" i="44" a="1"/>
  <c r="O59" i="44" s="1"/>
  <c r="U63" i="44" a="1"/>
  <c r="U63" i="44" s="1"/>
  <c r="R63" i="44" a="1"/>
  <c r="R63" i="44" s="1"/>
  <c r="T59" i="44" a="1"/>
  <c r="T59" i="44" s="1"/>
  <c r="S63" i="44" a="1"/>
  <c r="S63" i="44" s="1"/>
  <c r="S59" i="44" a="1"/>
  <c r="S59" i="44" s="1"/>
  <c r="T63" i="44" a="1"/>
  <c r="T63" i="44" s="1"/>
  <c r="P59" i="44" a="1"/>
  <c r="P59" i="44" s="1"/>
  <c r="O63" i="44" a="1"/>
  <c r="O63" i="44" s="1"/>
  <c r="L63" i="44" a="1"/>
  <c r="L63" i="44" s="1"/>
  <c r="N59" i="44" a="1"/>
  <c r="N59" i="44" s="1"/>
  <c r="L59" i="44" a="1"/>
  <c r="L59" i="44" s="1"/>
  <c r="M63" i="44" a="1"/>
  <c r="M63" i="44" s="1"/>
  <c r="L62" i="44"/>
  <c r="Q59" i="44" a="1"/>
  <c r="Q59" i="44" s="1"/>
  <c r="U59" i="44" a="1"/>
  <c r="U59" i="44" s="1"/>
  <c r="R59" i="44" a="1"/>
  <c r="R59" i="44" s="1"/>
  <c r="Q63" i="44" a="1"/>
  <c r="Q63" i="44" s="1"/>
  <c r="O62" i="44"/>
  <c r="R62" i="44"/>
  <c r="T62" i="44"/>
  <c r="U62" i="44"/>
  <c r="M62" i="44"/>
  <c r="P62" i="44"/>
  <c r="S62" i="44"/>
  <c r="Q62" i="44"/>
  <c r="N62" i="44"/>
  <c r="AC65" i="44"/>
  <c r="K65" i="44"/>
  <c r="AG55" i="44"/>
  <c r="L58" i="44"/>
  <c r="I65" i="44"/>
  <c r="F55" i="44"/>
  <c r="H55" i="44"/>
  <c r="AH55" i="44"/>
  <c r="T58" i="44"/>
  <c r="O58" i="44"/>
  <c r="X55" i="44"/>
  <c r="R58" i="44"/>
  <c r="U58" i="44"/>
  <c r="AA65" i="44"/>
  <c r="M58" i="44"/>
  <c r="P58" i="44"/>
  <c r="Q58" i="44"/>
  <c r="AD55" i="44"/>
  <c r="S58" i="44"/>
  <c r="N58" i="44"/>
  <c r="AI65" i="44"/>
  <c r="W55" i="44"/>
  <c r="AD65" i="44"/>
  <c r="G55" i="44"/>
  <c r="K55" i="44"/>
  <c r="AE65" i="44"/>
  <c r="I55" i="44"/>
  <c r="AA55" i="44"/>
  <c r="AE55" i="44"/>
  <c r="X65" i="44"/>
  <c r="Y55" i="44"/>
  <c r="P52" i="44"/>
  <c r="P68" i="44" s="1"/>
  <c r="P53" i="44"/>
  <c r="P85" i="44" s="1"/>
  <c r="P51" i="44"/>
  <c r="P54" i="44"/>
  <c r="P50" i="44"/>
  <c r="V55" i="44"/>
  <c r="AB65" i="44"/>
  <c r="T50" i="44"/>
  <c r="T52" i="44"/>
  <c r="T68" i="44" s="1"/>
  <c r="T54" i="44"/>
  <c r="T53" i="44"/>
  <c r="T85" i="44" s="1"/>
  <c r="T51" i="44"/>
  <c r="S51" i="44"/>
  <c r="S52" i="44"/>
  <c r="S68" i="44" s="1"/>
  <c r="S54" i="44"/>
  <c r="S53" i="44"/>
  <c r="S85" i="44" s="1"/>
  <c r="S50" i="44"/>
  <c r="AJ65" i="44"/>
  <c r="AC55" i="44"/>
  <c r="J87" i="44"/>
  <c r="J103" i="44"/>
  <c r="J100" i="44"/>
  <c r="J101" i="44"/>
  <c r="J86" i="44"/>
  <c r="J95" i="44"/>
  <c r="J92" i="44"/>
  <c r="J99" i="44"/>
  <c r="J96" i="44"/>
  <c r="J94" i="44"/>
  <c r="J108" i="44"/>
  <c r="J107" i="44"/>
  <c r="J88" i="44"/>
  <c r="J109" i="44"/>
  <c r="J97" i="44"/>
  <c r="J98" i="44"/>
  <c r="J110" i="44"/>
  <c r="J91" i="44"/>
  <c r="J90" i="44"/>
  <c r="J93" i="44"/>
  <c r="J106" i="44"/>
  <c r="J102" i="44"/>
  <c r="J104" i="44"/>
  <c r="J89" i="44"/>
  <c r="J105" i="44"/>
  <c r="Z65" i="44"/>
  <c r="AI55" i="44"/>
  <c r="H108" i="44"/>
  <c r="H91" i="44"/>
  <c r="H98" i="44"/>
  <c r="H109" i="44"/>
  <c r="H99" i="44"/>
  <c r="H107" i="44"/>
  <c r="H101" i="44"/>
  <c r="H105" i="44"/>
  <c r="H93" i="44"/>
  <c r="H88" i="44"/>
  <c r="H104" i="44"/>
  <c r="H87" i="44"/>
  <c r="H94" i="44"/>
  <c r="H103" i="44"/>
  <c r="H102" i="44"/>
  <c r="H100" i="44"/>
  <c r="H110" i="44"/>
  <c r="H90" i="44"/>
  <c r="H97" i="44"/>
  <c r="H95" i="44"/>
  <c r="H86" i="44"/>
  <c r="H96" i="44"/>
  <c r="H92" i="44"/>
  <c r="H89" i="44"/>
  <c r="H106" i="44"/>
  <c r="AX13" i="44"/>
  <c r="N52" i="44"/>
  <c r="N68" i="44" s="1"/>
  <c r="N50" i="44"/>
  <c r="N53" i="44"/>
  <c r="N85" i="44" s="1"/>
  <c r="N51" i="44"/>
  <c r="N54" i="44"/>
  <c r="G65" i="44"/>
  <c r="V65" i="44"/>
  <c r="AB55" i="44"/>
  <c r="AZ13" i="44"/>
  <c r="L54" i="44"/>
  <c r="L52" i="44"/>
  <c r="L68" i="44" s="1"/>
  <c r="L50" i="44"/>
  <c r="L53" i="44"/>
  <c r="L85" i="44" s="1"/>
  <c r="L51" i="44"/>
  <c r="Q52" i="44"/>
  <c r="Q68" i="44" s="1"/>
  <c r="Q51" i="44"/>
  <c r="Q54" i="44"/>
  <c r="Q53" i="44"/>
  <c r="Q85" i="44" s="1"/>
  <c r="Q50" i="44"/>
  <c r="AF55" i="44"/>
  <c r="AJ55" i="44"/>
  <c r="R52" i="44"/>
  <c r="R68" i="44" s="1"/>
  <c r="R50" i="44"/>
  <c r="R53" i="44"/>
  <c r="R85" i="44" s="1"/>
  <c r="R51" i="44"/>
  <c r="R54" i="44"/>
  <c r="W65" i="44"/>
  <c r="I95" i="44"/>
  <c r="I96" i="44"/>
  <c r="I86" i="44"/>
  <c r="I101" i="44"/>
  <c r="I108" i="44"/>
  <c r="I94" i="44"/>
  <c r="I87" i="44"/>
  <c r="I88" i="44"/>
  <c r="I103" i="44"/>
  <c r="I92" i="44"/>
  <c r="I99" i="44"/>
  <c r="I102" i="44"/>
  <c r="I89" i="44"/>
  <c r="I91" i="44"/>
  <c r="I110" i="44"/>
  <c r="I104" i="44"/>
  <c r="I93" i="44"/>
  <c r="I100" i="44"/>
  <c r="I90" i="44"/>
  <c r="I109" i="44"/>
  <c r="I107" i="44"/>
  <c r="I105" i="44"/>
  <c r="I97" i="44"/>
  <c r="I98" i="44"/>
  <c r="I106" i="44"/>
  <c r="Z55" i="44"/>
  <c r="AG65" i="44"/>
  <c r="Y65" i="44"/>
  <c r="G104" i="44"/>
  <c r="G109" i="44"/>
  <c r="G101" i="44"/>
  <c r="G90" i="44"/>
  <c r="G107" i="44"/>
  <c r="G110" i="44"/>
  <c r="G100" i="44"/>
  <c r="G102" i="44"/>
  <c r="G96" i="44"/>
  <c r="G99" i="44"/>
  <c r="G105" i="44"/>
  <c r="G95" i="44"/>
  <c r="G89" i="44"/>
  <c r="G86" i="44"/>
  <c r="G91" i="44"/>
  <c r="G108" i="44"/>
  <c r="G103" i="44"/>
  <c r="G92" i="44"/>
  <c r="G94" i="44"/>
  <c r="G106" i="44"/>
  <c r="G97" i="44"/>
  <c r="G88" i="44"/>
  <c r="G93" i="44"/>
  <c r="G87" i="44"/>
  <c r="G98" i="44"/>
  <c r="K103" i="44"/>
  <c r="K110" i="44"/>
  <c r="K94" i="44"/>
  <c r="K109" i="44"/>
  <c r="K96" i="44"/>
  <c r="K88" i="44"/>
  <c r="K98" i="44"/>
  <c r="K90" i="44"/>
  <c r="K106" i="44"/>
  <c r="K101" i="44"/>
  <c r="K104" i="44"/>
  <c r="K95" i="44"/>
  <c r="K91" i="44"/>
  <c r="K89" i="44"/>
  <c r="K102" i="44"/>
  <c r="K93" i="44"/>
  <c r="K86" i="44"/>
  <c r="K92" i="44"/>
  <c r="K107" i="44"/>
  <c r="K105" i="44"/>
  <c r="K99" i="44"/>
  <c r="K97" i="44"/>
  <c r="K87" i="44"/>
  <c r="K108" i="44"/>
  <c r="K100" i="44"/>
  <c r="BB13" i="44"/>
  <c r="AY13" i="44"/>
  <c r="O52" i="44"/>
  <c r="O68" i="44" s="1"/>
  <c r="O54" i="44"/>
  <c r="O51" i="44"/>
  <c r="O53" i="44"/>
  <c r="O85" i="44" s="1"/>
  <c r="O50" i="44"/>
  <c r="F65" i="44"/>
  <c r="J65" i="44"/>
  <c r="BE13" i="44"/>
  <c r="U53" i="44"/>
  <c r="U85" i="44" s="1"/>
  <c r="U51" i="44"/>
  <c r="U50" i="44"/>
  <c r="U54" i="44"/>
  <c r="U52" i="44"/>
  <c r="U68" i="44" s="1"/>
  <c r="J55" i="44"/>
  <c r="H65" i="44"/>
  <c r="AW13" i="44"/>
  <c r="M53" i="44"/>
  <c r="M85" i="44" s="1"/>
  <c r="M54" i="44"/>
  <c r="M50" i="44"/>
  <c r="M52" i="44"/>
  <c r="M68" i="44" s="1"/>
  <c r="M51" i="44"/>
  <c r="AF65" i="44"/>
  <c r="AH65" i="44"/>
  <c r="L65" i="44" l="1"/>
  <c r="U65" i="44"/>
  <c r="R65" i="44"/>
  <c r="O65" i="44"/>
  <c r="T65" i="44"/>
  <c r="P65" i="44"/>
  <c r="M65" i="44"/>
  <c r="S65" i="44"/>
  <c r="N65" i="44"/>
  <c r="Q65" i="44"/>
  <c r="P55" i="44"/>
  <c r="H112" i="44" a="1"/>
  <c r="H117" i="44" s="1"/>
  <c r="I112" i="44" a="1"/>
  <c r="I128" i="44" s="1"/>
  <c r="J112" i="44" a="1"/>
  <c r="J132" i="44" s="1"/>
  <c r="M55" i="44"/>
  <c r="G112" i="44" a="1"/>
  <c r="G118" i="44" s="1"/>
  <c r="Q55" i="44"/>
  <c r="K112" i="44" a="1"/>
  <c r="K118" i="44" s="1"/>
  <c r="R55" i="44"/>
  <c r="U55" i="44"/>
  <c r="T90" i="44"/>
  <c r="T109" i="44"/>
  <c r="T107" i="44"/>
  <c r="T92" i="44"/>
  <c r="T97" i="44"/>
  <c r="T86" i="44"/>
  <c r="T88" i="44"/>
  <c r="T110" i="44"/>
  <c r="T100" i="44"/>
  <c r="T91" i="44"/>
  <c r="T106" i="44"/>
  <c r="T96" i="44"/>
  <c r="T94" i="44"/>
  <c r="T87" i="44"/>
  <c r="T104" i="44"/>
  <c r="T89" i="44"/>
  <c r="T105" i="44"/>
  <c r="T95" i="44"/>
  <c r="T103" i="44"/>
  <c r="T93" i="44"/>
  <c r="T108" i="44"/>
  <c r="T98" i="44"/>
  <c r="T102" i="44"/>
  <c r="T99" i="44"/>
  <c r="T101" i="44"/>
  <c r="O96" i="44"/>
  <c r="O97" i="44"/>
  <c r="O109" i="44"/>
  <c r="O87" i="44"/>
  <c r="O104" i="44"/>
  <c r="O93" i="44"/>
  <c r="O88" i="44"/>
  <c r="O108" i="44"/>
  <c r="O105" i="44"/>
  <c r="O98" i="44"/>
  <c r="O90" i="44"/>
  <c r="O103" i="44"/>
  <c r="O100" i="44"/>
  <c r="O91" i="44"/>
  <c r="O95" i="44"/>
  <c r="O107" i="44"/>
  <c r="O110" i="44"/>
  <c r="O92" i="44"/>
  <c r="O102" i="44"/>
  <c r="O89" i="44"/>
  <c r="O106" i="44"/>
  <c r="O94" i="44"/>
  <c r="O101" i="44"/>
  <c r="O99" i="44"/>
  <c r="O86" i="44"/>
  <c r="T55" i="44"/>
  <c r="Q96" i="44"/>
  <c r="Q88" i="44"/>
  <c r="Q90" i="44"/>
  <c r="Q108" i="44"/>
  <c r="Q99" i="44"/>
  <c r="Q107" i="44"/>
  <c r="Q103" i="44"/>
  <c r="Q92" i="44"/>
  <c r="Q104" i="44"/>
  <c r="Q110" i="44"/>
  <c r="Q106" i="44"/>
  <c r="Q102" i="44"/>
  <c r="Q86" i="44"/>
  <c r="Q91" i="44"/>
  <c r="Q97" i="44"/>
  <c r="Q89" i="44"/>
  <c r="Q109" i="44"/>
  <c r="Q93" i="44"/>
  <c r="Q95" i="44"/>
  <c r="Q105" i="44"/>
  <c r="Q94" i="44"/>
  <c r="Q101" i="44"/>
  <c r="Q100" i="44"/>
  <c r="Q87" i="44"/>
  <c r="Q98" i="44"/>
  <c r="O55" i="44"/>
  <c r="N55" i="44"/>
  <c r="N100" i="44"/>
  <c r="N101" i="44"/>
  <c r="N103" i="44"/>
  <c r="N96" i="44"/>
  <c r="N93" i="44"/>
  <c r="N97" i="44"/>
  <c r="N92" i="44"/>
  <c r="N106" i="44"/>
  <c r="N99" i="44"/>
  <c r="N109" i="44"/>
  <c r="N95" i="44"/>
  <c r="N90" i="44"/>
  <c r="N98" i="44"/>
  <c r="N94" i="44"/>
  <c r="N86" i="44"/>
  <c r="N105" i="44"/>
  <c r="N89" i="44"/>
  <c r="N107" i="44"/>
  <c r="N91" i="44"/>
  <c r="N87" i="44"/>
  <c r="N88" i="44"/>
  <c r="N104" i="44"/>
  <c r="N102" i="44"/>
  <c r="N108" i="44"/>
  <c r="N110" i="44"/>
  <c r="U108" i="44"/>
  <c r="U109" i="44"/>
  <c r="U101" i="44"/>
  <c r="U102" i="44"/>
  <c r="U110" i="44"/>
  <c r="U100" i="44"/>
  <c r="U87" i="44"/>
  <c r="U98" i="44"/>
  <c r="U86" i="44"/>
  <c r="U105" i="44"/>
  <c r="U95" i="44"/>
  <c r="U103" i="44"/>
  <c r="U106" i="44"/>
  <c r="U90" i="44"/>
  <c r="U104" i="44"/>
  <c r="U97" i="44"/>
  <c r="U93" i="44"/>
  <c r="U99" i="44"/>
  <c r="U96" i="44"/>
  <c r="U89" i="44"/>
  <c r="U94" i="44"/>
  <c r="U88" i="44"/>
  <c r="U91" i="44"/>
  <c r="U107" i="44"/>
  <c r="U92" i="44"/>
  <c r="L106" i="44"/>
  <c r="L98" i="44"/>
  <c r="L110" i="44"/>
  <c r="L101" i="44"/>
  <c r="L89" i="44"/>
  <c r="L104" i="44"/>
  <c r="L105" i="44"/>
  <c r="L102" i="44"/>
  <c r="L99" i="44"/>
  <c r="L88" i="44"/>
  <c r="L86" i="44"/>
  <c r="L109" i="44"/>
  <c r="L108" i="44"/>
  <c r="L92" i="44"/>
  <c r="L103" i="44"/>
  <c r="L87" i="44"/>
  <c r="L97" i="44"/>
  <c r="L107" i="44"/>
  <c r="L90" i="44"/>
  <c r="L95" i="44"/>
  <c r="L96" i="44"/>
  <c r="L91" i="44"/>
  <c r="L93" i="44"/>
  <c r="L94" i="44"/>
  <c r="L100" i="44"/>
  <c r="S101" i="44"/>
  <c r="S103" i="44"/>
  <c r="S91" i="44"/>
  <c r="S110" i="44"/>
  <c r="S104" i="44"/>
  <c r="S102" i="44"/>
  <c r="S94" i="44"/>
  <c r="S106" i="44"/>
  <c r="S105" i="44"/>
  <c r="S98" i="44"/>
  <c r="S92" i="44"/>
  <c r="S97" i="44"/>
  <c r="S108" i="44"/>
  <c r="S109" i="44"/>
  <c r="S96" i="44"/>
  <c r="S89" i="44"/>
  <c r="S99" i="44"/>
  <c r="S95" i="44"/>
  <c r="S86" i="44"/>
  <c r="S87" i="44"/>
  <c r="S107" i="44"/>
  <c r="S88" i="44"/>
  <c r="S90" i="44"/>
  <c r="S100" i="44"/>
  <c r="S93" i="44"/>
  <c r="R99" i="44"/>
  <c r="R104" i="44"/>
  <c r="R89" i="44"/>
  <c r="R88" i="44"/>
  <c r="R103" i="44"/>
  <c r="R92" i="44"/>
  <c r="R97" i="44"/>
  <c r="R90" i="44"/>
  <c r="R105" i="44"/>
  <c r="R106" i="44"/>
  <c r="R110" i="44"/>
  <c r="R100" i="44"/>
  <c r="R108" i="44"/>
  <c r="R109" i="44"/>
  <c r="R93" i="44"/>
  <c r="R94" i="44"/>
  <c r="R102" i="44"/>
  <c r="R87" i="44"/>
  <c r="R96" i="44"/>
  <c r="R101" i="44"/>
  <c r="R98" i="44"/>
  <c r="R86" i="44"/>
  <c r="R95" i="44"/>
  <c r="R91" i="44"/>
  <c r="R107" i="44"/>
  <c r="S55" i="44"/>
  <c r="P101" i="44"/>
  <c r="P110" i="44"/>
  <c r="P94" i="44"/>
  <c r="P87" i="44"/>
  <c r="P104" i="44"/>
  <c r="P96" i="44"/>
  <c r="P93" i="44"/>
  <c r="P107" i="44"/>
  <c r="P102" i="44"/>
  <c r="P88" i="44"/>
  <c r="P91" i="44"/>
  <c r="P106" i="44"/>
  <c r="P98" i="44"/>
  <c r="P103" i="44"/>
  <c r="P89" i="44"/>
  <c r="P97" i="44"/>
  <c r="P90" i="44"/>
  <c r="P108" i="44"/>
  <c r="P86" i="44"/>
  <c r="P105" i="44"/>
  <c r="P95" i="44"/>
  <c r="P100" i="44"/>
  <c r="P92" i="44"/>
  <c r="P109" i="44"/>
  <c r="P99" i="44"/>
  <c r="M97" i="44"/>
  <c r="M89" i="44"/>
  <c r="M108" i="44"/>
  <c r="M106" i="44"/>
  <c r="M94" i="44"/>
  <c r="M101" i="44"/>
  <c r="M90" i="44"/>
  <c r="M107" i="44"/>
  <c r="M103" i="44"/>
  <c r="M87" i="44"/>
  <c r="M104" i="44"/>
  <c r="M109" i="44"/>
  <c r="M86" i="44"/>
  <c r="M88" i="44"/>
  <c r="M91" i="44"/>
  <c r="M100" i="44"/>
  <c r="M98" i="44"/>
  <c r="M110" i="44"/>
  <c r="M105" i="44"/>
  <c r="M95" i="44"/>
  <c r="M92" i="44"/>
  <c r="M99" i="44"/>
  <c r="M93" i="44"/>
  <c r="M96" i="44"/>
  <c r="M102" i="44"/>
  <c r="L55" i="44"/>
  <c r="H138" i="44" l="1"/>
  <c r="H133" i="44"/>
  <c r="H119" i="44"/>
  <c r="K117" i="44"/>
  <c r="K115" i="44"/>
  <c r="K129" i="44"/>
  <c r="K138" i="44"/>
  <c r="H121" i="44"/>
  <c r="H125" i="44"/>
  <c r="H127" i="44"/>
  <c r="H129" i="44"/>
  <c r="K120" i="44"/>
  <c r="H114" i="44"/>
  <c r="K121" i="44"/>
  <c r="H126" i="44"/>
  <c r="H124" i="44"/>
  <c r="H130" i="44"/>
  <c r="H118" i="44"/>
  <c r="K116" i="44"/>
  <c r="H120" i="44"/>
  <c r="K122" i="44"/>
  <c r="H123" i="44"/>
  <c r="G128" i="44"/>
  <c r="K131" i="44"/>
  <c r="H136" i="44"/>
  <c r="G137" i="44"/>
  <c r="G113" i="44"/>
  <c r="H135" i="44"/>
  <c r="K136" i="44"/>
  <c r="H134" i="44"/>
  <c r="J128" i="44"/>
  <c r="K126" i="44"/>
  <c r="K133" i="44"/>
  <c r="H122" i="44"/>
  <c r="H132" i="44"/>
  <c r="G127" i="44"/>
  <c r="G133" i="44"/>
  <c r="K128" i="44"/>
  <c r="H113" i="44"/>
  <c r="H115" i="44"/>
  <c r="H112" i="44"/>
  <c r="K137" i="44"/>
  <c r="H128" i="44"/>
  <c r="H137" i="44"/>
  <c r="H116" i="44"/>
  <c r="Q112" i="44" a="1"/>
  <c r="Q123" i="44" s="1"/>
  <c r="G122" i="44"/>
  <c r="J137" i="44"/>
  <c r="K114" i="44"/>
  <c r="H131" i="44"/>
  <c r="G117" i="44"/>
  <c r="J131" i="44"/>
  <c r="G124" i="44"/>
  <c r="J120" i="44"/>
  <c r="G125" i="44"/>
  <c r="I120" i="44"/>
  <c r="I125" i="44"/>
  <c r="J117" i="44"/>
  <c r="J121" i="44"/>
  <c r="G115" i="44"/>
  <c r="G119" i="44"/>
  <c r="L112" i="44" a="1"/>
  <c r="L114" i="44" s="1"/>
  <c r="I117" i="44"/>
  <c r="I131" i="44"/>
  <c r="I126" i="44"/>
  <c r="J129" i="44"/>
  <c r="J127" i="44"/>
  <c r="K113" i="44"/>
  <c r="K112" i="44"/>
  <c r="G116" i="44"/>
  <c r="G114" i="44"/>
  <c r="G126" i="44"/>
  <c r="I113" i="44"/>
  <c r="I132" i="44"/>
  <c r="I118" i="44"/>
  <c r="J124" i="44"/>
  <c r="J123" i="44"/>
  <c r="G134" i="44"/>
  <c r="G135" i="44"/>
  <c r="G136" i="44"/>
  <c r="S112" i="44" a="1"/>
  <c r="S121" i="44" s="1"/>
  <c r="I127" i="44"/>
  <c r="I114" i="44"/>
  <c r="I115" i="44"/>
  <c r="J126" i="44"/>
  <c r="J135" i="44"/>
  <c r="K125" i="44"/>
  <c r="K119" i="44"/>
  <c r="G131" i="44"/>
  <c r="G132" i="44"/>
  <c r="G121" i="44"/>
  <c r="I134" i="44"/>
  <c r="I138" i="44"/>
  <c r="J138" i="44"/>
  <c r="J112" i="44"/>
  <c r="J122" i="44"/>
  <c r="O112" i="44" a="1"/>
  <c r="O116" i="44" s="1"/>
  <c r="I121" i="44"/>
  <c r="I129" i="44"/>
  <c r="J130" i="44"/>
  <c r="J114" i="44"/>
  <c r="J115" i="44"/>
  <c r="K124" i="44"/>
  <c r="K132" i="44"/>
  <c r="G112" i="44"/>
  <c r="G138" i="44"/>
  <c r="M112" i="44" a="1"/>
  <c r="R112" i="44" a="1"/>
  <c r="R125" i="44" s="1"/>
  <c r="I133" i="44"/>
  <c r="P112" i="44" a="1"/>
  <c r="P116" i="44" s="1"/>
  <c r="I124" i="44"/>
  <c r="I123" i="44"/>
  <c r="J119" i="44"/>
  <c r="J136" i="44"/>
  <c r="J116" i="44"/>
  <c r="G123" i="44"/>
  <c r="T112" i="44" a="1"/>
  <c r="T129" i="44" s="1"/>
  <c r="I136" i="44"/>
  <c r="I122" i="44"/>
  <c r="J125" i="44"/>
  <c r="J133" i="44"/>
  <c r="K135" i="44"/>
  <c r="K127" i="44"/>
  <c r="K134" i="44"/>
  <c r="G130" i="44"/>
  <c r="G120" i="44"/>
  <c r="N112" i="44" a="1"/>
  <c r="N134" i="44" s="1"/>
  <c r="I130" i="44"/>
  <c r="I135" i="44"/>
  <c r="I119" i="44"/>
  <c r="J113" i="44"/>
  <c r="J118" i="44"/>
  <c r="U112" i="44" a="1"/>
  <c r="U138" i="44" s="1"/>
  <c r="I112" i="44"/>
  <c r="I116" i="44"/>
  <c r="J134" i="44"/>
  <c r="K130" i="44"/>
  <c r="K123" i="44"/>
  <c r="G129" i="44"/>
  <c r="I137" i="44"/>
  <c r="S129" i="44" l="1"/>
  <c r="S127" i="44"/>
  <c r="N130" i="44"/>
  <c r="N117" i="44"/>
  <c r="N125" i="44"/>
  <c r="L124" i="44"/>
  <c r="L134" i="44"/>
  <c r="L133" i="44"/>
  <c r="N123" i="44"/>
  <c r="L115" i="44"/>
  <c r="P128" i="44"/>
  <c r="P122" i="44"/>
  <c r="P115" i="44"/>
  <c r="S124" i="44"/>
  <c r="L135" i="44"/>
  <c r="Q117" i="44"/>
  <c r="P134" i="44"/>
  <c r="P138" i="44"/>
  <c r="L121" i="44"/>
  <c r="L112" i="44"/>
  <c r="S119" i="44"/>
  <c r="L136" i="44"/>
  <c r="Q126" i="44"/>
  <c r="L117" i="44"/>
  <c r="L125" i="44"/>
  <c r="Q137" i="44"/>
  <c r="L126" i="44"/>
  <c r="L129" i="44"/>
  <c r="P118" i="44"/>
  <c r="L113" i="44"/>
  <c r="L130" i="44"/>
  <c r="P112" i="44"/>
  <c r="L127" i="44"/>
  <c r="L128" i="44"/>
  <c r="P133" i="44"/>
  <c r="L116" i="44"/>
  <c r="L137" i="44"/>
  <c r="P126" i="44"/>
  <c r="T123" i="44"/>
  <c r="Q130" i="44"/>
  <c r="S132" i="44"/>
  <c r="N138" i="44"/>
  <c r="Q138" i="44"/>
  <c r="Q125" i="44"/>
  <c r="T134" i="44"/>
  <c r="P127" i="44"/>
  <c r="Q131" i="44"/>
  <c r="Q129" i="44"/>
  <c r="Q121" i="44"/>
  <c r="Q116" i="44"/>
  <c r="Q134" i="44"/>
  <c r="S118" i="44"/>
  <c r="N135" i="44"/>
  <c r="Q128" i="44"/>
  <c r="Q124" i="44"/>
  <c r="T115" i="44"/>
  <c r="P125" i="44"/>
  <c r="S112" i="44"/>
  <c r="L138" i="44"/>
  <c r="L123" i="44"/>
  <c r="N131" i="44"/>
  <c r="Q122" i="44"/>
  <c r="Q133" i="44"/>
  <c r="T113" i="44"/>
  <c r="P117" i="44"/>
  <c r="S134" i="44"/>
  <c r="L131" i="44"/>
  <c r="L119" i="44"/>
  <c r="N128" i="44"/>
  <c r="Q112" i="44"/>
  <c r="Q135" i="44"/>
  <c r="T131" i="44"/>
  <c r="P119" i="44"/>
  <c r="L132" i="44"/>
  <c r="L118" i="44"/>
  <c r="L120" i="44"/>
  <c r="N133" i="44"/>
  <c r="Q113" i="44"/>
  <c r="Q119" i="44"/>
  <c r="P123" i="44"/>
  <c r="P137" i="44"/>
  <c r="Q114" i="44"/>
  <c r="Q136" i="44"/>
  <c r="Q115" i="44"/>
  <c r="Q120" i="44"/>
  <c r="S128" i="44"/>
  <c r="N119" i="44"/>
  <c r="T128" i="44"/>
  <c r="N126" i="44"/>
  <c r="N113" i="44"/>
  <c r="Q118" i="44"/>
  <c r="Q132" i="44"/>
  <c r="P129" i="44"/>
  <c r="P124" i="44"/>
  <c r="S114" i="44"/>
  <c r="N114" i="44"/>
  <c r="N132" i="44"/>
  <c r="Q127" i="44"/>
  <c r="P136" i="44"/>
  <c r="P121" i="44"/>
  <c r="O128" i="44"/>
  <c r="M129" i="44"/>
  <c r="M130" i="44"/>
  <c r="M120" i="44"/>
  <c r="M126" i="44"/>
  <c r="M128" i="44"/>
  <c r="M125" i="44"/>
  <c r="M114" i="44"/>
  <c r="M123" i="44"/>
  <c r="M116" i="44"/>
  <c r="M121" i="44"/>
  <c r="M112" i="44"/>
  <c r="M134" i="44"/>
  <c r="M132" i="44"/>
  <c r="M135" i="44"/>
  <c r="M127" i="44"/>
  <c r="M133" i="44"/>
  <c r="M119" i="44"/>
  <c r="R113" i="44"/>
  <c r="U135" i="44"/>
  <c r="O123" i="44"/>
  <c r="M131" i="44"/>
  <c r="R130" i="44"/>
  <c r="M138" i="44"/>
  <c r="U112" i="44"/>
  <c r="M113" i="44"/>
  <c r="U136" i="44"/>
  <c r="U119" i="44"/>
  <c r="U114" i="44"/>
  <c r="U123" i="44"/>
  <c r="U129" i="44"/>
  <c r="U117" i="44"/>
  <c r="U122" i="44"/>
  <c r="U131" i="44"/>
  <c r="U125" i="44"/>
  <c r="U130" i="44"/>
  <c r="U124" i="44"/>
  <c r="U113" i="44"/>
  <c r="U121" i="44"/>
  <c r="U126" i="44"/>
  <c r="U115" i="44"/>
  <c r="U134" i="44"/>
  <c r="U120" i="44"/>
  <c r="U128" i="44"/>
  <c r="U132" i="44"/>
  <c r="U127" i="44"/>
  <c r="R114" i="44"/>
  <c r="R112" i="44"/>
  <c r="R134" i="44"/>
  <c r="R126" i="44"/>
  <c r="R115" i="44"/>
  <c r="R133" i="44"/>
  <c r="R136" i="44"/>
  <c r="R129" i="44"/>
  <c r="R122" i="44"/>
  <c r="R135" i="44"/>
  <c r="R116" i="44"/>
  <c r="R123" i="44"/>
  <c r="R131" i="44"/>
  <c r="R118" i="44"/>
  <c r="R138" i="44"/>
  <c r="R121" i="44"/>
  <c r="R124" i="44"/>
  <c r="R137" i="44"/>
  <c r="R117" i="44"/>
  <c r="M136" i="44"/>
  <c r="U118" i="44"/>
  <c r="O136" i="44"/>
  <c r="R120" i="44"/>
  <c r="U137" i="44"/>
  <c r="M137" i="44"/>
  <c r="U133" i="44"/>
  <c r="R127" i="44"/>
  <c r="U116" i="44"/>
  <c r="R132" i="44"/>
  <c r="R119" i="44"/>
  <c r="M124" i="44"/>
  <c r="O124" i="44"/>
  <c r="O114" i="44"/>
  <c r="O126" i="44"/>
  <c r="O120" i="44"/>
  <c r="O127" i="44"/>
  <c r="O121" i="44"/>
  <c r="O122" i="44"/>
  <c r="O138" i="44"/>
  <c r="O133" i="44"/>
  <c r="O130" i="44"/>
  <c r="O137" i="44"/>
  <c r="O112" i="44"/>
  <c r="O131" i="44"/>
  <c r="O119" i="44"/>
  <c r="O118" i="44"/>
  <c r="O132" i="44"/>
  <c r="O115" i="44"/>
  <c r="O125" i="44"/>
  <c r="O129" i="44"/>
  <c r="O117" i="44"/>
  <c r="M115" i="44"/>
  <c r="O113" i="44"/>
  <c r="M122" i="44"/>
  <c r="O134" i="44"/>
  <c r="R128" i="44"/>
  <c r="M117" i="44"/>
  <c r="M118" i="44"/>
  <c r="O135" i="44"/>
  <c r="T132" i="44"/>
  <c r="S120" i="44"/>
  <c r="T122" i="44"/>
  <c r="S117" i="44"/>
  <c r="T120" i="44"/>
  <c r="S138" i="44"/>
  <c r="S133" i="44"/>
  <c r="N116" i="44"/>
  <c r="N136" i="44"/>
  <c r="T130" i="44"/>
  <c r="T121" i="44"/>
  <c r="P113" i="44"/>
  <c r="P130" i="44"/>
  <c r="S137" i="44"/>
  <c r="T124" i="44"/>
  <c r="T114" i="44"/>
  <c r="S125" i="44"/>
  <c r="T138" i="44"/>
  <c r="S113" i="44"/>
  <c r="S136" i="44"/>
  <c r="N120" i="44"/>
  <c r="N112" i="44"/>
  <c r="T137" i="44"/>
  <c r="T118" i="44"/>
  <c r="S115" i="44"/>
  <c r="S126" i="44"/>
  <c r="N121" i="44"/>
  <c r="N137" i="44"/>
  <c r="N118" i="44"/>
  <c r="T136" i="44"/>
  <c r="T119" i="44"/>
  <c r="T112" i="44"/>
  <c r="P114" i="44"/>
  <c r="P132" i="44"/>
  <c r="S130" i="44"/>
  <c r="S131" i="44"/>
  <c r="N124" i="44"/>
  <c r="N122" i="44"/>
  <c r="N115" i="44"/>
  <c r="T135" i="44"/>
  <c r="T126" i="44"/>
  <c r="T117" i="44"/>
  <c r="P135" i="44"/>
  <c r="P131" i="44"/>
  <c r="S123" i="44"/>
  <c r="S122" i="44"/>
  <c r="L122" i="44"/>
  <c r="N127" i="44"/>
  <c r="N129" i="44"/>
  <c r="T125" i="44"/>
  <c r="T133" i="44"/>
  <c r="T116" i="44"/>
  <c r="P120" i="44"/>
  <c r="S116" i="44"/>
  <c r="S135" i="44"/>
  <c r="T127" i="4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6F124C9-6200-4F11-ABD4-D4C314B97701}" name="BallPlateGen5_Fixture_P509-east-DC-1_1-20210121T031147" type="6" refreshedVersion="6" background="1" saveData="1">
    <textPr prompt="0" codePage="850" sourceFile="D:\cmm\Gen 5 Inspection\Gen5 Inspection\P509\Reports\BallPlateGen5_Fixture_P509-east-DC-1_1-20210121T031147.csv" tab="0" comma="1">
      <textFields count="2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xr16:uid="{349A0A7E-9514-4729-B968-A0FD62B5CA8D}" name="BallPlateGen5_Fixture_P509-east-DC-1_1-20210121T040544" type="6" refreshedVersion="6" background="1" saveData="1">
    <textPr prompt="0" codePage="850" sourceFile="D:\cmm\Gen 5 Inspection\Gen5 Inspection\P509\Reports\BallPlateGen5_Fixture_P509-east-DC-1_1-20210121T040544.csv" tab="0" comma="1">
      <textFields count="2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xr16:uid="{C37E2992-D85D-42AE-B6E3-817F38668F84}" name="BallPlateGen5_Fixture_P509-east-DC-1_2-20210121T031512" type="6" refreshedVersion="6" background="1" saveData="1">
    <textPr prompt="0" codePage="850" sourceFile="D:\cmm\Gen 5 Inspection\Gen5 Inspection\P509\Reports\BallPlateGen5_Fixture_P509-east-DC-1_2-20210121T031512.csv" tab="0" comma="1">
      <textFields count="2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xr16:uid="{784FA5A1-A79B-4066-88D3-AB4CD255615E}" name="BallPlateGen5_Fixture_P509-east-DC-1_2-20210121T040909" type="6" refreshedVersion="6" background="1" saveData="1">
    <textPr prompt="0" codePage="850" sourceFile="D:\cmm\Gen 5 Inspection\Gen5 Inspection\P509\Reports\BallPlateGen5_Fixture_P509-east-DC-1_2-20210121T040909.csv" tab="0" comma="1">
      <textFields count="2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xr16:uid="{F5E69837-8298-4580-9909-1C34A92398ED}" name="BallPlateGen5_Fixture_P509-east-DC-1_3-20210121T031837" type="6" refreshedVersion="6" background="1" saveData="1">
    <textPr prompt="0" codePage="850" sourceFile="D:\cmm\Gen 5 Inspection\Gen5 Inspection\P509\Reports\BallPlateGen5_Fixture_P509-east-DC-1_3-20210121T031837.csv" tab="0" comma="1">
      <textFields count="2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xr16:uid="{18FA0F2F-B762-4F78-A7A5-54742C8E5905}" name="BallPlateGen5_Fixture_P509-east-DC-1_3-20210121T041234" type="6" refreshedVersion="6" background="1" saveData="1">
    <textPr prompt="0" codePage="850" sourceFile="D:\cmm\Gen 5 Inspection\Gen5 Inspection\P509\Reports\BallPlateGen5_Fixture_P509-east-DC-1_3-20210121T041234.csv" tab="0" comma="1">
      <textFields count="2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xr16:uid="{38DA2B93-E7E2-47F2-9892-686F070AF5A5}" name="BallPlateGen5_Fixture_P509-east-DC-1_4-20210121T032202" type="6" refreshedVersion="6" background="1" saveData="1">
    <textPr prompt="0" codePage="850" sourceFile="D:\cmm\Gen 5 Inspection\Gen5 Inspection\P509\Reports\BallPlateGen5_Fixture_P509-east-DC-1_4-20210121T032202.csv" tab="0" comma="1">
      <textFields count="2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" xr16:uid="{6C1E08C0-A09B-4B70-BFB5-1F1EF1A0857D}" name="BallPlateGen5_Fixture_P509-east-DC-1_4-20210121T041559" type="6" refreshedVersion="6" background="1" saveData="1">
    <textPr prompt="0" codePage="850" sourceFile="D:\cmm\Gen 5 Inspection\Gen5 Inspection\P509\Reports\BallPlateGen5_Fixture_P509-east-DC-1_4-20210121T041559.csv" tab="0" comma="1">
      <textFields count="2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" xr16:uid="{4D0F8E9B-287C-4203-8A0E-F9AFE8DF0DEB}" name="BallPlateGen5_Fixture_P509-east-DC-1_5-20210121T032527" type="6" refreshedVersion="6" background="1" saveData="1">
    <textPr prompt="0" codePage="850" sourceFile="D:\cmm\Gen 5 Inspection\Gen5 Inspection\P509\Reports\BallPlateGen5_Fixture_P509-east-DC-1_5-20210121T032527.csv" tab="0" comma="1">
      <textFields count="2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" xr16:uid="{715D70D3-C96B-4507-94CF-35BB9B04343D}" name="BallPlateGen5_Fixture_P509-east-DC-1_5-20210121T041923" type="6" refreshedVersion="6" background="1" saveData="1">
    <textPr prompt="0" codePage="850" sourceFile="D:\cmm\Gen 5 Inspection\Gen5 Inspection\P509\Reports\BallPlateGen5_Fixture_P509-east-DC-1_5-20210121T041923.csv" tab="0" comma="1">
      <textFields count="2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" xr16:uid="{28AE2608-15EE-4678-A735-5E5441A928DE}" name="BallPlateGen5_Fixture_P509-east-DC-1_6-20210121T032851" type="6" refreshedVersion="6" background="1" saveData="1">
    <textPr prompt="0" codePage="850" sourceFile="D:\cmm\Gen 5 Inspection\Gen5 Inspection\P509\Reports\BallPlateGen5_Fixture_P509-east-DC-1_6-20210121T032851.csv" tab="0" comma="1">
      <textFields count="2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" xr16:uid="{16C94F7D-71BF-4BD8-A00E-02B1FAD87F5D}" name="BallPlateGen5_Fixture_P509-east-DC-1_6-20210121T042248" type="6" refreshedVersion="6" background="1" saveData="1">
    <textPr prompt="0" codePage="850" sourceFile="D:\cmm\Gen 5 Inspection\Gen5 Inspection\P509\Reports\BallPlateGen5_Fixture_P509-east-DC-1_6-20210121T042248.csv" tab="0" comma="1">
      <textFields count="2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" xr16:uid="{8E8C0F9B-0373-44F1-A08F-50DEC11B4C75}" name="BallPlateGen5_Fixture_P509-east-DC-4_1-20210121T022653" type="6" refreshedVersion="6" background="1" saveData="1">
    <textPr prompt="0" codePage="850" sourceFile="D:\cmm\Gen 5 Inspection\Gen5 Inspection\P509\Reports\BallPlateGen5_Fixture_P509-east-DC-4_1-20210121T022653.csv" tab="0" comma="1">
      <textFields count="2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" xr16:uid="{3E869E34-3EB2-4681-8CF9-62FFFEECD797}" name="BallPlateGen5_Fixture_P509-east-DC-4_2-20210121T023018" type="6" refreshedVersion="6" background="1" saveData="1">
    <textPr prompt="0" codePage="850" sourceFile="D:\cmm\Gen 5 Inspection\Gen5 Inspection\P509\Reports\BallPlateGen5_Fixture_P509-east-DC-4_2-20210121T023018.csv" tab="0" comma="1">
      <textFields count="2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" xr16:uid="{4E5E835E-BA7B-4275-990B-BAABE5913A20}" name="BallPlateGen5_Fixture_P509-east-DC-4_3-20210121T023342" type="6" refreshedVersion="6" background="1" saveData="1">
    <textPr prompt="0" codePage="850" sourceFile="D:\cmm\Gen 5 Inspection\Gen5 Inspection\P509\Reports\BallPlateGen5_Fixture_P509-east-DC-4_3-20210121T023342.csv" tab="0" comma="1">
      <textFields count="2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" xr16:uid="{0C1C7BDE-94F0-4CA4-ADBC-28FC4E34FC3B}" name="BallPlateGen5_Fixture_P509-east-DC-4_4-20210121T023707" type="6" refreshedVersion="6" background="1" saveData="1">
    <textPr prompt="0" codePage="850" sourceFile="D:\cmm\Gen 5 Inspection\Gen5 Inspection\P509\Reports\BallPlateGen5_Fixture_P509-east-DC-4_4-20210121T023707.csv" tab="0" comma="1">
      <textFields count="2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" xr16:uid="{DAB3BFA8-2E89-487F-A3E6-F35AA15BF5E5}" name="BallPlateGen5_Fixture_P509-east-DC-4_5-20210121T024032" type="6" refreshedVersion="6" background="1" saveData="1">
    <textPr prompt="0" codePage="850" sourceFile="D:\cmm\Gen 5 Inspection\Gen5 Inspection\P509\Reports\BallPlateGen5_Fixture_P509-east-DC-4_5-20210121T024032.csv" tab="0" comma="1">
      <textFields count="2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" xr16:uid="{2F9C15C2-4409-43CA-915F-80C592628EE1}" name="BallPlateGen5_Fixture_P509-east-DC-4_6-20210121T024357" type="6" refreshedVersion="6" background="1" saveData="1">
    <textPr prompt="0" codePage="850" sourceFile="D:\cmm\Gen 5 Inspection\Gen5 Inspection\P509\Reports\BallPlateGen5_Fixture_P509-east-DC-4_6-20210121T024357.csv" tab="0" comma="1">
      <textFields count="2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" xr16:uid="{09EBE7B3-8F29-46C4-9B45-2705552EB296}" name="BallPlateGen5_Fixture_P509-south-DC-1_1-20210121T024921" type="6" refreshedVersion="6" background="1" saveData="1">
    <textPr prompt="0" codePage="850" sourceFile="D:\cmm\Gen 5 Inspection\Gen5 Inspection\P509\Reports\BallPlateGen5_Fixture_P509-south-DC-1_1-20210121T024921.csv" tab="0" comma="1">
      <textFields count="2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" xr16:uid="{15E5D254-1463-4178-87EC-74FA34B888F6}" name="BallPlateGen5_Fixture_P509-south-DC-1_1-20210121T034041" type="6" refreshedVersion="6" background="1" saveData="1">
    <textPr prompt="0" codePage="850" sourceFile="D:\cmm\Gen 5 Inspection\Gen5 Inspection\P509\Reports\BallPlateGen5_Fixture_P509-south-DC-1_1-20210121T034041.csv" tab="0" comma="1">
      <textFields count="2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" xr16:uid="{7407AE2D-5499-4519-976A-F4B0C15A7376}" name="BallPlateGen5_Fixture_P509-south-DC-1_2-20210121T025246" type="6" refreshedVersion="6" background="1" saveData="1">
    <textPr prompt="0" codePage="850" sourceFile="D:\cmm\Gen 5 Inspection\Gen5 Inspection\P509\Reports\BallPlateGen5_Fixture_P509-south-DC-1_2-20210121T025246.csv" tab="0" comma="1">
      <textFields count="2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" xr16:uid="{87193CFC-831A-4D0F-8912-652F15DC780B}" name="BallPlateGen5_Fixture_P509-south-DC-1_2-20210121T034406" type="6" refreshedVersion="6" background="1" saveData="1">
    <textPr prompt="0" codePage="850" sourceFile="D:\cmm\Gen 5 Inspection\Gen5 Inspection\P509\Reports\BallPlateGen5_Fixture_P509-south-DC-1_2-20210121T034406.csv" tab="0" comma="1">
      <textFields count="2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" xr16:uid="{6D4A6889-B246-480E-A43D-CDA315831358}" name="BallPlateGen5_Fixture_P509-south-DC-1_3-20210121T025611" type="6" refreshedVersion="6" background="1" saveData="1">
    <textPr prompt="0" codePage="850" sourceFile="D:\cmm\Gen 5 Inspection\Gen5 Inspection\P509\Reports\BallPlateGen5_Fixture_P509-south-DC-1_3-20210121T025611.csv" tab="0" comma="1">
      <textFields count="2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" xr16:uid="{D4C50342-F341-488E-B813-FC7F44B23F59}" name="BallPlateGen5_Fixture_P509-south-DC-1_3-20210121T034731" type="6" refreshedVersion="6" background="1" saveData="1">
    <textPr prompt="0" codePage="850" sourceFile="D:\cmm\Gen 5 Inspection\Gen5 Inspection\P509\Reports\BallPlateGen5_Fixture_P509-south-DC-1_3-20210121T034731.csv" tab="0" comma="1">
      <textFields count="2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" xr16:uid="{F6F34F40-56E7-48EB-8ABC-0E88C7F8B513}" name="BallPlateGen5_Fixture_P509-south-DC-1_4-20210121T025935" type="6" refreshedVersion="6" background="1" saveData="1">
    <textPr prompt="0" codePage="850" sourceFile="D:\cmm\Gen 5 Inspection\Gen5 Inspection\P509\Reports\BallPlateGen5_Fixture_P509-south-DC-1_4-20210121T025935.csv" tab="0" comma="1">
      <textFields count="2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" xr16:uid="{33C20D2B-222C-42DE-9F30-C7EB7BDC9C01}" name="BallPlateGen5_Fixture_P509-south-DC-1_4-20210121T035056" type="6" refreshedVersion="6" background="1" saveData="1">
    <textPr prompt="0" codePage="850" sourceFile="D:\cmm\Gen 5 Inspection\Gen5 Inspection\P509\Reports\BallPlateGen5_Fixture_P509-south-DC-1_4-20210121T035056.csv" tab="0" comma="1">
      <textFields count="2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" xr16:uid="{5DA5CFED-D039-4B05-A054-BE0F94395935}" name="BallPlateGen5_Fixture_P509-south-DC-1_5-20210121T030300" type="6" refreshedVersion="6" background="1" saveData="1">
    <textPr prompt="0" codePage="850" sourceFile="D:\cmm\Gen 5 Inspection\Gen5 Inspection\P509\Reports\BallPlateGen5_Fixture_P509-south-DC-1_5-20210121T030300.csv" tab="0" comma="1">
      <textFields count="2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" xr16:uid="{DEE024FE-0E13-4076-BD54-B93B6E9C6722}" name="BallPlateGen5_Fixture_P509-south-DC-1_5-20210121T035420" type="6" refreshedVersion="6" background="1" saveData="1">
    <textPr prompt="0" codePage="850" sourceFile="D:\cmm\Gen 5 Inspection\Gen5 Inspection\P509\Reports\BallPlateGen5_Fixture_P509-south-DC-1_5-20210121T035420.csv" tab="0" comma="1">
      <textFields count="2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" xr16:uid="{FA48002C-7DD1-4A12-A4CC-CAD1C03F85F0}" name="BallPlateGen5_Fixture_P509-south-DC-1_6-20210121T030625" type="6" refreshedVersion="6" background="1" saveData="1">
    <textPr prompt="0" codePage="850" sourceFile="D:\cmm\Gen 5 Inspection\Gen5 Inspection\P509\Reports\BallPlateGen5_Fixture_P509-south-DC-1_6-20210121T030625.csv" tab="0" comma="1">
      <textFields count="2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" xr16:uid="{2B511432-EA2C-4C65-8569-BAB5A268FBD3}" name="BallPlateGen5_Fixture_P509-south-DC-1_6-20210121T035745" type="6" refreshedVersion="6" background="1" saveData="1">
    <textPr prompt="0" codePage="850" sourceFile="D:\cmm\Gen 5 Inspection\Gen5 Inspection\P509\Reports\BallPlateGen5_Fixture_P509-south-DC-1_6-20210121T035745.csv" tab="0" comma="1">
      <textFields count="2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" xr16:uid="{96C0E751-BE74-42F0-B5A5-58401A18C8A3}" name="BallPlateGen5_Fixture_P509-south-DC-2_1-20210121T015208" type="6" refreshedVersion="6" background="1" saveData="1">
    <textPr prompt="0" codePage="850" sourceFile="D:\cmm\Gen 5 Inspection\Gen5 Inspection\P509\Reports\BallPlateGen5_Fixture_P509-south-DC-2_1-20210121T015208.csv" tab="0" comma="1">
      <textFields count="2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" xr16:uid="{CF8CFD49-EA59-4E82-AB8D-3677FD1C3794}" name="BallPlateGen5_Fixture_P509-south-DC-2_2-20210121T015533" type="6" refreshedVersion="6" background="1" saveData="1">
    <textPr prompt="0" codePage="850" sourceFile="D:\cmm\Gen 5 Inspection\Gen5 Inspection\P509\Reports\BallPlateGen5_Fixture_P509-south-DC-2_2-20210121T015533.csv" tab="0" comma="1">
      <textFields count="2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" xr16:uid="{EF779D2B-2C0B-4917-9B32-2BA5CDF40345}" name="BallPlateGen5_Fixture_P509-south-DC-2_3-20210121T015858" type="6" refreshedVersion="6" background="1" saveData="1">
    <textPr prompt="0" codePage="850" sourceFile="D:\cmm\Gen 5 Inspection\Gen5 Inspection\P509\Reports\BallPlateGen5_Fixture_P509-south-DC-2_3-20210121T015858.csv" tab="0" comma="1">
      <textFields count="2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" xr16:uid="{03C2AF4A-2D6B-4C63-9CE2-C369968D4DF3}" name="BallPlateGen5_Fixture_P509-south-DC-2_4-20210121T020223" type="6" refreshedVersion="6" background="1" saveData="1">
    <textPr prompt="0" codePage="850" sourceFile="D:\cmm\Gen 5 Inspection\Gen5 Inspection\P509\Reports\BallPlateGen5_Fixture_P509-south-DC-2_4-20210121T020223.csv" tab="0" comma="1">
      <textFields count="2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" xr16:uid="{5B297DEF-175A-45E7-B36E-3EA97E25C6F2}" name="BallPlateGen5_Fixture_P509-south-DC-2_5-20210121T020548" type="6" refreshedVersion="6" background="1" saveData="1">
    <textPr prompt="0" codePage="850" sourceFile="D:\cmm\Gen 5 Inspection\Gen5 Inspection\P509\Reports\BallPlateGen5_Fixture_P509-south-DC-2_5-20210121T020548.csv" tab="0" comma="1">
      <textFields count="2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" xr16:uid="{EE653E4A-0ADA-4824-8AFD-A32B036368A2}" name="BallPlateGen5_Fixture_P509-south-DC-2_6-20210121T020913" type="6" refreshedVersion="6" background="1" saveData="1">
    <textPr prompt="0" codePage="850" sourceFile="D:\cmm\Gen 5 Inspection\Gen5 Inspection\P509\Reports\BallPlateGen5_Fixture_P509-south-DC-2_6-20210121T020913.csv" tab="0" comma="1">
      <textFields count="2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<sst xmlns="http://schemas.openxmlformats.org/spreadsheetml/2006/main" count="2947" uniqueCount="148">
  <si>
    <t>D0</t>
  </si>
  <si>
    <t>D1</t>
  </si>
  <si>
    <t>D2</t>
  </si>
  <si>
    <t>D3</t>
  </si>
  <si>
    <t>D4</t>
  </si>
  <si>
    <t>L01</t>
  </si>
  <si>
    <t>L02</t>
  </si>
  <si>
    <t>L03</t>
  </si>
  <si>
    <t>L04</t>
  </si>
  <si>
    <t>L14</t>
  </si>
  <si>
    <t>L23</t>
  </si>
  <si>
    <t>L12</t>
  </si>
  <si>
    <t>L34</t>
  </si>
  <si>
    <t>L13</t>
  </si>
  <si>
    <t>L24</t>
  </si>
  <si>
    <t>fetch csv data row:</t>
  </si>
  <si>
    <t>fetch csv data column:</t>
  </si>
  <si>
    <t>sheet</t>
  </si>
  <si>
    <t>plate</t>
  </si>
  <si>
    <t>orient</t>
  </si>
  <si>
    <t>time</t>
  </si>
  <si>
    <t>run</t>
  </si>
  <si>
    <t>temp</t>
  </si>
  <si>
    <t>x0</t>
  </si>
  <si>
    <t>y0</t>
  </si>
  <si>
    <t>z0</t>
  </si>
  <si>
    <t>x1</t>
  </si>
  <si>
    <t>y1</t>
  </si>
  <si>
    <t>z1</t>
  </si>
  <si>
    <t>x2</t>
  </si>
  <si>
    <t>y2</t>
  </si>
  <si>
    <t>z2</t>
  </si>
  <si>
    <t>x3</t>
  </si>
  <si>
    <t>y3</t>
  </si>
  <si>
    <t>z3</t>
  </si>
  <si>
    <t>x4</t>
  </si>
  <si>
    <t>y4</t>
  </si>
  <si>
    <t>z4</t>
  </si>
  <si>
    <t>°C</t>
  </si>
  <si>
    <t>mm</t>
  </si>
  <si>
    <t>n</t>
  </si>
  <si>
    <t>average</t>
  </si>
  <si>
    <t>stdev</t>
  </si>
  <si>
    <t>min</t>
  </si>
  <si>
    <t>max</t>
  </si>
  <si>
    <t>range</t>
  </si>
  <si>
    <t>East</t>
  </si>
  <si>
    <t>South</t>
  </si>
  <si>
    <t>South-East</t>
  </si>
  <si>
    <t>difference</t>
  </si>
  <si>
    <t>Image 1</t>
  </si>
  <si>
    <t>Image 2</t>
  </si>
  <si>
    <t>Image 3</t>
  </si>
  <si>
    <t>Image 4</t>
  </si>
  <si>
    <t>Image 5</t>
  </si>
  <si>
    <t>Image 6</t>
  </si>
  <si>
    <t>Image 7</t>
  </si>
  <si>
    <t>Image 8</t>
  </si>
  <si>
    <t>Image 9</t>
  </si>
  <si>
    <t>Image 10</t>
  </si>
  <si>
    <t>Image 11</t>
  </si>
  <si>
    <t>Image 12</t>
  </si>
  <si>
    <t>Image 13</t>
  </si>
  <si>
    <t>Image 14</t>
  </si>
  <si>
    <t>Image 15</t>
  </si>
  <si>
    <t>Image 16</t>
  </si>
  <si>
    <t>Image 17</t>
  </si>
  <si>
    <t>Image 18</t>
  </si>
  <si>
    <t>Image 19</t>
  </si>
  <si>
    <t>Image 20</t>
  </si>
  <si>
    <t>Image 21</t>
  </si>
  <si>
    <t>Image 22</t>
  </si>
  <si>
    <t>Image 23</t>
  </si>
  <si>
    <t>Image 24</t>
  </si>
  <si>
    <t>Image 25</t>
  </si>
  <si>
    <t>Image 26</t>
  </si>
  <si>
    <t>Image 27</t>
  </si>
  <si>
    <t>Image 28</t>
  </si>
  <si>
    <t>Image 29</t>
  </si>
  <si>
    <t>Image 30</t>
  </si>
  <si>
    <t>Image 31</t>
  </si>
  <si>
    <t>Image 32</t>
  </si>
  <si>
    <t>Image 33</t>
  </si>
  <si>
    <t>Image 34</t>
  </si>
  <si>
    <t>Image 35</t>
  </si>
  <si>
    <t>Image 36</t>
  </si>
  <si>
    <t>Ball Plate ID and Orientation</t>
  </si>
  <si>
    <t>P509-east</t>
  </si>
  <si>
    <t>Inspector</t>
  </si>
  <si>
    <t>Larry</t>
  </si>
  <si>
    <t>Inspection Time</t>
  </si>
  <si>
    <t>20210121T1508</t>
  </si>
  <si>
    <t>Temperature</t>
  </si>
  <si>
    <t>20.0┬░C</t>
  </si>
  <si>
    <t>Serial No</t>
  </si>
  <si>
    <t>Material Ref</t>
  </si>
  <si>
    <t>Date</t>
  </si>
  <si>
    <t>Notes</t>
  </si>
  <si>
    <t>Pos S0</t>
  </si>
  <si>
    <t>Position Cartesian</t>
  </si>
  <si>
    <t>PASS</t>
  </si>
  <si>
    <t>Pos S1</t>
  </si>
  <si>
    <t>FAIL</t>
  </si>
  <si>
    <t>Pos S2</t>
  </si>
  <si>
    <t>Pos S3</t>
  </si>
  <si>
    <t>Pos S4</t>
  </si>
  <si>
    <t>Diameter</t>
  </si>
  <si>
    <t>PointPointDistance</t>
  </si>
  <si>
    <t>20210121T1602</t>
  </si>
  <si>
    <t>20.1┬░C</t>
  </si>
  <si>
    <t>20210121T1511</t>
  </si>
  <si>
    <t>20210121T1605</t>
  </si>
  <si>
    <t>20210121T1515</t>
  </si>
  <si>
    <t>20210121T1609</t>
  </si>
  <si>
    <t>20210121T1518</t>
  </si>
  <si>
    <t>20210121T1612</t>
  </si>
  <si>
    <t>20210121T1522</t>
  </si>
  <si>
    <t>20210121T1615</t>
  </si>
  <si>
    <t>20210121T1525</t>
  </si>
  <si>
    <t>20210121T1619</t>
  </si>
  <si>
    <t>20210121T1423</t>
  </si>
  <si>
    <t>19.8┬░C</t>
  </si>
  <si>
    <t>20210121T1426</t>
  </si>
  <si>
    <t>20210121T1430</t>
  </si>
  <si>
    <t>20210121T1433</t>
  </si>
  <si>
    <t>19.9┬░C</t>
  </si>
  <si>
    <t>20210121T1437</t>
  </si>
  <si>
    <t>20210121T1440</t>
  </si>
  <si>
    <t>P509-south</t>
  </si>
  <si>
    <t>20210121T1445</t>
  </si>
  <si>
    <t>20210121T1537</t>
  </si>
  <si>
    <t>20210121T1449</t>
  </si>
  <si>
    <t>20210121T1540</t>
  </si>
  <si>
    <t>20210121T1452</t>
  </si>
  <si>
    <t>20210121T1544</t>
  </si>
  <si>
    <t>20210121T1456</t>
  </si>
  <si>
    <t>20210121T1547</t>
  </si>
  <si>
    <t>20210121T1459</t>
  </si>
  <si>
    <t>20210121T1550</t>
  </si>
  <si>
    <t>20210121T1503</t>
  </si>
  <si>
    <t>20210121T1554</t>
  </si>
  <si>
    <t>20210121T1348</t>
  </si>
  <si>
    <t>19.7┬░C</t>
  </si>
  <si>
    <t>20210121T1352</t>
  </si>
  <si>
    <t>20210121T1355</t>
  </si>
  <si>
    <t>20210121T1358</t>
  </si>
  <si>
    <t>20210121T1402</t>
  </si>
  <si>
    <t>20210121T1405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</si>
</sst>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m/dd/yy\ hh:mm;@"/>
    <numFmt numFmtId="165" formatCode="0.0000"/>
    <numFmt numFmtId="166" formatCode="0.0"/>
    <numFmt numFmtId="167" formatCode="0.00\ \u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0" xfId="0" applyAlignment="1">
      <alignment horizontal="right"/>
    </xf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164" fontId="0" fillId="0" borderId="0" xfId="0" applyNumberFormat="1"/>
    <xf numFmtId="0" fontId="0" fillId="0" borderId="5" xfId="0" applyBorder="1"/>
    <xf numFmtId="0" fontId="0" fillId="0" borderId="6" xfId="0" applyBorder="1"/>
    <xf numFmtId="0" fontId="0" fillId="0" borderId="7" xfId="0" applyBorder="1"/>
    <xf numFmtId="165" fontId="0" fillId="0" borderId="6" xfId="0" applyNumberFormat="1" applyBorder="1"/>
    <xf numFmtId="165" fontId="0" fillId="0" borderId="0" xfId="0" applyNumberFormat="1"/>
    <xf numFmtId="165" fontId="0" fillId="0" borderId="7" xfId="0" applyNumberFormat="1" applyBorder="1"/>
    <xf numFmtId="166" fontId="2" fillId="0" borderId="5" xfId="0" applyNumberFormat="1" applyFont="1" applyBorder="1"/>
    <xf numFmtId="165" fontId="2" fillId="0" borderId="6" xfId="0" applyNumberFormat="1" applyFont="1" applyBorder="1"/>
    <xf numFmtId="165" fontId="2" fillId="0" borderId="0" xfId="0" applyNumberFormat="1" applyFont="1"/>
    <xf numFmtId="165" fontId="2" fillId="0" borderId="7" xfId="0" applyNumberFormat="1" applyFont="1" applyBorder="1"/>
    <xf numFmtId="2" fontId="0" fillId="0" borderId="5" xfId="0" applyNumberFormat="1" applyBorder="1"/>
    <xf numFmtId="167" fontId="0" fillId="0" borderId="6" xfId="0" applyNumberFormat="1" applyBorder="1"/>
    <xf numFmtId="167" fontId="0" fillId="0" borderId="0" xfId="0" applyNumberFormat="1"/>
    <xf numFmtId="167" fontId="0" fillId="0" borderId="7" xfId="0" applyNumberFormat="1" applyBorder="1"/>
    <xf numFmtId="167" fontId="0" fillId="0" borderId="9" xfId="0" applyNumberFormat="1" applyBorder="1"/>
    <xf numFmtId="167" fontId="0" fillId="0" borderId="10" xfId="0" applyNumberFormat="1" applyBorder="1"/>
    <xf numFmtId="167" fontId="0" fillId="0" borderId="11" xfId="0" applyNumberFormat="1" applyBorder="1"/>
    <xf numFmtId="166" fontId="0" fillId="0" borderId="5" xfId="0" applyNumberFormat="1" applyBorder="1"/>
    <xf numFmtId="166" fontId="0" fillId="0" borderId="8" xfId="0" applyNumberFormat="1" applyBorder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theme" Target="theme/theme1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connections" Target="connections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eetMetadata" Target="metadata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0" Type="http://schemas.openxmlformats.org/officeDocument/2006/relationships/worksheet" Target="worksheets/sheet20.xml"/><Relationship Id="rId41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llPlateGen5_Fixture_P509-east-DC-1_1-20210121T031147.csv" connectionId="1" xr16:uid="{03EECE91-A99F-4B6A-A313-A9F7C81A4A49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llPlateGen5_Fixture_P509-east-DC-1_1-20210121T040544.csv" connectionId="2" xr16:uid="{91799DF9-60AF-4920-9602-E1F190FFA559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llPlateGen5_Fixture_P509-east-DC-1_2-20210121T031512.csv" connectionId="3" xr16:uid="{5DF0956A-DF5A-48AF-A9E9-33047C1EE2E5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llPlateGen5_Fixture_P509-east-DC-1_2-20210121T040909.csv" connectionId="4" xr16:uid="{81ED9595-E06A-4636-8E6F-003380261E09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llPlateGen5_Fixture_P509-east-DC-1_3-20210121T031837.csv" connectionId="5" xr16:uid="{F8F227E5-98E0-4CB7-A3D6-E4ADF9750BFA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llPlateGen5_Fixture_P509-east-DC-1_3-20210121T041234.csv" connectionId="6" xr16:uid="{2BB63984-C742-43F0-AC05-685A1145C0A7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llPlateGen5_Fixture_P509-east-DC-1_4-20210121T032202.csv" connectionId="7" xr16:uid="{FDDB690E-E739-4B2E-BC80-99B07E02173E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llPlateGen5_Fixture_P509-east-DC-1_4-20210121T041559.csv" connectionId="8" xr16:uid="{383C6F02-FA80-402F-B550-C27ACF512B83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llPlateGen5_Fixture_P509-east-DC-1_5-20210121T032527.csv" connectionId="9" xr16:uid="{D148B330-2C33-417A-9A04-A044C7669E56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llPlateGen5_Fixture_P509-east-DC-1_5-20210121T041923.csv" connectionId="10" xr16:uid="{8F3A3369-0F49-42B8-B5B0-5CBB1CFD23F3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llPlateGen5_Fixture_P509-east-DC-1_6-20210121T032851.csv" connectionId="11" xr16:uid="{12FF430B-CF09-4018-8AF0-6B7B36C9CB58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llPlateGen5_Fixture_P509-east-DC-1_6-20210121T042248.csv" connectionId="12" xr16:uid="{EC8FCF64-9BD9-47BC-8F9B-3CED3857595B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llPlateGen5_Fixture_P509-east-DC-4_1-20210121T022653.csv" connectionId="13" xr16:uid="{C5E2F8CE-C0EE-48DA-9993-38FEE85F946A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llPlateGen5_Fixture_P509-east-DC-4_2-20210121T023018.csv" connectionId="14" xr16:uid="{BC1778CD-AE9B-4630-AA8A-64009218EC16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llPlateGen5_Fixture_P509-east-DC-4_3-20210121T023342.csv" connectionId="15" xr16:uid="{C5B3D005-4AB4-4315-9F51-71AAFD1765A5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llPlateGen5_Fixture_P509-east-DC-4_4-20210121T023707.csv" connectionId="16" xr16:uid="{290DEEC3-0F34-4B8E-8592-6BF597E79DEC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llPlateGen5_Fixture_P509-east-DC-4_5-20210121T024032.csv" connectionId="17" xr16:uid="{B00B6732-EDBE-4B4E-894F-1856C27B3DB6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llPlateGen5_Fixture_P509-east-DC-4_6-20210121T024357.csv" connectionId="18" xr16:uid="{0D4DEBA2-2A6F-4622-B496-EEB44C280C42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llPlateGen5_Fixture_P509-south-DC-1_1-20210121T024921.csv" connectionId="19" xr16:uid="{6C7800A9-D202-467A-A990-DDDBA0529E8B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llPlateGen5_Fixture_P509-south-DC-1_1-20210121T034041.csv" connectionId="20" xr16:uid="{F498D79F-9A09-43AF-BB2D-AEF660330F3B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llPlateGen5_Fixture_P509-south-DC-1_2-20210121T025246.csv" connectionId="21" xr16:uid="{03D9BB76-6FA8-4D93-9AED-63CC8043935B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llPlateGen5_Fixture_P509-south-DC-1_2-20210121T034406.csv" connectionId="22" xr16:uid="{F4084847-9428-4B7F-B762-6F92EE6513A9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llPlateGen5_Fixture_P509-south-DC-1_3-20210121T025611.csv" connectionId="23" xr16:uid="{E845DAD1-A711-4C0F-9A1A-6BEACC69E5EC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llPlateGen5_Fixture_P509-south-DC-1_3-20210121T034731.csv" connectionId="24" xr16:uid="{86B61281-39BD-4383-BA22-2AADE6F057DD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llPlateGen5_Fixture_P509-south-DC-1_4-20210121T025935.csv" connectionId="25" xr16:uid="{036F72E0-0B9B-4219-AD07-333D05B4D621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llPlateGen5_Fixture_P509-south-DC-1_4-20210121T035056.csv" connectionId="26" xr16:uid="{3E06502A-4BF7-4F9B-9714-0348749E0D0F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llPlateGen5_Fixture_P509-south-DC-1_5-20210121T030300.csv" connectionId="27" xr16:uid="{60B0C63C-7B53-40F9-8890-73C9BC36218E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llPlateGen5_Fixture_P509-south-DC-1_5-20210121T035420.csv" connectionId="28" xr16:uid="{13C1D640-D21F-4C6F-BC80-7D7683D4D027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llPlateGen5_Fixture_P509-south-DC-1_6-20210121T030625.csv" connectionId="29" xr16:uid="{422D7E21-F80D-4EA7-B33E-0470C64A6AC6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llPlateGen5_Fixture_P509-south-DC-1_6-20210121T035745.csv" connectionId="30" xr16:uid="{466510D0-8B38-4629-8D02-2C57BB551C79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llPlateGen5_Fixture_P509-south-DC-2_1-20210121T015208.csv" connectionId="31" xr16:uid="{217E6168-04F8-43F1-9332-0016F2670EEC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llPlateGen5_Fixture_P509-south-DC-2_2-20210121T015533.csv" connectionId="32" xr16:uid="{D67DEB45-B0B8-4C08-99C1-B13CDCE25B41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llPlateGen5_Fixture_P509-south-DC-2_3-20210121T015858.csv" connectionId="33" xr16:uid="{98F02AA1-EC56-41B9-811A-92C4DF6DBFF3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llPlateGen5_Fixture_P509-south-DC-2_4-20210121T020223.csv" connectionId="34" xr16:uid="{46FD4595-79F6-4618-95CC-ABCE2FDE345F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llPlateGen5_Fixture_P509-south-DC-2_5-20210121T020548.csv" connectionId="35" xr16:uid="{2C96BBBF-8631-422C-80F7-2ECCE9BF373A}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llPlateGen5_Fixture_P509-south-DC-2_6-20210121T020913.csv" connectionId="36" xr16:uid="{DF39F2DF-6E9A-4D2B-A2FD-520EC229E5C8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7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8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9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0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1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2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3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5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DF99A-8A7D-4BF6-95FE-2A1B5C4B7105}">
  <sheetPr codeName="Sheet44"/>
  <dimension ref="A1:BE140"/>
  <sheetViews>
    <sheetView tabSelected="1" workbookViewId="0"/>
  </sheetViews>
  <sheetFormatPr defaultRowHeight="15" x14ac:dyDescent="0.25"/>
  <cols>
    <col min="1" max="1" width="20.85546875" bestFit="1" customWidth="1"/>
    <col min="2" max="2" width="10.85546875" bestFit="1" customWidth="1"/>
    <col min="4" max="4" width="13.85546875" bestFit="1" customWidth="1"/>
    <col min="5" max="5" width="10.5703125" customWidth="1"/>
  </cols>
  <sheetData>
    <row r="1" spans="1:57" x14ac:dyDescent="0.25">
      <c r="A1" s="1" t="s">
        <v>15</v>
      </c>
      <c r="B1">
        <v>1</v>
      </c>
      <c r="D1">
        <v>3</v>
      </c>
      <c r="E1">
        <v>5</v>
      </c>
      <c r="F1">
        <v>4</v>
      </c>
      <c r="G1">
        <v>15</v>
      </c>
      <c r="H1">
        <v>16</v>
      </c>
      <c r="I1">
        <v>17</v>
      </c>
      <c r="J1">
        <v>18</v>
      </c>
      <c r="K1">
        <v>19</v>
      </c>
      <c r="V1">
        <v>10</v>
      </c>
      <c r="W1">
        <v>10</v>
      </c>
      <c r="X1">
        <v>10</v>
      </c>
      <c r="Y1">
        <v>11</v>
      </c>
      <c r="Z1">
        <v>11</v>
      </c>
      <c r="AA1">
        <v>11</v>
      </c>
      <c r="AB1">
        <v>12</v>
      </c>
      <c r="AC1">
        <v>12</v>
      </c>
      <c r="AD1">
        <v>12</v>
      </c>
      <c r="AE1">
        <v>13</v>
      </c>
      <c r="AF1">
        <v>13</v>
      </c>
      <c r="AG1">
        <v>13</v>
      </c>
      <c r="AH1">
        <v>14</v>
      </c>
      <c r="AI1">
        <v>14</v>
      </c>
      <c r="AJ1">
        <v>14</v>
      </c>
      <c r="AK1">
        <v>20</v>
      </c>
      <c r="AL1">
        <v>21</v>
      </c>
      <c r="AM1">
        <v>22</v>
      </c>
      <c r="AN1">
        <v>23</v>
      </c>
      <c r="AO1">
        <v>26</v>
      </c>
      <c r="AP1">
        <v>28</v>
      </c>
      <c r="AQ1">
        <v>24</v>
      </c>
      <c r="AR1">
        <v>25</v>
      </c>
      <c r="AS1">
        <v>29</v>
      </c>
      <c r="AT1">
        <v>27</v>
      </c>
    </row>
    <row r="2" spans="1:57" x14ac:dyDescent="0.25">
      <c r="A2" s="1" t="s">
        <v>16</v>
      </c>
      <c r="B2">
        <v>2</v>
      </c>
      <c r="D2">
        <v>2</v>
      </c>
      <c r="E2">
        <v>2</v>
      </c>
      <c r="F2">
        <v>2</v>
      </c>
      <c r="G2">
        <v>7</v>
      </c>
      <c r="H2">
        <v>7</v>
      </c>
      <c r="I2">
        <v>7</v>
      </c>
      <c r="J2">
        <v>7</v>
      </c>
      <c r="K2">
        <v>7</v>
      </c>
      <c r="V2">
        <v>7</v>
      </c>
      <c r="W2">
        <v>8</v>
      </c>
      <c r="X2">
        <v>9</v>
      </c>
      <c r="Y2">
        <v>7</v>
      </c>
      <c r="Z2">
        <v>8</v>
      </c>
      <c r="AA2">
        <v>9</v>
      </c>
      <c r="AB2">
        <v>7</v>
      </c>
      <c r="AC2">
        <v>8</v>
      </c>
      <c r="AD2">
        <v>9</v>
      </c>
      <c r="AE2">
        <v>7</v>
      </c>
      <c r="AF2">
        <v>8</v>
      </c>
      <c r="AG2">
        <v>9</v>
      </c>
      <c r="AH2">
        <v>7</v>
      </c>
      <c r="AI2">
        <v>8</v>
      </c>
      <c r="AJ2">
        <v>9</v>
      </c>
      <c r="AK2">
        <v>7</v>
      </c>
      <c r="AL2">
        <v>7</v>
      </c>
      <c r="AM2">
        <v>7</v>
      </c>
      <c r="AN2">
        <v>7</v>
      </c>
      <c r="AO2">
        <v>7</v>
      </c>
      <c r="AP2">
        <v>7</v>
      </c>
      <c r="AQ2">
        <v>7</v>
      </c>
      <c r="AR2">
        <v>7</v>
      </c>
      <c r="AS2">
        <v>7</v>
      </c>
      <c r="AT2">
        <v>7</v>
      </c>
    </row>
    <row r="3" spans="1:57" x14ac:dyDescent="0.25">
      <c r="A3" s="1"/>
    </row>
    <row r="4" spans="1:57" ht="15.75" thickBot="1" x14ac:dyDescent="0.3"/>
    <row r="5" spans="1:57" x14ac:dyDescent="0.25">
      <c r="A5" s="2" t="s">
        <v>17</v>
      </c>
      <c r="B5" s="2" t="s">
        <v>18</v>
      </c>
      <c r="C5" s="2" t="s">
        <v>19</v>
      </c>
      <c r="D5" s="2" t="s">
        <v>20</v>
      </c>
      <c r="E5" s="2" t="s">
        <v>21</v>
      </c>
      <c r="F5" s="3" t="s">
        <v>22</v>
      </c>
      <c r="G5" s="4" t="s">
        <v>0</v>
      </c>
      <c r="H5" s="5" t="s">
        <v>1</v>
      </c>
      <c r="I5" s="5" t="s">
        <v>2</v>
      </c>
      <c r="J5" s="5" t="s">
        <v>3</v>
      </c>
      <c r="K5" s="6" t="s">
        <v>4</v>
      </c>
      <c r="L5" s="4" t="s">
        <v>5</v>
      </c>
      <c r="M5" s="5" t="s">
        <v>6</v>
      </c>
      <c r="N5" s="5" t="s">
        <v>7</v>
      </c>
      <c r="O5" s="5" t="s">
        <v>8</v>
      </c>
      <c r="P5" s="5" t="s">
        <v>11</v>
      </c>
      <c r="Q5" s="5" t="s">
        <v>13</v>
      </c>
      <c r="R5" s="5" t="s">
        <v>9</v>
      </c>
      <c r="S5" s="5" t="s">
        <v>10</v>
      </c>
      <c r="T5" s="5" t="s">
        <v>14</v>
      </c>
      <c r="U5" s="6" t="s">
        <v>12</v>
      </c>
      <c r="V5" s="2" t="s">
        <v>23</v>
      </c>
      <c r="W5" s="2" t="s">
        <v>24</v>
      </c>
      <c r="X5" s="2" t="s">
        <v>25</v>
      </c>
      <c r="Y5" s="2" t="s">
        <v>26</v>
      </c>
      <c r="Z5" s="2" t="s">
        <v>27</v>
      </c>
      <c r="AA5" s="2" t="s">
        <v>28</v>
      </c>
      <c r="AB5" s="2" t="s">
        <v>29</v>
      </c>
      <c r="AC5" s="2" t="s">
        <v>30</v>
      </c>
      <c r="AD5" s="2" t="s">
        <v>31</v>
      </c>
      <c r="AE5" s="2" t="s">
        <v>32</v>
      </c>
      <c r="AF5" s="2" t="s">
        <v>33</v>
      </c>
      <c r="AG5" s="2" t="s">
        <v>34</v>
      </c>
      <c r="AH5" s="2" t="s">
        <v>35</v>
      </c>
      <c r="AI5" s="2" t="s">
        <v>36</v>
      </c>
      <c r="AJ5" s="2" t="s">
        <v>37</v>
      </c>
      <c r="AK5" s="2" t="s">
        <v>5</v>
      </c>
      <c r="AL5" s="2" t="s">
        <v>6</v>
      </c>
      <c r="AM5" s="2" t="s">
        <v>7</v>
      </c>
      <c r="AN5" s="2" t="s">
        <v>8</v>
      </c>
      <c r="AO5" s="2" t="s">
        <v>11</v>
      </c>
      <c r="AP5" s="2" t="s">
        <v>13</v>
      </c>
      <c r="AQ5" s="2" t="s">
        <v>9</v>
      </c>
      <c r="AR5" s="2" t="s">
        <v>10</v>
      </c>
      <c r="AS5" s="2" t="s">
        <v>14</v>
      </c>
      <c r="AT5" s="2" t="s">
        <v>12</v>
      </c>
    </row>
    <row r="6" spans="1:57" x14ac:dyDescent="0.25">
      <c r="A6" s="2"/>
      <c r="B6" s="2"/>
      <c r="C6" s="2"/>
      <c r="D6" s="2"/>
      <c r="E6" s="2"/>
      <c r="F6" s="7" t="s">
        <v>38</v>
      </c>
      <c r="G6" s="8" t="s">
        <v>39</v>
      </c>
      <c r="H6" s="2" t="s">
        <v>39</v>
      </c>
      <c r="I6" s="2" t="s">
        <v>39</v>
      </c>
      <c r="J6" s="2" t="s">
        <v>39</v>
      </c>
      <c r="K6" s="9" t="s">
        <v>39</v>
      </c>
      <c r="L6" s="8" t="s">
        <v>39</v>
      </c>
      <c r="M6" s="2" t="s">
        <v>39</v>
      </c>
      <c r="N6" s="2" t="s">
        <v>39</v>
      </c>
      <c r="O6" s="2" t="s">
        <v>39</v>
      </c>
      <c r="P6" s="2" t="s">
        <v>39</v>
      </c>
      <c r="Q6" s="2" t="s">
        <v>39</v>
      </c>
      <c r="R6" s="2" t="s">
        <v>39</v>
      </c>
      <c r="S6" s="2" t="s">
        <v>39</v>
      </c>
      <c r="T6" s="2" t="s">
        <v>39</v>
      </c>
      <c r="U6" s="9" t="s">
        <v>39</v>
      </c>
      <c r="V6" s="2" t="s">
        <v>39</v>
      </c>
      <c r="W6" s="2" t="s">
        <v>39</v>
      </c>
      <c r="X6" s="2" t="s">
        <v>39</v>
      </c>
      <c r="Y6" s="2" t="s">
        <v>39</v>
      </c>
      <c r="Z6" s="2" t="s">
        <v>39</v>
      </c>
      <c r="AA6" s="2" t="s">
        <v>39</v>
      </c>
      <c r="AB6" s="2" t="s">
        <v>39</v>
      </c>
      <c r="AC6" s="2" t="s">
        <v>39</v>
      </c>
      <c r="AD6" s="2" t="s">
        <v>39</v>
      </c>
      <c r="AE6" s="2" t="s">
        <v>39</v>
      </c>
      <c r="AF6" s="2" t="s">
        <v>39</v>
      </c>
      <c r="AG6" s="2" t="s">
        <v>39</v>
      </c>
      <c r="AH6" s="2" t="s">
        <v>39</v>
      </c>
      <c r="AI6" s="2" t="s">
        <v>39</v>
      </c>
      <c r="AJ6" s="2" t="s">
        <v>39</v>
      </c>
      <c r="AK6" s="2" t="s">
        <v>39</v>
      </c>
      <c r="AL6" s="2" t="s">
        <v>39</v>
      </c>
      <c r="AM6" s="2" t="s">
        <v>39</v>
      </c>
      <c r="AN6" s="2" t="s">
        <v>39</v>
      </c>
      <c r="AO6" s="2" t="s">
        <v>39</v>
      </c>
      <c r="AP6" s="2" t="s">
        <v>39</v>
      </c>
      <c r="AQ6" s="2" t="s">
        <v>39</v>
      </c>
      <c r="AR6" s="2" t="s">
        <v>39</v>
      </c>
      <c r="AS6" s="2" t="s">
        <v>39</v>
      </c>
      <c r="AT6" s="2" t="s">
        <v>39</v>
      </c>
    </row>
    <row r="7" spans="1:57" x14ac:dyDescent="0.25">
      <c r="A7" t="s">
        <v>80</v>
      </c>
      <c r="B7" t="str" cm="1">
        <f t="array" aca="1" ref="B7" ca="1">LEFT(INDIRECT(ADDRESS(B$1,B$2,1,1,$A7)),FIND("-",INDIRECT(ADDRESS(B$1,B$2,1,1,$A7)))-1)</f>
        <v>P509</v>
      </c>
      <c r="C7" t="str" cm="1">
        <f t="array" aca="1" ref="C7" ca="1">RIGHT(INDIRECT(ADDRESS(B$1,B$2,1,1,$A7)),LEN(INDIRECT(ADDRESS(B$1,B$2,1,1,$A7)))-FIND("-",INDIRECT(ADDRESS(B$1,B$2,1,1,$A7))))</f>
        <v>south</v>
      </c>
      <c r="D7" s="10" cm="1">
        <f t="array" aca="1" ref="D7" ca="1">DATE(MID(INDIRECT(ADDRESS(D$1,D$2,1,1,$A7)),1,4),MID(INDIRECT(ADDRESS(D$1,D$2,1,1,$A7)),5,2),MID(INDIRECT(ADDRESS(D$1,D$2,1,1,$A7)),7,2))+TIME(MID(INDIRECT(ADDRESS(D$1,D$2,1,1,$A7)),10,2),MID(INDIRECT(ADDRESS(D$1,D$2,1,1,$A7)),12,2),0)</f>
        <v>44217.574999999997</v>
      </c>
      <c r="E7" cm="1">
        <f t="array" aca="1" ref="E7" ca="1">INDIRECT(ADDRESS(E$1,E$2,1,1,$A7))</f>
        <v>0</v>
      </c>
      <c r="F7" s="11" cm="1">
        <f t="array" aca="1" ref="F7" ca="1">VALUE(SUBSTITUTE(INDIRECT(ADDRESS(F$1,F$2,1,1,$A7)),"┬░C",""))</f>
        <v>19.7</v>
      </c>
      <c r="G7" s="12" cm="1">
        <f t="array" aca="1" ref="G7" ca="1">INDIRECT(ADDRESS(G$1,G$2,1,1,$A7))</f>
        <v>25.398199999999999</v>
      </c>
      <c r="H7" cm="1">
        <f t="array" aca="1" ref="H7" ca="1">INDIRECT(ADDRESS(H$1,H$2,1,1,$A7))</f>
        <v>25.402100000000001</v>
      </c>
      <c r="I7" cm="1">
        <f t="array" aca="1" ref="I7" ca="1">INDIRECT(ADDRESS(I$1,I$2,1,1,$A7))</f>
        <v>25.401499999999999</v>
      </c>
      <c r="J7" cm="1">
        <f t="array" aca="1" ref="J7" ca="1">INDIRECT(ADDRESS(J$1,J$2,1,1,$A7))</f>
        <v>25.402699999999999</v>
      </c>
      <c r="K7" s="13" cm="1">
        <f t="array" aca="1" ref="K7" ca="1">INDIRECT(ADDRESS(K$1,K$2,1,1,$A7))</f>
        <v>25.401900000000001</v>
      </c>
      <c r="L7" s="14" cm="1">
        <f t="array" aca="1" ref="L7" ca="1">SQRT(SUMSQ(Y7:AA7-V7:X7))</f>
        <v>72.877832764565653</v>
      </c>
      <c r="M7" s="15" cm="1">
        <f t="array" aca="1" ref="M7" ca="1">SQRT(SUMSQ(AB7:AD7-V7:X7))</f>
        <v>73.712562776028889</v>
      </c>
      <c r="N7" s="15" cm="1">
        <f t="array" aca="1" ref="N7" ca="1">SQRT(SUMSQ(AE7:AG7-V7:X7))</f>
        <v>72.338479579612397</v>
      </c>
      <c r="O7" s="15" cm="1">
        <f t="array" aca="1" ref="O7" ca="1">SQRT(SUMSQ(AH7:AJ7-V7:X7))</f>
        <v>71.963450282000792</v>
      </c>
      <c r="P7" s="15" cm="1">
        <f t="array" aca="1" ref="P7" ca="1">SQRT(SUMSQ(AB7:AD7-Y7:AA7))</f>
        <v>125.92990112062346</v>
      </c>
      <c r="Q7" s="15" cm="1">
        <f t="array" aca="1" ref="Q7" ca="1">SQRT(SUMSQ(AE7:AG7-Y7:AA7))</f>
        <v>145.21338293108525</v>
      </c>
      <c r="R7" s="15" cm="1">
        <f t="array" aca="1" ref="R7" ca="1">SQRT(SUMSQ(AH7:AJ7-Y7:AA7))</f>
        <v>74.991090082689155</v>
      </c>
      <c r="S7" s="15" cm="1">
        <f t="array" aca="1" ref="S7" ca="1">SQRT(SUMSQ(AE7:AG7-AB7:AD7))</f>
        <v>73.986821247570845</v>
      </c>
      <c r="T7" s="15" cm="1">
        <f t="array" aca="1" ref="T7" ca="1">SQRT(SUMSQ(AH7:AJ7-AB7:AD7))</f>
        <v>145.67256780197155</v>
      </c>
      <c r="U7" s="16" cm="1">
        <f t="array" aca="1" ref="U7" ca="1">SQRT(SUMSQ(AH7:AJ7-AE7:AG7))</f>
        <v>123.92106428489065</v>
      </c>
      <c r="V7" cm="1">
        <f t="array" aca="1" ref="V7" ca="1">INDIRECT(ADDRESS(V$1,V$2,1,1,$A7))</f>
        <v>0</v>
      </c>
      <c r="W7" cm="1">
        <f t="array" aca="1" ref="W7" ca="1">INDIRECT(ADDRESS(W$1,W$2,1,1,$A7))</f>
        <v>0</v>
      </c>
      <c r="X7" cm="1">
        <f t="array" aca="1" ref="X7" ca="1">INDIRECT(ADDRESS(X$1,X$2,1,1,$A7))</f>
        <v>0</v>
      </c>
      <c r="Y7" cm="1">
        <f t="array" aca="1" ref="Y7" ca="1">INDIRECT(ADDRESS(Y$1,Y$2,1,1,$A7))</f>
        <v>62.479100000000003</v>
      </c>
      <c r="Z7" cm="1">
        <f t="array" aca="1" ref="Z7" ca="1">INDIRECT(ADDRESS(Z$1,Z$2,1,1,$A7))</f>
        <v>37.517099999999999</v>
      </c>
      <c r="AA7" cm="1">
        <f t="array" aca="1" ref="AA7" ca="1">INDIRECT(ADDRESS(AA$1,AA$2,1,1,$A7))</f>
        <v>8.8200000000000001E-2</v>
      </c>
      <c r="AB7" cm="1">
        <f t="array" aca="1" ref="AB7" ca="1">INDIRECT(ADDRESS(AB$1,AB$2,1,1,$A7))</f>
        <v>-63.450800000000001</v>
      </c>
      <c r="AC7" cm="1">
        <f t="array" aca="1" ref="AC7" ca="1">INDIRECT(ADDRESS(AC$1,AC$2,1,1,$A7))</f>
        <v>37.517099999999999</v>
      </c>
      <c r="AD7" cm="1">
        <f t="array" aca="1" ref="AD7" ca="1">INDIRECT(ADDRESS(AD$1,AD$2,1,1,$A7))</f>
        <v>7.1400000000000005E-2</v>
      </c>
      <c r="AE7" cm="1">
        <f t="array" aca="1" ref="AE7" ca="1">INDIRECT(ADDRESS(AE$1,AE$2,1,1,$A7))</f>
        <v>-62.476199999999999</v>
      </c>
      <c r="AF7" cm="1">
        <f t="array" aca="1" ref="AF7" ca="1">INDIRECT(ADDRESS(AF$1,AF$2,1,1,$A7))</f>
        <v>-36.463299999999997</v>
      </c>
      <c r="AG7" cm="1">
        <f t="array" aca="1" ref="AG7" ca="1">INDIRECT(ADDRESS(AG$1,AG$2,1,1,$A7))</f>
        <v>8.8400000000000006E-2</v>
      </c>
      <c r="AH7" cm="1">
        <f t="array" aca="1" ref="AH7" ca="1">INDIRECT(ADDRESS(AH$1,AH$2,1,1,$A7))</f>
        <v>61.440800000000003</v>
      </c>
      <c r="AI7" cm="1">
        <f t="array" aca="1" ref="AI7" ca="1">INDIRECT(ADDRESS(AI$1,AI$2,1,1,$A7))</f>
        <v>-37.466799999999999</v>
      </c>
      <c r="AJ7" cm="1">
        <f t="array" aca="1" ref="AJ7" ca="1">INDIRECT(ADDRESS(AJ$1,AJ$2,1,1,$A7))</f>
        <v>7.1900000000000006E-2</v>
      </c>
      <c r="AK7" s="15" cm="1">
        <f t="array" aca="1" ref="AK7" ca="1">INDIRECT(ADDRESS(AK$1,AK$2,1,1,$A7))</f>
        <v>72.877799999999993</v>
      </c>
      <c r="AL7" s="15" cm="1">
        <f t="array" aca="1" ref="AL7" ca="1">INDIRECT(ADDRESS(AL$1,AL$2,1,1,$A7))</f>
        <v>73.712599999999995</v>
      </c>
      <c r="AM7" s="15" cm="1">
        <f t="array" aca="1" ref="AM7" ca="1">INDIRECT(ADDRESS(AM$1,AM$2,1,1,$A7))</f>
        <v>72.338399999999993</v>
      </c>
      <c r="AN7" s="15" cm="1">
        <f t="array" aca="1" ref="AN7" ca="1">INDIRECT(ADDRESS(AN$1,AN$2,1,1,$A7))</f>
        <v>71.963499999999996</v>
      </c>
      <c r="AO7" s="15" cm="1">
        <f t="array" aca="1" ref="AO7" ca="1">INDIRECT(ADDRESS(AO$1,AO$2,1,1,$A7))</f>
        <v>125.9299</v>
      </c>
      <c r="AP7" s="15" cm="1">
        <f t="array" aca="1" ref="AP7" ca="1">INDIRECT(ADDRESS(AP$1,AP$2,1,1,$A7))</f>
        <v>145.2133</v>
      </c>
      <c r="AQ7" s="15" cm="1">
        <f t="array" aca="1" ref="AQ7" ca="1">INDIRECT(ADDRESS(AQ$1,AQ$2,1,1,$A7))</f>
        <v>74.991100000000003</v>
      </c>
      <c r="AR7" s="15" cm="1">
        <f t="array" aca="1" ref="AR7" ca="1">INDIRECT(ADDRESS(AR$1,AR$2,1,1,$A7))</f>
        <v>73.986800000000002</v>
      </c>
      <c r="AS7" s="15" cm="1">
        <f t="array" aca="1" ref="AS7" ca="1">INDIRECT(ADDRESS(AS$1,AS$2,1,1,$A7))</f>
        <v>145.67259999999999</v>
      </c>
      <c r="AT7" s="15" cm="1">
        <f t="array" aca="1" ref="AT7" ca="1">INDIRECT(ADDRESS(AT$1,AT$2,1,1,$A7))</f>
        <v>123.92100000000001</v>
      </c>
      <c r="AV7" s="15">
        <f t="shared" ref="AV7:AV12" ca="1" si="0">AK7-L7</f>
        <v>-3.2764565659704203E-5</v>
      </c>
      <c r="AW7" s="15">
        <f t="shared" ref="AW7:AW12" ca="1" si="1">AL7-M7</f>
        <v>3.7223971105504461E-5</v>
      </c>
      <c r="AX7" s="15">
        <f t="shared" ref="AX7:AX12" ca="1" si="2">AM7-N7</f>
        <v>-7.9579612403790634E-5</v>
      </c>
      <c r="AY7" s="15">
        <f t="shared" ref="AY7:AY12" ca="1" si="3">AN7-O7</f>
        <v>4.9717999203835461E-5</v>
      </c>
      <c r="AZ7" s="15">
        <f t="shared" ref="AZ7:AZ12" ca="1" si="4">AO7-P7</f>
        <v>-1.1206234518112979E-6</v>
      </c>
      <c r="BA7" s="15">
        <f t="shared" ref="BA7:BA12" ca="1" si="5">AP7-Q7</f>
        <v>-8.2931085245263603E-5</v>
      </c>
      <c r="BB7" s="15">
        <f t="shared" ref="BB7:BB12" ca="1" si="6">AQ7-R7</f>
        <v>9.9173108480954397E-6</v>
      </c>
      <c r="BC7" s="15">
        <f t="shared" ref="BC7:BC12" ca="1" si="7">AR7-S7</f>
        <v>-2.1247570842319874E-5</v>
      </c>
      <c r="BD7" s="15">
        <f t="shared" ref="BD7:BD12" ca="1" si="8">AS7-T7</f>
        <v>3.2198028435459491E-5</v>
      </c>
      <c r="BE7" s="15">
        <f t="shared" ref="BE7:BE12" ca="1" si="9">AT7-U7</f>
        <v>-6.4284890640919912E-5</v>
      </c>
    </row>
    <row r="8" spans="1:57" x14ac:dyDescent="0.25">
      <c r="A8" t="s">
        <v>81</v>
      </c>
      <c r="B8" t="str" cm="1">
        <f t="array" aca="1" ref="B8" ca="1">LEFT(INDIRECT(ADDRESS(B$1,B$2,1,1,$A8)),FIND("-",INDIRECT(ADDRESS(B$1,B$2,1,1,$A8)))-1)</f>
        <v>P509</v>
      </c>
      <c r="C8" t="str" cm="1">
        <f t="array" aca="1" ref="C8" ca="1">RIGHT(INDIRECT(ADDRESS(B$1,B$2,1,1,$A8)),LEN(INDIRECT(ADDRESS(B$1,B$2,1,1,$A8)))-FIND("-",INDIRECT(ADDRESS(B$1,B$2,1,1,$A8))))</f>
        <v>south</v>
      </c>
      <c r="D8" s="10" cm="1">
        <f t="array" aca="1" ref="D8" ca="1">DATE(MID(INDIRECT(ADDRESS(D$1,D$2,1,1,$A8)),1,4),MID(INDIRECT(ADDRESS(D$1,D$2,1,1,$A8)),5,2),MID(INDIRECT(ADDRESS(D$1,D$2,1,1,$A8)),7,2))+TIME(MID(INDIRECT(ADDRESS(D$1,D$2,1,1,$A8)),10,2),MID(INDIRECT(ADDRESS(D$1,D$2,1,1,$A8)),12,2),0)</f>
        <v>44217.577777777777</v>
      </c>
      <c r="E8" cm="1">
        <f t="array" aca="1" ref="E8" ca="1">INDIRECT(ADDRESS(E$1,E$2,1,1,$A8))</f>
        <v>0</v>
      </c>
      <c r="F8" s="11" cm="1">
        <f t="array" aca="1" ref="F8" ca="1">VALUE(SUBSTITUTE(INDIRECT(ADDRESS(F$1,F$2,1,1,$A8)),"┬░C",""))</f>
        <v>19.7</v>
      </c>
      <c r="G8" s="12" cm="1">
        <f t="array" aca="1" ref="G8" ca="1">INDIRECT(ADDRESS(G$1,G$2,1,1,$A8))</f>
        <v>25.398299999999999</v>
      </c>
      <c r="H8" cm="1">
        <f t="array" aca="1" ref="H8" ca="1">INDIRECT(ADDRESS(H$1,H$2,1,1,$A8))</f>
        <v>25.401800000000001</v>
      </c>
      <c r="I8" cm="1">
        <f t="array" aca="1" ref="I8" ca="1">INDIRECT(ADDRESS(I$1,I$2,1,1,$A8))</f>
        <v>25.401599999999998</v>
      </c>
      <c r="J8" cm="1">
        <f t="array" aca="1" ref="J8" ca="1">INDIRECT(ADDRESS(J$1,J$2,1,1,$A8))</f>
        <v>25.403199999999998</v>
      </c>
      <c r="K8" s="13" cm="1">
        <f t="array" aca="1" ref="K8" ca="1">INDIRECT(ADDRESS(K$1,K$2,1,1,$A8))</f>
        <v>25.401800000000001</v>
      </c>
      <c r="L8" s="14" cm="1">
        <f t="array" aca="1" ref="L8" ca="1">SQRT(SUMSQ(Y8:AA8-V8:X8))</f>
        <v>72.877558222198971</v>
      </c>
      <c r="M8" s="15" cm="1">
        <f t="array" aca="1" ref="M8" ca="1">SQRT(SUMSQ(AB8:AD8-V8:X8))</f>
        <v>73.712288728949389</v>
      </c>
      <c r="N8" s="15" cm="1">
        <f t="array" aca="1" ref="N8" ca="1">SQRT(SUMSQ(AE8:AG8-V8:X8))</f>
        <v>72.338925736424912</v>
      </c>
      <c r="O8" s="15" cm="1">
        <f t="array" aca="1" ref="O8" ca="1">SQRT(SUMSQ(AH8:AJ8-V8:X8))</f>
        <v>71.963383554416069</v>
      </c>
      <c r="P8" s="15" cm="1">
        <f t="array" aca="1" ref="P8" ca="1">SQRT(SUMSQ(AB8:AD8-Y8:AA8))</f>
        <v>125.92950112062701</v>
      </c>
      <c r="Q8" s="15" cm="1">
        <f t="array" aca="1" ref="Q8" ca="1">SQRT(SUMSQ(AE8:AG8-Y8:AA8))</f>
        <v>145.21355502999711</v>
      </c>
      <c r="R8" s="15" cm="1">
        <f t="array" aca="1" ref="R8" ca="1">SQRT(SUMSQ(AH8:AJ8-Y8:AA8))</f>
        <v>74.991090082689155</v>
      </c>
      <c r="S8" s="15" cm="1">
        <f t="array" aca="1" ref="S8" ca="1">SQRT(SUMSQ(AE8:AG8-AB8:AD8))</f>
        <v>73.986813346433564</v>
      </c>
      <c r="T8" s="15" cm="1">
        <f t="array" aca="1" ref="T8" ca="1">SQRT(SUMSQ(AH8:AJ8-AB8:AD8))</f>
        <v>145.67222486424788</v>
      </c>
      <c r="U8" s="16" cm="1">
        <f t="array" aca="1" ref="U8" ca="1">SQRT(SUMSQ(AH8:AJ8-AE8:AG8))</f>
        <v>123.92126427833118</v>
      </c>
      <c r="V8" cm="1">
        <f t="array" aca="1" ref="V8" ca="1">INDIRECT(ADDRESS(V$1,V$2,1,1,$A8))</f>
        <v>0</v>
      </c>
      <c r="W8" cm="1">
        <f t="array" aca="1" ref="W8" ca="1">INDIRECT(ADDRESS(W$1,W$2,1,1,$A8))</f>
        <v>0</v>
      </c>
      <c r="X8" cm="1">
        <f t="array" aca="1" ref="X8" ca="1">INDIRECT(ADDRESS(X$1,X$2,1,1,$A8))</f>
        <v>0</v>
      </c>
      <c r="Y8" cm="1">
        <f t="array" aca="1" ref="Y8" ca="1">INDIRECT(ADDRESS(Y$1,Y$2,1,1,$A8))</f>
        <v>62.478900000000003</v>
      </c>
      <c r="Z8" cm="1">
        <f t="array" aca="1" ref="Z8" ca="1">INDIRECT(ADDRESS(Z$1,Z$2,1,1,$A8))</f>
        <v>37.5169</v>
      </c>
      <c r="AA8" cm="1">
        <f t="array" aca="1" ref="AA8" ca="1">INDIRECT(ADDRESS(AA$1,AA$2,1,1,$A8))</f>
        <v>8.8099999999999998E-2</v>
      </c>
      <c r="AB8" cm="1">
        <f t="array" aca="1" ref="AB8" ca="1">INDIRECT(ADDRESS(AB$1,AB$2,1,1,$A8))</f>
        <v>-63.450600000000001</v>
      </c>
      <c r="AC8" cm="1">
        <f t="array" aca="1" ref="AC8" ca="1">INDIRECT(ADDRESS(AC$1,AC$2,1,1,$A8))</f>
        <v>37.5169</v>
      </c>
      <c r="AD8" cm="1">
        <f t="array" aca="1" ref="AD8" ca="1">INDIRECT(ADDRESS(AD$1,AD$2,1,1,$A8))</f>
        <v>7.1300000000000002E-2</v>
      </c>
      <c r="AE8" cm="1">
        <f t="array" aca="1" ref="AE8" ca="1">INDIRECT(ADDRESS(AE$1,AE$2,1,1,$A8))</f>
        <v>-62.476599999999998</v>
      </c>
      <c r="AF8" cm="1">
        <f t="array" aca="1" ref="AF8" ca="1">INDIRECT(ADDRESS(AF$1,AF$2,1,1,$A8))</f>
        <v>-36.463500000000003</v>
      </c>
      <c r="AG8" cm="1">
        <f t="array" aca="1" ref="AG8" ca="1">INDIRECT(ADDRESS(AG$1,AG$2,1,1,$A8))</f>
        <v>8.8300000000000003E-2</v>
      </c>
      <c r="AH8" cm="1">
        <f t="array" aca="1" ref="AH8" ca="1">INDIRECT(ADDRESS(AH$1,AH$2,1,1,$A8))</f>
        <v>61.440600000000003</v>
      </c>
      <c r="AI8" cm="1">
        <f t="array" aca="1" ref="AI8" ca="1">INDIRECT(ADDRESS(AI$1,AI$2,1,1,$A8))</f>
        <v>-37.466999999999999</v>
      </c>
      <c r="AJ8" cm="1">
        <f t="array" aca="1" ref="AJ8" ca="1">INDIRECT(ADDRESS(AJ$1,AJ$2,1,1,$A8))</f>
        <v>7.1800000000000003E-2</v>
      </c>
      <c r="AK8" s="15" cm="1">
        <f t="array" aca="1" ref="AK8" ca="1">INDIRECT(ADDRESS(AK$1,AK$2,1,1,$A8))</f>
        <v>72.877600000000001</v>
      </c>
      <c r="AL8" s="15" cm="1">
        <f t="array" aca="1" ref="AL8" ca="1">INDIRECT(ADDRESS(AL$1,AL$2,1,1,$A8))</f>
        <v>73.712299999999999</v>
      </c>
      <c r="AM8" s="15" cm="1">
        <f t="array" aca="1" ref="AM8" ca="1">INDIRECT(ADDRESS(AM$1,AM$2,1,1,$A8))</f>
        <v>72.338899999999995</v>
      </c>
      <c r="AN8" s="15" cm="1">
        <f t="array" aca="1" ref="AN8" ca="1">INDIRECT(ADDRESS(AN$1,AN$2,1,1,$A8))</f>
        <v>71.963399999999993</v>
      </c>
      <c r="AO8" s="15" cm="1">
        <f t="array" aca="1" ref="AO8" ca="1">INDIRECT(ADDRESS(AO$1,AO$2,1,1,$A8))</f>
        <v>125.92959999999999</v>
      </c>
      <c r="AP8" s="15" cm="1">
        <f t="array" aca="1" ref="AP8" ca="1">INDIRECT(ADDRESS(AP$1,AP$2,1,1,$A8))</f>
        <v>145.21350000000001</v>
      </c>
      <c r="AQ8" s="15" cm="1">
        <f t="array" aca="1" ref="AQ8" ca="1">INDIRECT(ADDRESS(AQ$1,AQ$2,1,1,$A8))</f>
        <v>74.991100000000003</v>
      </c>
      <c r="AR8" s="15" cm="1">
        <f t="array" aca="1" ref="AR8" ca="1">INDIRECT(ADDRESS(AR$1,AR$2,1,1,$A8))</f>
        <v>73.986800000000002</v>
      </c>
      <c r="AS8" s="15" cm="1">
        <f t="array" aca="1" ref="AS8" ca="1">INDIRECT(ADDRESS(AS$1,AS$2,1,1,$A8))</f>
        <v>145.67230000000001</v>
      </c>
      <c r="AT8" s="15" cm="1">
        <f t="array" aca="1" ref="AT8" ca="1">INDIRECT(ADDRESS(AT$1,AT$2,1,1,$A8))</f>
        <v>123.9213</v>
      </c>
      <c r="AV8" s="15">
        <f t="shared" ca="1" si="0"/>
        <v>4.1777801030207229E-5</v>
      </c>
      <c r="AW8" s="15">
        <f t="shared" ca="1" si="1"/>
        <v>1.1271050610162092E-5</v>
      </c>
      <c r="AX8" s="15">
        <f t="shared" ca="1" si="2"/>
        <v>-2.573642491654482E-5</v>
      </c>
      <c r="AY8" s="15">
        <f t="shared" ca="1" si="3"/>
        <v>1.644558392399631E-5</v>
      </c>
      <c r="AZ8" s="15">
        <f t="shared" ca="1" si="4"/>
        <v>9.8879372984583824E-5</v>
      </c>
      <c r="BA8" s="15">
        <f t="shared" ca="1" si="5"/>
        <v>-5.5029997099609318E-5</v>
      </c>
      <c r="BB8" s="15">
        <f t="shared" ca="1" si="6"/>
        <v>9.9173108480954397E-6</v>
      </c>
      <c r="BC8" s="15">
        <f t="shared" ca="1" si="7"/>
        <v>-1.3346433561878257E-5</v>
      </c>
      <c r="BD8" s="15">
        <f t="shared" ca="1" si="8"/>
        <v>7.5135752126698208E-5</v>
      </c>
      <c r="BE8" s="15">
        <f t="shared" ca="1" si="9"/>
        <v>3.5721668822930042E-5</v>
      </c>
    </row>
    <row r="9" spans="1:57" x14ac:dyDescent="0.25">
      <c r="A9" t="s">
        <v>82</v>
      </c>
      <c r="B9" t="str" cm="1">
        <f t="array" aca="1" ref="B9" ca="1">LEFT(INDIRECT(ADDRESS(B$1,B$2,1,1,$A9)),FIND("-",INDIRECT(ADDRESS(B$1,B$2,1,1,$A9)))-1)</f>
        <v>P509</v>
      </c>
      <c r="C9" t="str" cm="1">
        <f t="array" aca="1" ref="C9" ca="1">RIGHT(INDIRECT(ADDRESS(B$1,B$2,1,1,$A9)),LEN(INDIRECT(ADDRESS(B$1,B$2,1,1,$A9)))-FIND("-",INDIRECT(ADDRESS(B$1,B$2,1,1,$A9))))</f>
        <v>south</v>
      </c>
      <c r="D9" s="10" cm="1">
        <f t="array" aca="1" ref="D9" ca="1">DATE(MID(INDIRECT(ADDRESS(D$1,D$2,1,1,$A9)),1,4),MID(INDIRECT(ADDRESS(D$1,D$2,1,1,$A9)),5,2),MID(INDIRECT(ADDRESS(D$1,D$2,1,1,$A9)),7,2))+TIME(MID(INDIRECT(ADDRESS(D$1,D$2,1,1,$A9)),10,2),MID(INDIRECT(ADDRESS(D$1,D$2,1,1,$A9)),12,2),0)</f>
        <v>44217.579861111109</v>
      </c>
      <c r="E9" cm="1">
        <f t="array" aca="1" ref="E9" ca="1">INDIRECT(ADDRESS(E$1,E$2,1,1,$A9))</f>
        <v>0</v>
      </c>
      <c r="F9" s="11" cm="1">
        <f t="array" aca="1" ref="F9" ca="1">VALUE(SUBSTITUTE(INDIRECT(ADDRESS(F$1,F$2,1,1,$A9)),"┬░C",""))</f>
        <v>19.7</v>
      </c>
      <c r="G9" s="12" cm="1">
        <f t="array" aca="1" ref="G9" ca="1">INDIRECT(ADDRESS(G$1,G$2,1,1,$A9))</f>
        <v>25.398499999999999</v>
      </c>
      <c r="H9" cm="1">
        <f t="array" aca="1" ref="H9" ca="1">INDIRECT(ADDRESS(H$1,H$2,1,1,$A9))</f>
        <v>25.401900000000001</v>
      </c>
      <c r="I9" cm="1">
        <f t="array" aca="1" ref="I9" ca="1">INDIRECT(ADDRESS(I$1,I$2,1,1,$A9))</f>
        <v>25.401900000000001</v>
      </c>
      <c r="J9" cm="1">
        <f t="array" aca="1" ref="J9" ca="1">INDIRECT(ADDRESS(J$1,J$2,1,1,$A9))</f>
        <v>25.402999999999999</v>
      </c>
      <c r="K9" s="13" cm="1">
        <f t="array" aca="1" ref="K9" ca="1">INDIRECT(ADDRESS(K$1,K$2,1,1,$A9))</f>
        <v>25.401499999999999</v>
      </c>
      <c r="L9" s="14" cm="1">
        <f t="array" aca="1" ref="L9" ca="1">SQRT(SUMSQ(Y9:AA9-V9:X9))</f>
        <v>72.878089958573966</v>
      </c>
      <c r="M9" s="15" cm="1">
        <f t="array" aca="1" ref="M9" ca="1">SQRT(SUMSQ(AB9:AD9-V9:X9))</f>
        <v>73.712476600572842</v>
      </c>
      <c r="N9" s="15" cm="1">
        <f t="array" aca="1" ref="N9" ca="1">SQRT(SUMSQ(AE9:AG9-V9:X9))</f>
        <v>72.338896967053628</v>
      </c>
      <c r="O9" s="15" cm="1">
        <f t="array" aca="1" ref="O9" ca="1">SQRT(SUMSQ(AH9:AJ9-V9:X9))</f>
        <v>71.963298176848454</v>
      </c>
      <c r="P9" s="15" cm="1">
        <f t="array" aca="1" ref="P9" ca="1">SQRT(SUMSQ(AB9:AD9-Y9:AA9))</f>
        <v>125.9301011340021</v>
      </c>
      <c r="Q9" s="15" cm="1">
        <f t="array" aca="1" ref="Q9" ca="1">SQRT(SUMSQ(AE9:AG9-Y9:AA9))</f>
        <v>145.21405548541091</v>
      </c>
      <c r="R9" s="15" cm="1">
        <f t="array" aca="1" ref="R9" ca="1">SQRT(SUMSQ(AH9:AJ9-Y9:AA9))</f>
        <v>74.991298395080477</v>
      </c>
      <c r="S9" s="15" cm="1">
        <f t="array" aca="1" ref="S9" ca="1">SQRT(SUMSQ(AE9:AG9-AB9:AD9))</f>
        <v>73.986612070427981</v>
      </c>
      <c r="T9" s="15" cm="1">
        <f t="array" aca="1" ref="T9" ca="1">SQRT(SUMSQ(AH9:AJ9-AB9:AD9))</f>
        <v>145.67232781314368</v>
      </c>
      <c r="U9" s="16" cm="1">
        <f t="array" aca="1" ref="U9" ca="1">SQRT(SUMSQ(AH9:AJ9-AE9:AG9))</f>
        <v>123.92136752820313</v>
      </c>
      <c r="V9" cm="1">
        <f t="array" aca="1" ref="V9" ca="1">INDIRECT(ADDRESS(V$1,V$2,1,1,$A9))</f>
        <v>0</v>
      </c>
      <c r="W9" cm="1">
        <f t="array" aca="1" ref="W9" ca="1">INDIRECT(ADDRESS(W$1,W$2,1,1,$A9))</f>
        <v>0</v>
      </c>
      <c r="X9" cm="1">
        <f t="array" aca="1" ref="X9" ca="1">INDIRECT(ADDRESS(X$1,X$2,1,1,$A9))</f>
        <v>0</v>
      </c>
      <c r="Y9" cm="1">
        <f t="array" aca="1" ref="Y9" ca="1">INDIRECT(ADDRESS(Y$1,Y$2,1,1,$A9))</f>
        <v>62.479399999999998</v>
      </c>
      <c r="Z9" cm="1">
        <f t="array" aca="1" ref="Z9" ca="1">INDIRECT(ADDRESS(Z$1,Z$2,1,1,$A9))</f>
        <v>37.517099999999999</v>
      </c>
      <c r="AA9" cm="1">
        <f t="array" aca="1" ref="AA9" ca="1">INDIRECT(ADDRESS(AA$1,AA$2,1,1,$A9))</f>
        <v>8.8200000000000001E-2</v>
      </c>
      <c r="AB9" cm="1">
        <f t="array" aca="1" ref="AB9" ca="1">INDIRECT(ADDRESS(AB$1,AB$2,1,1,$A9))</f>
        <v>-63.450699999999998</v>
      </c>
      <c r="AC9" cm="1">
        <f t="array" aca="1" ref="AC9" ca="1">INDIRECT(ADDRESS(AC$1,AC$2,1,1,$A9))</f>
        <v>37.517099999999999</v>
      </c>
      <c r="AD9" cm="1">
        <f t="array" aca="1" ref="AD9" ca="1">INDIRECT(ADDRESS(AD$1,AD$2,1,1,$A9))</f>
        <v>7.1300000000000002E-2</v>
      </c>
      <c r="AE9" cm="1">
        <f t="array" aca="1" ref="AE9" ca="1">INDIRECT(ADDRESS(AE$1,AE$2,1,1,$A9))</f>
        <v>-62.476799999999997</v>
      </c>
      <c r="AF9" cm="1">
        <f t="array" aca="1" ref="AF9" ca="1">INDIRECT(ADDRESS(AF$1,AF$2,1,1,$A9))</f>
        <v>-36.463099999999997</v>
      </c>
      <c r="AG9" cm="1">
        <f t="array" aca="1" ref="AG9" ca="1">INDIRECT(ADDRESS(AG$1,AG$2,1,1,$A9))</f>
        <v>8.8400000000000006E-2</v>
      </c>
      <c r="AH9" cm="1">
        <f t="array" aca="1" ref="AH9" ca="1">INDIRECT(ADDRESS(AH$1,AH$2,1,1,$A9))</f>
        <v>61.4405</v>
      </c>
      <c r="AI9" cm="1">
        <f t="array" aca="1" ref="AI9" ca="1">INDIRECT(ADDRESS(AI$1,AI$2,1,1,$A9))</f>
        <v>-37.466999999999999</v>
      </c>
      <c r="AJ9" cm="1">
        <f t="array" aca="1" ref="AJ9" ca="1">INDIRECT(ADDRESS(AJ$1,AJ$2,1,1,$A9))</f>
        <v>7.1800000000000003E-2</v>
      </c>
      <c r="AK9" s="15" cm="1">
        <f t="array" aca="1" ref="AK9" ca="1">INDIRECT(ADDRESS(AK$1,AK$2,1,1,$A9))</f>
        <v>72.878100000000003</v>
      </c>
      <c r="AL9" s="15" cm="1">
        <f t="array" aca="1" ref="AL9" ca="1">INDIRECT(ADDRESS(AL$1,AL$2,1,1,$A9))</f>
        <v>73.712400000000002</v>
      </c>
      <c r="AM9" s="15" cm="1">
        <f t="array" aca="1" ref="AM9" ca="1">INDIRECT(ADDRESS(AM$1,AM$2,1,1,$A9))</f>
        <v>72.338899999999995</v>
      </c>
      <c r="AN9" s="15" cm="1">
        <f t="array" aca="1" ref="AN9" ca="1">INDIRECT(ADDRESS(AN$1,AN$2,1,1,$A9))</f>
        <v>71.963300000000004</v>
      </c>
      <c r="AO9" s="15" cm="1">
        <f t="array" aca="1" ref="AO9" ca="1">INDIRECT(ADDRESS(AO$1,AO$2,1,1,$A9))</f>
        <v>125.9301</v>
      </c>
      <c r="AP9" s="15" cm="1">
        <f t="array" aca="1" ref="AP9" ca="1">INDIRECT(ADDRESS(AP$1,AP$2,1,1,$A9))</f>
        <v>145.2141</v>
      </c>
      <c r="AQ9" s="15" cm="1">
        <f t="array" aca="1" ref="AQ9" ca="1">INDIRECT(ADDRESS(AQ$1,AQ$2,1,1,$A9))</f>
        <v>74.991299999999995</v>
      </c>
      <c r="AR9" s="15" cm="1">
        <f t="array" aca="1" ref="AR9" ca="1">INDIRECT(ADDRESS(AR$1,AR$2,1,1,$A9))</f>
        <v>73.986599999999996</v>
      </c>
      <c r="AS9" s="15" cm="1">
        <f t="array" aca="1" ref="AS9" ca="1">INDIRECT(ADDRESS(AS$1,AS$2,1,1,$A9))</f>
        <v>145.67230000000001</v>
      </c>
      <c r="AT9" s="15" cm="1">
        <f t="array" aca="1" ref="AT9" ca="1">INDIRECT(ADDRESS(AT$1,AT$2,1,1,$A9))</f>
        <v>123.92140000000001</v>
      </c>
      <c r="AV9" s="15">
        <f t="shared" ca="1" si="0"/>
        <v>1.0041426037332712E-5</v>
      </c>
      <c r="AW9" s="15">
        <f t="shared" ca="1" si="1"/>
        <v>-7.6600572839424785E-5</v>
      </c>
      <c r="AX9" s="15">
        <f t="shared" ca="1" si="2"/>
        <v>3.0329463669431789E-6</v>
      </c>
      <c r="AY9" s="15">
        <f t="shared" ca="1" si="3"/>
        <v>1.8231515497291184E-6</v>
      </c>
      <c r="AZ9" s="15">
        <f t="shared" ca="1" si="4"/>
        <v>-1.1340021046635229E-6</v>
      </c>
      <c r="BA9" s="15">
        <f t="shared" ca="1" si="5"/>
        <v>4.451458909215944E-5</v>
      </c>
      <c r="BB9" s="15">
        <f t="shared" ca="1" si="6"/>
        <v>1.6049195181722098E-6</v>
      </c>
      <c r="BC9" s="15">
        <f t="shared" ca="1" si="7"/>
        <v>-1.2070427985122478E-5</v>
      </c>
      <c r="BD9" s="15">
        <f t="shared" ca="1" si="8"/>
        <v>-2.7813143674393359E-5</v>
      </c>
      <c r="BE9" s="15">
        <f t="shared" ca="1" si="9"/>
        <v>3.2471796870936487E-5</v>
      </c>
    </row>
    <row r="10" spans="1:57" x14ac:dyDescent="0.25">
      <c r="A10" t="s">
        <v>83</v>
      </c>
      <c r="B10" t="str" cm="1">
        <f t="array" aca="1" ref="B10" ca="1">LEFT(INDIRECT(ADDRESS(B$1,B$2,1,1,$A10)),FIND("-",INDIRECT(ADDRESS(B$1,B$2,1,1,$A10)))-1)</f>
        <v>P509</v>
      </c>
      <c r="C10" t="str" cm="1">
        <f t="array" aca="1" ref="C10" ca="1">RIGHT(INDIRECT(ADDRESS(B$1,B$2,1,1,$A10)),LEN(INDIRECT(ADDRESS(B$1,B$2,1,1,$A10)))-FIND("-",INDIRECT(ADDRESS(B$1,B$2,1,1,$A10))))</f>
        <v>south</v>
      </c>
      <c r="D10" s="10" cm="1">
        <f t="array" aca="1" ref="D10" ca="1">DATE(MID(INDIRECT(ADDRESS(D$1,D$2,1,1,$A10)),1,4),MID(INDIRECT(ADDRESS(D$1,D$2,1,1,$A10)),5,2),MID(INDIRECT(ADDRESS(D$1,D$2,1,1,$A10)),7,2))+TIME(MID(INDIRECT(ADDRESS(D$1,D$2,1,1,$A10)),10,2),MID(INDIRECT(ADDRESS(D$1,D$2,1,1,$A10)),12,2),0)</f>
        <v>44217.581944444442</v>
      </c>
      <c r="E10" cm="1">
        <f t="array" aca="1" ref="E10" ca="1">INDIRECT(ADDRESS(E$1,E$2,1,1,$A10))</f>
        <v>0</v>
      </c>
      <c r="F10" s="11" cm="1">
        <f t="array" aca="1" ref="F10" ca="1">VALUE(SUBSTITUTE(INDIRECT(ADDRESS(F$1,F$2,1,1,$A10)),"┬░C",""))</f>
        <v>19.7</v>
      </c>
      <c r="G10" s="12" cm="1">
        <f t="array" aca="1" ref="G10" ca="1">INDIRECT(ADDRESS(G$1,G$2,1,1,$A10))</f>
        <v>25.398900000000001</v>
      </c>
      <c r="H10" cm="1">
        <f t="array" aca="1" ref="H10" ca="1">INDIRECT(ADDRESS(H$1,H$2,1,1,$A10))</f>
        <v>25.401900000000001</v>
      </c>
      <c r="I10" cm="1">
        <f t="array" aca="1" ref="I10" ca="1">INDIRECT(ADDRESS(I$1,I$2,1,1,$A10))</f>
        <v>25.401900000000001</v>
      </c>
      <c r="J10" cm="1">
        <f t="array" aca="1" ref="J10" ca="1">INDIRECT(ADDRESS(J$1,J$2,1,1,$A10))</f>
        <v>25.403199999999998</v>
      </c>
      <c r="K10" s="13" cm="1">
        <f t="array" aca="1" ref="K10" ca="1">INDIRECT(ADDRESS(K$1,K$2,1,1,$A10))</f>
        <v>25.402200000000001</v>
      </c>
      <c r="L10" s="14" cm="1">
        <f t="array" aca="1" ref="L10" ca="1">SQRT(SUMSQ(Y10:AA10-V10:X10))</f>
        <v>72.877987363949615</v>
      </c>
      <c r="M10" s="15" cm="1">
        <f t="array" aca="1" ref="M10" ca="1">SQRT(SUMSQ(AB10:AD10-V10:X10))</f>
        <v>73.712116959561001</v>
      </c>
      <c r="N10" s="15" cm="1">
        <f t="array" aca="1" ref="N10" ca="1">SQRT(SUMSQ(AE10:AG10-V10:X10))</f>
        <v>72.338645428567432</v>
      </c>
      <c r="O10" s="15" cm="1">
        <f t="array" aca="1" ref="O10" ca="1">SQRT(SUMSQ(AH10:AJ10-V10:X10))</f>
        <v>71.963298476793014</v>
      </c>
      <c r="P10" s="15" cm="1">
        <f t="array" aca="1" ref="P10" ca="1">SQRT(SUMSQ(AB10:AD10-Y10:AA10))</f>
        <v>125.92980112062435</v>
      </c>
      <c r="Q10" s="15" cm="1">
        <f t="array" aca="1" ref="Q10" ca="1">SQRT(SUMSQ(AE10:AG10-Y10:AA10))</f>
        <v>145.21369886749665</v>
      </c>
      <c r="R10" s="15" cm="1">
        <f t="array" aca="1" ref="R10" ca="1">SQRT(SUMSQ(AH10:AJ10-Y10:AA10))</f>
        <v>74.991098414278483</v>
      </c>
      <c r="S10" s="15" cm="1">
        <f t="array" aca="1" ref="S10" ca="1">SQRT(SUMSQ(AE10:AG10-AB10:AD10))</f>
        <v>73.985908182707334</v>
      </c>
      <c r="T10" s="15" cm="1">
        <f t="array" aca="1" ref="T10" ca="1">SQRT(SUMSQ(AH10:AJ10-AB10:AD10))</f>
        <v>145.6719676608372</v>
      </c>
      <c r="U10" s="16" cm="1">
        <f t="array" aca="1" ref="U10" ca="1">SQRT(SUMSQ(AH10:AJ10-AE10:AG10))</f>
        <v>123.92137159320018</v>
      </c>
      <c r="V10" cm="1">
        <f t="array" aca="1" ref="V10" ca="1">INDIRECT(ADDRESS(V$1,V$2,1,1,$A10))</f>
        <v>0</v>
      </c>
      <c r="W10" cm="1">
        <f t="array" aca="1" ref="W10" ca="1">INDIRECT(ADDRESS(W$1,W$2,1,1,$A10))</f>
        <v>0</v>
      </c>
      <c r="X10" cm="1">
        <f t="array" aca="1" ref="X10" ca="1">INDIRECT(ADDRESS(X$1,X$2,1,1,$A10))</f>
        <v>0</v>
      </c>
      <c r="Y10" cm="1">
        <f t="array" aca="1" ref="Y10" ca="1">INDIRECT(ADDRESS(Y$1,Y$2,1,1,$A10))</f>
        <v>62.479399999999998</v>
      </c>
      <c r="Z10" cm="1">
        <f t="array" aca="1" ref="Z10" ca="1">INDIRECT(ADDRESS(Z$1,Z$2,1,1,$A10))</f>
        <v>37.5169</v>
      </c>
      <c r="AA10" cm="1">
        <f t="array" aca="1" ref="AA10" ca="1">INDIRECT(ADDRESS(AA$1,AA$2,1,1,$A10))</f>
        <v>8.8499999999999995E-2</v>
      </c>
      <c r="AB10" cm="1">
        <f t="array" aca="1" ref="AB10" ca="1">INDIRECT(ADDRESS(AB$1,AB$2,1,1,$A10))</f>
        <v>-63.450400000000002</v>
      </c>
      <c r="AC10" cm="1">
        <f t="array" aca="1" ref="AC10" ca="1">INDIRECT(ADDRESS(AC$1,AC$2,1,1,$A10))</f>
        <v>37.5169</v>
      </c>
      <c r="AD10" cm="1">
        <f t="array" aca="1" ref="AD10" ca="1">INDIRECT(ADDRESS(AD$1,AD$2,1,1,$A10))</f>
        <v>7.17E-2</v>
      </c>
      <c r="AE10" cm="1">
        <f t="array" aca="1" ref="AE10" ca="1">INDIRECT(ADDRESS(AE$1,AE$2,1,1,$A10))</f>
        <v>-62.476799999999997</v>
      </c>
      <c r="AF10" cm="1">
        <f t="array" aca="1" ref="AF10" ca="1">INDIRECT(ADDRESS(AF$1,AF$2,1,1,$A10))</f>
        <v>-36.462600000000002</v>
      </c>
      <c r="AG10" cm="1">
        <f t="array" aca="1" ref="AG10" ca="1">INDIRECT(ADDRESS(AG$1,AG$2,1,1,$A10))</f>
        <v>8.8800000000000004E-2</v>
      </c>
      <c r="AH10" cm="1">
        <f t="array" aca="1" ref="AH10" ca="1">INDIRECT(ADDRESS(AH$1,AH$2,1,1,$A10))</f>
        <v>61.4405</v>
      </c>
      <c r="AI10" cm="1">
        <f t="array" aca="1" ref="AI10" ca="1">INDIRECT(ADDRESS(AI$1,AI$2,1,1,$A10))</f>
        <v>-37.466999999999999</v>
      </c>
      <c r="AJ10" cm="1">
        <f t="array" aca="1" ref="AJ10" ca="1">INDIRECT(ADDRESS(AJ$1,AJ$2,1,1,$A10))</f>
        <v>7.2099999999999997E-2</v>
      </c>
      <c r="AK10" s="15" cm="1">
        <f t="array" aca="1" ref="AK10" ca="1">INDIRECT(ADDRESS(AK$1,AK$2,1,1,$A10))</f>
        <v>72.878</v>
      </c>
      <c r="AL10" s="15" cm="1">
        <f t="array" aca="1" ref="AL10" ca="1">INDIRECT(ADDRESS(AL$1,AL$2,1,1,$A10))</f>
        <v>73.712100000000007</v>
      </c>
      <c r="AM10" s="15" cm="1">
        <f t="array" aca="1" ref="AM10" ca="1">INDIRECT(ADDRESS(AM$1,AM$2,1,1,$A10))</f>
        <v>72.338700000000003</v>
      </c>
      <c r="AN10" s="15" cm="1">
        <f t="array" aca="1" ref="AN10" ca="1">INDIRECT(ADDRESS(AN$1,AN$2,1,1,$A10))</f>
        <v>71.963300000000004</v>
      </c>
      <c r="AO10" s="15" cm="1">
        <f t="array" aca="1" ref="AO10" ca="1">INDIRECT(ADDRESS(AO$1,AO$2,1,1,$A10))</f>
        <v>125.9298</v>
      </c>
      <c r="AP10" s="15" cm="1">
        <f t="array" aca="1" ref="AP10" ca="1">INDIRECT(ADDRESS(AP$1,AP$2,1,1,$A10))</f>
        <v>145.21369999999999</v>
      </c>
      <c r="AQ10" s="15" cm="1">
        <f t="array" aca="1" ref="AQ10" ca="1">INDIRECT(ADDRESS(AQ$1,AQ$2,1,1,$A10))</f>
        <v>74.991200000000006</v>
      </c>
      <c r="AR10" s="15" cm="1">
        <f t="array" aca="1" ref="AR10" ca="1">INDIRECT(ADDRESS(AR$1,AR$2,1,1,$A10))</f>
        <v>73.985900000000001</v>
      </c>
      <c r="AS10" s="15" cm="1">
        <f t="array" aca="1" ref="AS10" ca="1">INDIRECT(ADDRESS(AS$1,AS$2,1,1,$A10))</f>
        <v>145.672</v>
      </c>
      <c r="AT10" s="15" cm="1">
        <f t="array" aca="1" ref="AT10" ca="1">INDIRECT(ADDRESS(AT$1,AT$2,1,1,$A10))</f>
        <v>123.92140000000001</v>
      </c>
      <c r="AV10" s="15">
        <f t="shared" ca="1" si="0"/>
        <v>1.2636050385594899E-5</v>
      </c>
      <c r="AW10" s="15">
        <f t="shared" ca="1" si="1"/>
        <v>-1.6959560994678213E-5</v>
      </c>
      <c r="AX10" s="15">
        <f t="shared" ca="1" si="2"/>
        <v>5.4571432571037803E-5</v>
      </c>
      <c r="AY10" s="15">
        <f t="shared" ca="1" si="3"/>
        <v>1.5232069898729605E-6</v>
      </c>
      <c r="AZ10" s="15">
        <f t="shared" ca="1" si="4"/>
        <v>-1.1206243470951449E-6</v>
      </c>
      <c r="BA10" s="15">
        <f t="shared" ca="1" si="5"/>
        <v>1.1325033426601294E-6</v>
      </c>
      <c r="BB10" s="15">
        <f t="shared" ca="1" si="6"/>
        <v>1.0158572152363377E-4</v>
      </c>
      <c r="BC10" s="15">
        <f t="shared" ca="1" si="7"/>
        <v>-8.182707333048711E-6</v>
      </c>
      <c r="BD10" s="15">
        <f t="shared" ca="1" si="8"/>
        <v>3.2339162800099075E-5</v>
      </c>
      <c r="BE10" s="15">
        <f t="shared" ca="1" si="9"/>
        <v>2.8406799827962459E-5</v>
      </c>
    </row>
    <row r="11" spans="1:57" x14ac:dyDescent="0.25">
      <c r="A11" t="s">
        <v>84</v>
      </c>
      <c r="B11" t="str" cm="1">
        <f t="array" aca="1" ref="B11" ca="1">LEFT(INDIRECT(ADDRESS(B$1,B$2,1,1,$A11)),FIND("-",INDIRECT(ADDRESS(B$1,B$2,1,1,$A11)))-1)</f>
        <v>P509</v>
      </c>
      <c r="C11" t="str" cm="1">
        <f t="array" aca="1" ref="C11" ca="1">RIGHT(INDIRECT(ADDRESS(B$1,B$2,1,1,$A11)),LEN(INDIRECT(ADDRESS(B$1,B$2,1,1,$A11)))-FIND("-",INDIRECT(ADDRESS(B$1,B$2,1,1,$A11))))</f>
        <v>south</v>
      </c>
      <c r="D11" s="10" cm="1">
        <f t="array" aca="1" ref="D11" ca="1">DATE(MID(INDIRECT(ADDRESS(D$1,D$2,1,1,$A11)),1,4),MID(INDIRECT(ADDRESS(D$1,D$2,1,1,$A11)),5,2),MID(INDIRECT(ADDRESS(D$1,D$2,1,1,$A11)),7,2))+TIME(MID(INDIRECT(ADDRESS(D$1,D$2,1,1,$A11)),10,2),MID(INDIRECT(ADDRESS(D$1,D$2,1,1,$A11)),12,2),0)</f>
        <v>44217.584722222222</v>
      </c>
      <c r="E11" cm="1">
        <f t="array" aca="1" ref="E11" ca="1">INDIRECT(ADDRESS(E$1,E$2,1,1,$A11))</f>
        <v>0</v>
      </c>
      <c r="F11" s="11" cm="1">
        <f t="array" aca="1" ref="F11" ca="1">VALUE(SUBSTITUTE(INDIRECT(ADDRESS(F$1,F$2,1,1,$A11)),"┬░C",""))</f>
        <v>19.7</v>
      </c>
      <c r="G11" s="12" cm="1">
        <f t="array" aca="1" ref="G11" ca="1">INDIRECT(ADDRESS(G$1,G$2,1,1,$A11))</f>
        <v>25.399000000000001</v>
      </c>
      <c r="H11" cm="1">
        <f t="array" aca="1" ref="H11" ca="1">INDIRECT(ADDRESS(H$1,H$2,1,1,$A11))</f>
        <v>25.4023</v>
      </c>
      <c r="I11" cm="1">
        <f t="array" aca="1" ref="I11" ca="1">INDIRECT(ADDRESS(I$1,I$2,1,1,$A11))</f>
        <v>25.401700000000002</v>
      </c>
      <c r="J11" cm="1">
        <f t="array" aca="1" ref="J11" ca="1">INDIRECT(ADDRESS(J$1,J$2,1,1,$A11))</f>
        <v>25.4026</v>
      </c>
      <c r="K11" s="13" cm="1">
        <f t="array" aca="1" ref="K11" ca="1">INDIRECT(ADDRESS(K$1,K$2,1,1,$A11))</f>
        <v>25.401700000000002</v>
      </c>
      <c r="L11" s="14" cm="1">
        <f t="array" aca="1" ref="L11" ca="1">SQRT(SUMSQ(Y11:AA11-V11:X11))</f>
        <v>72.878124939449421</v>
      </c>
      <c r="M11" s="15" cm="1">
        <f t="array" aca="1" ref="M11" ca="1">SQRT(SUMSQ(AB11:AD11-V11:X11))</f>
        <v>73.712168246294326</v>
      </c>
      <c r="N11" s="15" cm="1">
        <f t="array" aca="1" ref="N11" ca="1">SQRT(SUMSQ(AE11:AG11-V11:X11))</f>
        <v>72.338912148165463</v>
      </c>
      <c r="O11" s="15" cm="1">
        <f t="array" aca="1" ref="O11" ca="1">SQRT(SUMSQ(AH11:AJ11-V11:X11))</f>
        <v>71.963659240202617</v>
      </c>
      <c r="P11" s="15" cm="1">
        <f t="array" aca="1" ref="P11" ca="1">SQRT(SUMSQ(AB11:AD11-Y11:AA11))</f>
        <v>125.92990110732241</v>
      </c>
      <c r="Q11" s="15" cm="1">
        <f t="array" aca="1" ref="Q11" ca="1">SQRT(SUMSQ(AE11:AG11-Y11:AA11))</f>
        <v>145.2141064310558</v>
      </c>
      <c r="R11" s="15" cm="1">
        <f t="array" aca="1" ref="R11" ca="1">SQRT(SUMSQ(AH11:AJ11-Y11:AA11))</f>
        <v>74.991395571558755</v>
      </c>
      <c r="S11" s="15" cm="1">
        <f t="array" aca="1" ref="S11" ca="1">SQRT(SUMSQ(AE11:AG11-AB11:AD11))</f>
        <v>73.986709383442644</v>
      </c>
      <c r="T11" s="15" cm="1">
        <f t="array" aca="1" ref="T11" ca="1">SQRT(SUMSQ(AH11:AJ11-AB11:AD11))</f>
        <v>145.6723792876673</v>
      </c>
      <c r="U11" s="16" cm="1">
        <f t="array" aca="1" ref="U11" ca="1">SQRT(SUMSQ(AH11:AJ11-AE11:AG11))</f>
        <v>123.92156749500872</v>
      </c>
      <c r="V11" cm="1">
        <f t="array" aca="1" ref="V11" ca="1">INDIRECT(ADDRESS(V$1,V$2,1,1,$A11))</f>
        <v>0</v>
      </c>
      <c r="W11" cm="1">
        <f t="array" aca="1" ref="W11" ca="1">INDIRECT(ADDRESS(W$1,W$2,1,1,$A11))</f>
        <v>0</v>
      </c>
      <c r="X11" cm="1">
        <f t="array" aca="1" ref="X11" ca="1">INDIRECT(ADDRESS(X$1,X$2,1,1,$A11))</f>
        <v>0</v>
      </c>
      <c r="Y11" cm="1">
        <f t="array" aca="1" ref="Y11" ca="1">INDIRECT(ADDRESS(Y$1,Y$2,1,1,$A11))</f>
        <v>62.479500000000002</v>
      </c>
      <c r="Z11" cm="1">
        <f t="array" aca="1" ref="Z11" ca="1">INDIRECT(ADDRESS(Z$1,Z$2,1,1,$A11))</f>
        <v>37.517000000000003</v>
      </c>
      <c r="AA11" cm="1">
        <f t="array" aca="1" ref="AA11" ca="1">INDIRECT(ADDRESS(AA$1,AA$2,1,1,$A11))</f>
        <v>8.8800000000000004E-2</v>
      </c>
      <c r="AB11" cm="1">
        <f t="array" aca="1" ref="AB11" ca="1">INDIRECT(ADDRESS(AB$1,AB$2,1,1,$A11))</f>
        <v>-63.450400000000002</v>
      </c>
      <c r="AC11" cm="1">
        <f t="array" aca="1" ref="AC11" ca="1">INDIRECT(ADDRESS(AC$1,AC$2,1,1,$A11))</f>
        <v>37.517000000000003</v>
      </c>
      <c r="AD11" cm="1">
        <f t="array" aca="1" ref="AD11" ca="1">INDIRECT(ADDRESS(AD$1,AD$2,1,1,$A11))</f>
        <v>7.2099999999999997E-2</v>
      </c>
      <c r="AE11" cm="1">
        <f t="array" aca="1" ref="AE11" ca="1">INDIRECT(ADDRESS(AE$1,AE$2,1,1,$A11))</f>
        <v>-62.476700000000001</v>
      </c>
      <c r="AF11" cm="1">
        <f t="array" aca="1" ref="AF11" ca="1">INDIRECT(ADDRESS(AF$1,AF$2,1,1,$A11))</f>
        <v>-36.463299999999997</v>
      </c>
      <c r="AG11" cm="1">
        <f t="array" aca="1" ref="AG11" ca="1">INDIRECT(ADDRESS(AG$1,AG$2,1,1,$A11))</f>
        <v>8.8999999999999996E-2</v>
      </c>
      <c r="AH11" cm="1">
        <f t="array" aca="1" ref="AH11" ca="1">INDIRECT(ADDRESS(AH$1,AH$2,1,1,$A11))</f>
        <v>61.440800000000003</v>
      </c>
      <c r="AI11" cm="1">
        <f t="array" aca="1" ref="AI11" ca="1">INDIRECT(ADDRESS(AI$1,AI$2,1,1,$A11))</f>
        <v>-37.467199999999998</v>
      </c>
      <c r="AJ11" cm="1">
        <f t="array" aca="1" ref="AJ11" ca="1">INDIRECT(ADDRESS(AJ$1,AJ$2,1,1,$A11))</f>
        <v>7.2599999999999998E-2</v>
      </c>
      <c r="AK11" s="15" cm="1">
        <f t="array" aca="1" ref="AK11" ca="1">INDIRECT(ADDRESS(AK$1,AK$2,1,1,$A11))</f>
        <v>72.878100000000003</v>
      </c>
      <c r="AL11" s="15" cm="1">
        <f t="array" aca="1" ref="AL11" ca="1">INDIRECT(ADDRESS(AL$1,AL$2,1,1,$A11))</f>
        <v>73.712199999999996</v>
      </c>
      <c r="AM11" s="15" cm="1">
        <f t="array" aca="1" ref="AM11" ca="1">INDIRECT(ADDRESS(AM$1,AM$2,1,1,$A11))</f>
        <v>72.338899999999995</v>
      </c>
      <c r="AN11" s="15" cm="1">
        <f t="array" aca="1" ref="AN11" ca="1">INDIRECT(ADDRESS(AN$1,AN$2,1,1,$A11))</f>
        <v>71.963700000000003</v>
      </c>
      <c r="AO11" s="15" cm="1">
        <f t="array" aca="1" ref="AO11" ca="1">INDIRECT(ADDRESS(AO$1,AO$2,1,1,$A11))</f>
        <v>125.9299</v>
      </c>
      <c r="AP11" s="15" cm="1">
        <f t="array" aca="1" ref="AP11" ca="1">INDIRECT(ADDRESS(AP$1,AP$2,1,1,$A11))</f>
        <v>145.2141</v>
      </c>
      <c r="AQ11" s="15" cm="1">
        <f t="array" aca="1" ref="AQ11" ca="1">INDIRECT(ADDRESS(AQ$1,AQ$2,1,1,$A11))</f>
        <v>74.991299999999995</v>
      </c>
      <c r="AR11" s="15" cm="1">
        <f t="array" aca="1" ref="AR11" ca="1">INDIRECT(ADDRESS(AR$1,AR$2,1,1,$A11))</f>
        <v>73.986699999999999</v>
      </c>
      <c r="AS11" s="15" cm="1">
        <f t="array" aca="1" ref="AS11" ca="1">INDIRECT(ADDRESS(AS$1,AS$2,1,1,$A11))</f>
        <v>145.67240000000001</v>
      </c>
      <c r="AT11" s="15" cm="1">
        <f t="array" aca="1" ref="AT11" ca="1">INDIRECT(ADDRESS(AT$1,AT$2,1,1,$A11))</f>
        <v>123.9216</v>
      </c>
      <c r="AV11" s="15">
        <f t="shared" ca="1" si="0"/>
        <v>-2.4939449417615833E-5</v>
      </c>
      <c r="AW11" s="15">
        <f t="shared" ca="1" si="1"/>
        <v>3.1753705670212184E-5</v>
      </c>
      <c r="AX11" s="15">
        <f t="shared" ca="1" si="2"/>
        <v>-1.2148165467351646E-5</v>
      </c>
      <c r="AY11" s="15">
        <f t="shared" ca="1" si="3"/>
        <v>4.0759797386158425E-5</v>
      </c>
      <c r="AZ11" s="15">
        <f t="shared" ca="1" si="4"/>
        <v>-1.1073224044366725E-6</v>
      </c>
      <c r="BA11" s="15">
        <f t="shared" ca="1" si="5"/>
        <v>-6.4310557945645996E-6</v>
      </c>
      <c r="BB11" s="15">
        <f t="shared" ca="1" si="6"/>
        <v>-9.5571558759388608E-5</v>
      </c>
      <c r="BC11" s="15">
        <f t="shared" ca="1" si="7"/>
        <v>-9.3834426451167019E-6</v>
      </c>
      <c r="BD11" s="15">
        <f t="shared" ca="1" si="8"/>
        <v>2.0712332712946591E-5</v>
      </c>
      <c r="BE11" s="15">
        <f t="shared" ca="1" si="9"/>
        <v>3.2504991281712137E-5</v>
      </c>
    </row>
    <row r="12" spans="1:57" x14ac:dyDescent="0.25">
      <c r="A12" t="s">
        <v>85</v>
      </c>
      <c r="B12" t="str" cm="1">
        <f t="array" aca="1" ref="B12" ca="1">LEFT(INDIRECT(ADDRESS(B$1,B$2,1,1,$A12)),FIND("-",INDIRECT(ADDRESS(B$1,B$2,1,1,$A12)))-1)</f>
        <v>P509</v>
      </c>
      <c r="C12" t="str" cm="1">
        <f t="array" aca="1" ref="C12" ca="1">RIGHT(INDIRECT(ADDRESS(B$1,B$2,1,1,$A12)),LEN(INDIRECT(ADDRESS(B$1,B$2,1,1,$A12)))-FIND("-",INDIRECT(ADDRESS(B$1,B$2,1,1,$A12))))</f>
        <v>south</v>
      </c>
      <c r="D12" s="10" cm="1">
        <f t="array" aca="1" ref="D12" ca="1">DATE(MID(INDIRECT(ADDRESS(D$1,D$2,1,1,$A12)),1,4),MID(INDIRECT(ADDRESS(D$1,D$2,1,1,$A12)),5,2),MID(INDIRECT(ADDRESS(D$1,D$2,1,1,$A12)),7,2))+TIME(MID(INDIRECT(ADDRESS(D$1,D$2,1,1,$A12)),10,2),MID(INDIRECT(ADDRESS(D$1,D$2,1,1,$A12)),12,2),0)</f>
        <v>44217.586805555555</v>
      </c>
      <c r="E12" cm="1">
        <f t="array" aca="1" ref="E12" ca="1">INDIRECT(ADDRESS(E$1,E$2,1,1,$A12))</f>
        <v>0</v>
      </c>
      <c r="F12" s="11" cm="1">
        <f t="array" aca="1" ref="F12" ca="1">VALUE(SUBSTITUTE(INDIRECT(ADDRESS(F$1,F$2,1,1,$A12)),"┬░C",""))</f>
        <v>19.7</v>
      </c>
      <c r="G12" s="12" cm="1">
        <f t="array" aca="1" ref="G12" ca="1">INDIRECT(ADDRESS(G$1,G$2,1,1,$A12))</f>
        <v>25.398599999999998</v>
      </c>
      <c r="H12" cm="1">
        <f t="array" aca="1" ref="H12" ca="1">INDIRECT(ADDRESS(H$1,H$2,1,1,$A12))</f>
        <v>25.402000000000001</v>
      </c>
      <c r="I12" cm="1">
        <f t="array" aca="1" ref="I12" ca="1">INDIRECT(ADDRESS(I$1,I$2,1,1,$A12))</f>
        <v>25.4023</v>
      </c>
      <c r="J12" cm="1">
        <f t="array" aca="1" ref="J12" ca="1">INDIRECT(ADDRESS(J$1,J$2,1,1,$A12))</f>
        <v>25.402999999999999</v>
      </c>
      <c r="K12" s="13" cm="1">
        <f t="array" aca="1" ref="K12" ca="1">INDIRECT(ADDRESS(K$1,K$2,1,1,$A12))</f>
        <v>25.402100000000001</v>
      </c>
      <c r="L12" s="14" cm="1">
        <f t="array" aca="1" ref="L12" ca="1">SQRT(SUMSQ(Y12:AA12-V12:X12))</f>
        <v>72.878055869376752</v>
      </c>
      <c r="M12" s="15" cm="1">
        <f t="array" aca="1" ref="M12" ca="1">SQRT(SUMSQ(AB12:AD12-V12:X12))</f>
        <v>73.712101051252091</v>
      </c>
      <c r="N12" s="15" cm="1">
        <f t="array" aca="1" ref="N12" ca="1">SQRT(SUMSQ(AE12:AG12-V12:X12))</f>
        <v>72.3386097782505</v>
      </c>
      <c r="O12" s="15" cm="1">
        <f t="array" aca="1" ref="O12" ca="1">SQRT(SUMSQ(AH12:AJ12-V12:X12))</f>
        <v>71.963881456533457</v>
      </c>
      <c r="P12" s="15" cm="1">
        <f t="array" aca="1" ref="P12" ca="1">SQRT(SUMSQ(AB12:AD12-Y12:AA12))</f>
        <v>125.93010114746195</v>
      </c>
      <c r="Q12" s="15" cm="1">
        <f t="array" aca="1" ref="Q12" ca="1">SQRT(SUMSQ(AE12:AG12-Y12:AA12))</f>
        <v>145.21374297155901</v>
      </c>
      <c r="R12" s="15" cm="1">
        <f t="array" aca="1" ref="R12" ca="1">SQRT(SUMSQ(AH12:AJ12-Y12:AA12))</f>
        <v>74.991194271127611</v>
      </c>
      <c r="S12" s="15" cm="1">
        <f t="array" aca="1" ref="S12" ca="1">SQRT(SUMSQ(AE12:AG12-AB12:AD12))</f>
        <v>73.987019982561804</v>
      </c>
      <c r="T12" s="15" cm="1">
        <f t="array" aca="1" ref="T12" ca="1">SQRT(SUMSQ(AH12:AJ12-AB12:AD12))</f>
        <v>145.67253354184516</v>
      </c>
      <c r="U12" s="16" cm="1">
        <f t="array" aca="1" ref="U12" ca="1">SQRT(SUMSQ(AH12:AJ12-AE12:AG12))</f>
        <v>123.92106351544922</v>
      </c>
      <c r="V12" cm="1">
        <f t="array" aca="1" ref="V12" ca="1">INDIRECT(ADDRESS(V$1,V$2,1,1,$A12))</f>
        <v>0</v>
      </c>
      <c r="W12" cm="1">
        <f t="array" aca="1" ref="W12" ca="1">INDIRECT(ADDRESS(W$1,W$2,1,1,$A12))</f>
        <v>0</v>
      </c>
      <c r="X12" cm="1">
        <f t="array" aca="1" ref="X12" ca="1">INDIRECT(ADDRESS(X$1,X$2,1,1,$A12))</f>
        <v>0</v>
      </c>
      <c r="Y12" cm="1">
        <f t="array" aca="1" ref="Y12" ca="1">INDIRECT(ADDRESS(Y$1,Y$2,1,1,$A12))</f>
        <v>62.479599999999998</v>
      </c>
      <c r="Z12" cm="1">
        <f t="array" aca="1" ref="Z12" ca="1">INDIRECT(ADDRESS(Z$1,Z$2,1,1,$A12))</f>
        <v>37.5167</v>
      </c>
      <c r="AA12" cm="1">
        <f t="array" aca="1" ref="AA12" ca="1">INDIRECT(ADDRESS(AA$1,AA$2,1,1,$A12))</f>
        <v>8.8499999999999995E-2</v>
      </c>
      <c r="AB12" cm="1">
        <f t="array" aca="1" ref="AB12" ca="1">INDIRECT(ADDRESS(AB$1,AB$2,1,1,$A12))</f>
        <v>-63.450499999999998</v>
      </c>
      <c r="AC12" cm="1">
        <f t="array" aca="1" ref="AC12" ca="1">INDIRECT(ADDRESS(AC$1,AC$2,1,1,$A12))</f>
        <v>37.5167</v>
      </c>
      <c r="AD12" cm="1">
        <f t="array" aca="1" ref="AD12" ca="1">INDIRECT(ADDRESS(AD$1,AD$2,1,1,$A12))</f>
        <v>7.1499999999999994E-2</v>
      </c>
      <c r="AE12" cm="1">
        <f t="array" aca="1" ref="AE12" ca="1">INDIRECT(ADDRESS(AE$1,AE$2,1,1,$A12))</f>
        <v>-62.475999999999999</v>
      </c>
      <c r="AF12" cm="1">
        <f t="array" aca="1" ref="AF12" ca="1">INDIRECT(ADDRESS(AF$1,AF$2,1,1,$A12))</f>
        <v>-36.463900000000002</v>
      </c>
      <c r="AG12" cm="1">
        <f t="array" aca="1" ref="AG12" ca="1">INDIRECT(ADDRESS(AG$1,AG$2,1,1,$A12))</f>
        <v>8.8800000000000004E-2</v>
      </c>
      <c r="AH12" cm="1">
        <f t="array" aca="1" ref="AH12" ca="1">INDIRECT(ADDRESS(AH$1,AH$2,1,1,$A12))</f>
        <v>61.441000000000003</v>
      </c>
      <c r="AI12" cm="1">
        <f t="array" aca="1" ref="AI12" ca="1">INDIRECT(ADDRESS(AI$1,AI$2,1,1,$A12))</f>
        <v>-37.467300000000002</v>
      </c>
      <c r="AJ12" cm="1">
        <f t="array" aca="1" ref="AJ12" ca="1">INDIRECT(ADDRESS(AJ$1,AJ$2,1,1,$A12))</f>
        <v>7.1999999999999995E-2</v>
      </c>
      <c r="AK12" s="15" cm="1">
        <f t="array" aca="1" ref="AK12" ca="1">INDIRECT(ADDRESS(AK$1,AK$2,1,1,$A12))</f>
        <v>72.878</v>
      </c>
      <c r="AL12" s="15" cm="1">
        <f t="array" aca="1" ref="AL12" ca="1">INDIRECT(ADDRESS(AL$1,AL$2,1,1,$A12))</f>
        <v>73.712100000000007</v>
      </c>
      <c r="AM12" s="15" cm="1">
        <f t="array" aca="1" ref="AM12" ca="1">INDIRECT(ADDRESS(AM$1,AM$2,1,1,$A12))</f>
        <v>72.3386</v>
      </c>
      <c r="AN12" s="15" cm="1">
        <f t="array" aca="1" ref="AN12" ca="1">INDIRECT(ADDRESS(AN$1,AN$2,1,1,$A12))</f>
        <v>71.963899999999995</v>
      </c>
      <c r="AO12" s="15" cm="1">
        <f t="array" aca="1" ref="AO12" ca="1">INDIRECT(ADDRESS(AO$1,AO$2,1,1,$A12))</f>
        <v>125.93</v>
      </c>
      <c r="AP12" s="15" cm="1">
        <f t="array" aca="1" ref="AP12" ca="1">INDIRECT(ADDRESS(AP$1,AP$2,1,1,$A12))</f>
        <v>145.21369999999999</v>
      </c>
      <c r="AQ12" s="15" cm="1">
        <f t="array" aca="1" ref="AQ12" ca="1">INDIRECT(ADDRESS(AQ$1,AQ$2,1,1,$A12))</f>
        <v>74.991200000000006</v>
      </c>
      <c r="AR12" s="15" cm="1">
        <f t="array" aca="1" ref="AR12" ca="1">INDIRECT(ADDRESS(AR$1,AR$2,1,1,$A12))</f>
        <v>73.986999999999995</v>
      </c>
      <c r="AS12" s="15" cm="1">
        <f t="array" aca="1" ref="AS12" ca="1">INDIRECT(ADDRESS(AS$1,AS$2,1,1,$A12))</f>
        <v>145.67250000000001</v>
      </c>
      <c r="AT12" s="15" cm="1">
        <f t="array" aca="1" ref="AT12" ca="1">INDIRECT(ADDRESS(AT$1,AT$2,1,1,$A12))</f>
        <v>123.9211</v>
      </c>
      <c r="AV12" s="15">
        <f t="shared" ca="1" si="0"/>
        <v>-5.5869376751616073E-5</v>
      </c>
      <c r="AW12" s="15">
        <f t="shared" ca="1" si="1"/>
        <v>-1.0512520844940809E-6</v>
      </c>
      <c r="AX12" s="15">
        <f t="shared" ca="1" si="2"/>
        <v>-9.7782505008581211E-6</v>
      </c>
      <c r="AY12" s="15">
        <f t="shared" ca="1" si="3"/>
        <v>1.8543466538289977E-5</v>
      </c>
      <c r="AZ12" s="15">
        <f t="shared" ca="1" si="4"/>
        <v>-1.0114746194744839E-4</v>
      </c>
      <c r="BA12" s="15">
        <f t="shared" ca="1" si="5"/>
        <v>-4.2971559025772876E-5</v>
      </c>
      <c r="BB12" s="15">
        <f t="shared" ca="1" si="6"/>
        <v>5.728872395138751E-6</v>
      </c>
      <c r="BC12" s="15">
        <f t="shared" ca="1" si="7"/>
        <v>-1.998256180968383E-5</v>
      </c>
      <c r="BD12" s="15">
        <f t="shared" ca="1" si="8"/>
        <v>-3.3541845141371596E-5</v>
      </c>
      <c r="BE12" s="15">
        <f t="shared" ca="1" si="9"/>
        <v>3.6484550776094693E-5</v>
      </c>
    </row>
    <row r="13" spans="1:57" x14ac:dyDescent="0.25">
      <c r="A13" t="s">
        <v>62</v>
      </c>
      <c r="B13" t="str" cm="1">
        <f t="array" aca="1" ref="B13" ca="1">LEFT(INDIRECT(ADDRESS(B$1,B$2,1,1,$A13)),FIND("-",INDIRECT(ADDRESS(B$1,B$2,1,1,$A13)))-1)</f>
        <v>P509</v>
      </c>
      <c r="C13" t="str" cm="1">
        <f t="array" aca="1" ref="C13" ca="1">RIGHT(INDIRECT(ADDRESS(B$1,B$2,1,1,$A13)),LEN(INDIRECT(ADDRESS(B$1,B$2,1,1,$A13)))-FIND("-",INDIRECT(ADDRESS(B$1,B$2,1,1,$A13))))</f>
        <v>east</v>
      </c>
      <c r="D13" s="10" cm="1">
        <f t="array" aca="1" ref="D13" ca="1">DATE(MID(INDIRECT(ADDRESS(D$1,D$2,1,1,$A13)),1,4),MID(INDIRECT(ADDRESS(D$1,D$2,1,1,$A13)),5,2),MID(INDIRECT(ADDRESS(D$1,D$2,1,1,$A13)),7,2))+TIME(MID(INDIRECT(ADDRESS(D$1,D$2,1,1,$A13)),10,2),MID(INDIRECT(ADDRESS(D$1,D$2,1,1,$A13)),12,2),0)</f>
        <v>44217.599305555559</v>
      </c>
      <c r="E13" cm="1">
        <f t="array" aca="1" ref="E13" ca="1">INDIRECT(ADDRESS(E$1,E$2,1,1,$A13))</f>
        <v>0</v>
      </c>
      <c r="F13" s="11" cm="1">
        <f t="array" aca="1" ref="F13" ca="1">VALUE(SUBSTITUTE(INDIRECT(ADDRESS(F$1,F$2,1,1,$A13)),"┬░C",""))</f>
        <v>19.8</v>
      </c>
      <c r="G13" s="12" cm="1">
        <f t="array" aca="1" ref="G13" ca="1">INDIRECT(ADDRESS(G$1,G$2,1,1,$A13))</f>
        <v>25.3977</v>
      </c>
      <c r="H13" cm="1">
        <f t="array" aca="1" ref="H13" ca="1">INDIRECT(ADDRESS(H$1,H$2,1,1,$A13))</f>
        <v>25.401299999999999</v>
      </c>
      <c r="I13" cm="1">
        <f t="array" aca="1" ref="I13" ca="1">INDIRECT(ADDRESS(I$1,I$2,1,1,$A13))</f>
        <v>25.401499999999999</v>
      </c>
      <c r="J13" cm="1">
        <f t="array" aca="1" ref="J13" ca="1">INDIRECT(ADDRESS(J$1,J$2,1,1,$A13))</f>
        <v>25.4026</v>
      </c>
      <c r="K13" s="13" cm="1">
        <f t="array" aca="1" ref="K13" ca="1">INDIRECT(ADDRESS(K$1,K$2,1,1,$A13))</f>
        <v>25.401</v>
      </c>
      <c r="L13" s="14" cm="1">
        <f t="array" aca="1" ref="L13" ca="1">SQRT(SUMSQ(Y13:AA13-V13:X13))</f>
        <v>72.878604468664179</v>
      </c>
      <c r="M13" s="15" cm="1">
        <f t="array" aca="1" ref="M13" ca="1">SQRT(SUMSQ(AB13:AD13-V13:X13))</f>
        <v>73.713510324973669</v>
      </c>
      <c r="N13" s="15" cm="1">
        <f t="array" aca="1" ref="N13" ca="1">SQRT(SUMSQ(AE13:AG13-V13:X13))</f>
        <v>72.339767567016693</v>
      </c>
      <c r="O13" s="15" cm="1">
        <f t="array" aca="1" ref="O13" ca="1">SQRT(SUMSQ(AH13:AJ13-V13:X13))</f>
        <v>71.96262623563706</v>
      </c>
      <c r="P13" s="15" cm="1">
        <f t="array" aca="1" ref="P13" ca="1">SQRT(SUMSQ(AB13:AD13-Y13:AA13))</f>
        <v>125.93190104199174</v>
      </c>
      <c r="Q13" s="15" cm="1">
        <f t="array" aca="1" ref="Q13" ca="1">SQRT(SUMSQ(AE13:AG13-Y13:AA13))</f>
        <v>145.21542672777574</v>
      </c>
      <c r="R13" s="15" cm="1">
        <f t="array" aca="1" ref="R13" ca="1">SQRT(SUMSQ(AH13:AJ13-Y13:AA13))</f>
        <v>74.990510816836021</v>
      </c>
      <c r="S13" s="15" cm="1">
        <f t="array" aca="1" ref="S13" ca="1">SQRT(SUMSQ(AE13:AG13-AB13:AD13))</f>
        <v>73.984901532812756</v>
      </c>
      <c r="T13" s="15" cm="1">
        <f t="array" aca="1" ref="T13" ca="1">SQRT(SUMSQ(AH13:AJ13-AB13:AD13))</f>
        <v>145.67268763038595</v>
      </c>
      <c r="U13" s="16" cm="1">
        <f t="array" aca="1" ref="U13" ca="1">SQRT(SUMSQ(AH13:AJ13-AE13:AG13))</f>
        <v>123.92307468764643</v>
      </c>
      <c r="V13" cm="1">
        <f t="array" aca="1" ref="V13" ca="1">INDIRECT(ADDRESS(V$1,V$2,1,1,$A13))</f>
        <v>0</v>
      </c>
      <c r="W13" cm="1">
        <f t="array" aca="1" ref="W13" ca="1">INDIRECT(ADDRESS(W$1,W$2,1,1,$A13))</f>
        <v>0</v>
      </c>
      <c r="X13" cm="1">
        <f t="array" aca="1" ref="X13" ca="1">INDIRECT(ADDRESS(X$1,X$2,1,1,$A13))</f>
        <v>0</v>
      </c>
      <c r="Y13" cm="1">
        <f t="array" aca="1" ref="Y13" ca="1">INDIRECT(ADDRESS(Y$1,Y$2,1,1,$A13))</f>
        <v>62.48</v>
      </c>
      <c r="Z13" cm="1">
        <f t="array" aca="1" ref="Z13" ca="1">INDIRECT(ADDRESS(Z$1,Z$2,1,1,$A13))</f>
        <v>37.517099999999999</v>
      </c>
      <c r="AA13" cm="1">
        <f t="array" aca="1" ref="AA13" ca="1">INDIRECT(ADDRESS(AA$1,AA$2,1,1,$A13))</f>
        <v>8.8300000000000003E-2</v>
      </c>
      <c r="AB13" cm="1">
        <f t="array" aca="1" ref="AB13" ca="1">INDIRECT(ADDRESS(AB$1,AB$2,1,1,$A13))</f>
        <v>-63.451900000000002</v>
      </c>
      <c r="AC13" cm="1">
        <f t="array" aca="1" ref="AC13" ca="1">INDIRECT(ADDRESS(AC$1,AC$2,1,1,$A13))</f>
        <v>37.517099999999999</v>
      </c>
      <c r="AD13" cm="1">
        <f t="array" aca="1" ref="AD13" ca="1">INDIRECT(ADDRESS(AD$1,AD$2,1,1,$A13))</f>
        <v>7.2099999999999997E-2</v>
      </c>
      <c r="AE13" cm="1">
        <f t="array" aca="1" ref="AE13" ca="1">INDIRECT(ADDRESS(AE$1,AE$2,1,1,$A13))</f>
        <v>-62.4788</v>
      </c>
      <c r="AF13" cm="1">
        <f t="array" aca="1" ref="AF13" ca="1">INDIRECT(ADDRESS(AF$1,AF$2,1,1,$A13))</f>
        <v>-36.461399999999998</v>
      </c>
      <c r="AG13" cm="1">
        <f t="array" aca="1" ref="AG13" ca="1">INDIRECT(ADDRESS(AG$1,AG$2,1,1,$A13))</f>
        <v>8.8499999999999995E-2</v>
      </c>
      <c r="AH13" cm="1">
        <f t="array" aca="1" ref="AH13" ca="1">INDIRECT(ADDRESS(AH$1,AH$2,1,1,$A13))</f>
        <v>61.440199999999997</v>
      </c>
      <c r="AI13" cm="1">
        <f t="array" aca="1" ref="AI13" ca="1">INDIRECT(ADDRESS(AI$1,AI$2,1,1,$A13))</f>
        <v>-37.466200000000001</v>
      </c>
      <c r="AJ13" cm="1">
        <f t="array" aca="1" ref="AJ13" ca="1">INDIRECT(ADDRESS(AJ$1,AJ$2,1,1,$A13))</f>
        <v>7.2499999999999995E-2</v>
      </c>
      <c r="AK13" s="15" cm="1">
        <f t="array" aca="1" ref="AK13" ca="1">INDIRECT(ADDRESS(AK$1,AK$2,1,1,$A13))</f>
        <v>72.878600000000006</v>
      </c>
      <c r="AL13" s="15" cm="1">
        <f t="array" aca="1" ref="AL13" ca="1">INDIRECT(ADDRESS(AL$1,AL$2,1,1,$A13))</f>
        <v>73.713499999999996</v>
      </c>
      <c r="AM13" s="15" cm="1">
        <f t="array" aca="1" ref="AM13" ca="1">INDIRECT(ADDRESS(AM$1,AM$2,1,1,$A13))</f>
        <v>72.339799999999997</v>
      </c>
      <c r="AN13" s="15" cm="1">
        <f t="array" aca="1" ref="AN13" ca="1">INDIRECT(ADDRESS(AN$1,AN$2,1,1,$A13))</f>
        <v>71.962599999999995</v>
      </c>
      <c r="AO13" s="15" cm="1">
        <f t="array" aca="1" ref="AO13" ca="1">INDIRECT(ADDRESS(AO$1,AO$2,1,1,$A13))</f>
        <v>125.932</v>
      </c>
      <c r="AP13" s="15" cm="1">
        <f t="array" aca="1" ref="AP13" ca="1">INDIRECT(ADDRESS(AP$1,AP$2,1,1,$A13))</f>
        <v>145.21549999999999</v>
      </c>
      <c r="AQ13" s="15" cm="1">
        <f t="array" aca="1" ref="AQ13" ca="1">INDIRECT(ADDRESS(AQ$1,AQ$2,1,1,$A13))</f>
        <v>74.990499999999997</v>
      </c>
      <c r="AR13" s="15" cm="1">
        <f t="array" aca="1" ref="AR13" ca="1">INDIRECT(ADDRESS(AR$1,AR$2,1,1,$A13))</f>
        <v>73.984899999999996</v>
      </c>
      <c r="AS13" s="15" cm="1">
        <f t="array" aca="1" ref="AS13" ca="1">INDIRECT(ADDRESS(AS$1,AS$2,1,1,$A13))</f>
        <v>145.67269999999999</v>
      </c>
      <c r="AT13" s="15" cm="1">
        <f t="array" aca="1" ref="AT13" ca="1">INDIRECT(ADDRESS(AT$1,AT$2,1,1,$A13))</f>
        <v>123.92310000000001</v>
      </c>
      <c r="AV13" s="15">
        <f t="shared" ref="AV13:AV48" ca="1" si="10">AK13-L13</f>
        <v>-4.4686641729185794E-6</v>
      </c>
      <c r="AW13" s="15">
        <f t="shared" ref="AW13:AW48" ca="1" si="11">AL13-M13</f>
        <v>-1.0324973672481974E-5</v>
      </c>
      <c r="AX13" s="15">
        <f t="shared" ref="AX13:AX48" ca="1" si="12">AM13-N13</f>
        <v>3.2432983303465335E-5</v>
      </c>
      <c r="AY13" s="15">
        <f t="shared" ref="AY13:AY48" ca="1" si="13">AN13-O13</f>
        <v>-2.6235637065497031E-5</v>
      </c>
      <c r="AZ13" s="15">
        <f t="shared" ref="AZ13:AZ48" ca="1" si="14">AO13-P13</f>
        <v>9.8958008265981334E-5</v>
      </c>
      <c r="BA13" s="15">
        <f t="shared" ref="BA13:BA48" ca="1" si="15">AP13-Q13</f>
        <v>7.3272224256015761E-5</v>
      </c>
      <c r="BB13" s="15">
        <f t="shared" ref="BB13:BB48" ca="1" si="16">AQ13-R13</f>
        <v>-1.0816836024218901E-5</v>
      </c>
      <c r="BC13" s="15">
        <f t="shared" ref="BC13:BC48" ca="1" si="17">AR13-S13</f>
        <v>-1.5328127602742825E-6</v>
      </c>
      <c r="BD13" s="15">
        <f t="shared" ref="BD13:BD48" ca="1" si="18">AS13-T13</f>
        <v>1.2369614040608212E-5</v>
      </c>
      <c r="BE13" s="15">
        <f t="shared" ref="BE13:BE48" ca="1" si="19">AT13-U13</f>
        <v>2.5312353571393942E-5</v>
      </c>
    </row>
    <row r="14" spans="1:57" x14ac:dyDescent="0.25">
      <c r="A14" t="s">
        <v>63</v>
      </c>
      <c r="B14" t="str" cm="1">
        <f t="array" aca="1" ref="B14" ca="1">LEFT(INDIRECT(ADDRESS(B$1,B$2,1,1,$A14)),FIND("-",INDIRECT(ADDRESS(B$1,B$2,1,1,$A14)))-1)</f>
        <v>P509</v>
      </c>
      <c r="C14" t="str" cm="1">
        <f t="array" aca="1" ref="C14" ca="1">RIGHT(INDIRECT(ADDRESS(B$1,B$2,1,1,$A14)),LEN(INDIRECT(ADDRESS(B$1,B$2,1,1,$A14)))-FIND("-",INDIRECT(ADDRESS(B$1,B$2,1,1,$A14))))</f>
        <v>east</v>
      </c>
      <c r="D14" s="10" cm="1">
        <f t="array" aca="1" ref="D14" ca="1">DATE(MID(INDIRECT(ADDRESS(D$1,D$2,1,1,$A14)),1,4),MID(INDIRECT(ADDRESS(D$1,D$2,1,1,$A14)),5,2),MID(INDIRECT(ADDRESS(D$1,D$2,1,1,$A14)),7,2))+TIME(MID(INDIRECT(ADDRESS(D$1,D$2,1,1,$A14)),10,2),MID(INDIRECT(ADDRESS(D$1,D$2,1,1,$A14)),12,2),0)</f>
        <v>44217.601388888892</v>
      </c>
      <c r="E14" cm="1">
        <f t="array" aca="1" ref="E14" ca="1">INDIRECT(ADDRESS(E$1,E$2,1,1,$A14))</f>
        <v>0</v>
      </c>
      <c r="F14" s="11" cm="1">
        <f t="array" aca="1" ref="F14" ca="1">VALUE(SUBSTITUTE(INDIRECT(ADDRESS(F$1,F$2,1,1,$A14)),"┬░C",""))</f>
        <v>19.8</v>
      </c>
      <c r="G14" s="12" cm="1">
        <f t="array" aca="1" ref="G14" ca="1">INDIRECT(ADDRESS(G$1,G$2,1,1,$A14))</f>
        <v>25.398</v>
      </c>
      <c r="H14" cm="1">
        <f t="array" aca="1" ref="H14" ca="1">INDIRECT(ADDRESS(H$1,H$2,1,1,$A14))</f>
        <v>25.4023</v>
      </c>
      <c r="I14" cm="1">
        <f t="array" aca="1" ref="I14" ca="1">INDIRECT(ADDRESS(I$1,I$2,1,1,$A14))</f>
        <v>25.401499999999999</v>
      </c>
      <c r="J14" cm="1">
        <f t="array" aca="1" ref="J14" ca="1">INDIRECT(ADDRESS(J$1,J$2,1,1,$A14))</f>
        <v>25.4026</v>
      </c>
      <c r="K14" s="13" cm="1">
        <f t="array" aca="1" ref="K14" ca="1">INDIRECT(ADDRESS(K$1,K$2,1,1,$A14))</f>
        <v>25.401299999999999</v>
      </c>
      <c r="L14" s="14" cm="1">
        <f t="array" aca="1" ref="L14" ca="1">SQRT(SUMSQ(Y14:AA14-V14:X14))</f>
        <v>72.878724817329243</v>
      </c>
      <c r="M14" s="15" cm="1">
        <f t="array" aca="1" ref="M14" ca="1">SQRT(SUMSQ(AB14:AD14-V14:X14))</f>
        <v>73.71354531298843</v>
      </c>
      <c r="N14" s="15" cm="1">
        <f t="array" aca="1" ref="N14" ca="1">SQRT(SUMSQ(AE14:AG14-V14:X14))</f>
        <v>72.339897618119423</v>
      </c>
      <c r="O14" s="15" cm="1">
        <f t="array" aca="1" ref="O14" ca="1">SQRT(SUMSQ(AH14:AJ14-V14:X14))</f>
        <v>71.962948899068891</v>
      </c>
      <c r="P14" s="15" cm="1">
        <f t="array" aca="1" ref="P14" ca="1">SQRT(SUMSQ(AB14:AD14-Y14:AA14))</f>
        <v>125.93220110730218</v>
      </c>
      <c r="Q14" s="15" cm="1">
        <f t="array" aca="1" ref="Q14" ca="1">SQRT(SUMSQ(AE14:AG14-Y14:AA14))</f>
        <v>145.2156814482513</v>
      </c>
      <c r="R14" s="15" cm="1">
        <f t="array" aca="1" ref="R14" ca="1">SQRT(SUMSQ(AH14:AJ14-Y14:AA14))</f>
        <v>74.990206771884559</v>
      </c>
      <c r="S14" s="15" cm="1">
        <f t="array" aca="1" ref="S14" ca="1">SQRT(SUMSQ(AE14:AG14-AB14:AD14))</f>
        <v>73.985405548459369</v>
      </c>
      <c r="T14" s="15" cm="1">
        <f t="array" aca="1" ref="T14" ca="1">SQRT(SUMSQ(AH14:AJ14-AB14:AD14))</f>
        <v>145.67304761876852</v>
      </c>
      <c r="U14" s="16" cm="1">
        <f t="array" aca="1" ref="U14" ca="1">SQRT(SUMSQ(AH14:AJ14-AE14:AG14))</f>
        <v>123.92336824606568</v>
      </c>
      <c r="V14" cm="1">
        <f t="array" aca="1" ref="V14" ca="1">INDIRECT(ADDRESS(V$1,V$2,1,1,$A14))</f>
        <v>0</v>
      </c>
      <c r="W14" cm="1">
        <f t="array" aca="1" ref="W14" ca="1">INDIRECT(ADDRESS(W$1,W$2,1,1,$A14))</f>
        <v>0</v>
      </c>
      <c r="X14" cm="1">
        <f t="array" aca="1" ref="X14" ca="1">INDIRECT(ADDRESS(X$1,X$2,1,1,$A14))</f>
        <v>0</v>
      </c>
      <c r="Y14" cm="1">
        <f t="array" aca="1" ref="Y14" ca="1">INDIRECT(ADDRESS(Y$1,Y$2,1,1,$A14))</f>
        <v>62.480200000000004</v>
      </c>
      <c r="Z14" cm="1">
        <f t="array" aca="1" ref="Z14" ca="1">INDIRECT(ADDRESS(Z$1,Z$2,1,1,$A14))</f>
        <v>37.517000000000003</v>
      </c>
      <c r="AA14" cm="1">
        <f t="array" aca="1" ref="AA14" ca="1">INDIRECT(ADDRESS(AA$1,AA$2,1,1,$A14))</f>
        <v>8.8599999999999998E-2</v>
      </c>
      <c r="AB14" cm="1">
        <f t="array" aca="1" ref="AB14" ca="1">INDIRECT(ADDRESS(AB$1,AB$2,1,1,$A14))</f>
        <v>-63.451999999999998</v>
      </c>
      <c r="AC14" cm="1">
        <f t="array" aca="1" ref="AC14" ca="1">INDIRECT(ADDRESS(AC$1,AC$2,1,1,$A14))</f>
        <v>37.517000000000003</v>
      </c>
      <c r="AD14" cm="1">
        <f t="array" aca="1" ref="AD14" ca="1">INDIRECT(ADDRESS(AD$1,AD$2,1,1,$A14))</f>
        <v>7.1900000000000006E-2</v>
      </c>
      <c r="AE14" cm="1">
        <f t="array" aca="1" ref="AE14" ca="1">INDIRECT(ADDRESS(AE$1,AE$2,1,1,$A14))</f>
        <v>-62.4786</v>
      </c>
      <c r="AF14" cm="1">
        <f t="array" aca="1" ref="AF14" ca="1">INDIRECT(ADDRESS(AF$1,AF$2,1,1,$A14))</f>
        <v>-36.462000000000003</v>
      </c>
      <c r="AG14" cm="1">
        <f t="array" aca="1" ref="AG14" ca="1">INDIRECT(ADDRESS(AG$1,AG$2,1,1,$A14))</f>
        <v>8.8800000000000004E-2</v>
      </c>
      <c r="AH14" cm="1">
        <f t="array" aca="1" ref="AH14" ca="1">INDIRECT(ADDRESS(AH$1,AH$2,1,1,$A14))</f>
        <v>61.4407</v>
      </c>
      <c r="AI14" cm="1">
        <f t="array" aca="1" ref="AI14" ca="1">INDIRECT(ADDRESS(AI$1,AI$2,1,1,$A14))</f>
        <v>-37.466000000000001</v>
      </c>
      <c r="AJ14" cm="1">
        <f t="array" aca="1" ref="AJ14" ca="1">INDIRECT(ADDRESS(AJ$1,AJ$2,1,1,$A14))</f>
        <v>7.2400000000000006E-2</v>
      </c>
      <c r="AK14" s="15" cm="1">
        <f t="array" aca="1" ref="AK14" ca="1">INDIRECT(ADDRESS(AK$1,AK$2,1,1,$A14))</f>
        <v>72.878699999999995</v>
      </c>
      <c r="AL14" s="15" cm="1">
        <f t="array" aca="1" ref="AL14" ca="1">INDIRECT(ADDRESS(AL$1,AL$2,1,1,$A14))</f>
        <v>73.7136</v>
      </c>
      <c r="AM14" s="15" cm="1">
        <f t="array" aca="1" ref="AM14" ca="1">INDIRECT(ADDRESS(AM$1,AM$2,1,1,$A14))</f>
        <v>72.3399</v>
      </c>
      <c r="AN14" s="15" cm="1">
        <f t="array" aca="1" ref="AN14" ca="1">INDIRECT(ADDRESS(AN$1,AN$2,1,1,$A14))</f>
        <v>71.962900000000005</v>
      </c>
      <c r="AO14" s="15" cm="1">
        <f t="array" aca="1" ref="AO14" ca="1">INDIRECT(ADDRESS(AO$1,AO$2,1,1,$A14))</f>
        <v>125.93219999999999</v>
      </c>
      <c r="AP14" s="15" cm="1">
        <f t="array" aca="1" ref="AP14" ca="1">INDIRECT(ADDRESS(AP$1,AP$2,1,1,$A14))</f>
        <v>145.2157</v>
      </c>
      <c r="AQ14" s="15" cm="1">
        <f t="array" aca="1" ref="AQ14" ca="1">INDIRECT(ADDRESS(AQ$1,AQ$2,1,1,$A14))</f>
        <v>74.990200000000002</v>
      </c>
      <c r="AR14" s="15" cm="1">
        <f t="array" aca="1" ref="AR14" ca="1">INDIRECT(ADDRESS(AR$1,AR$2,1,1,$A14))</f>
        <v>73.985399999999998</v>
      </c>
      <c r="AS14" s="15" cm="1">
        <f t="array" aca="1" ref="AS14" ca="1">INDIRECT(ADDRESS(AS$1,AS$2,1,1,$A14))</f>
        <v>145.673</v>
      </c>
      <c r="AT14" s="15" cm="1">
        <f t="array" aca="1" ref="AT14" ca="1">INDIRECT(ADDRESS(AT$1,AT$2,1,1,$A14))</f>
        <v>123.9233</v>
      </c>
      <c r="AV14" s="15">
        <f t="shared" ca="1" si="10"/>
        <v>-2.4817329247639464E-5</v>
      </c>
      <c r="AW14" s="15">
        <f t="shared" ca="1" si="11"/>
        <v>5.4687011569853894E-5</v>
      </c>
      <c r="AX14" s="15">
        <f t="shared" ca="1" si="12"/>
        <v>2.3818805772179985E-6</v>
      </c>
      <c r="AY14" s="15">
        <f t="shared" ca="1" si="13"/>
        <v>-4.8899068886498753E-5</v>
      </c>
      <c r="AZ14" s="15">
        <f t="shared" ca="1" si="14"/>
        <v>-1.1073021823904128E-6</v>
      </c>
      <c r="BA14" s="15">
        <f t="shared" ca="1" si="15"/>
        <v>1.855174869547227E-5</v>
      </c>
      <c r="BB14" s="15">
        <f t="shared" ca="1" si="16"/>
        <v>-6.7718845571107522E-6</v>
      </c>
      <c r="BC14" s="15">
        <f t="shared" ca="1" si="17"/>
        <v>-5.5484593701748963E-6</v>
      </c>
      <c r="BD14" s="15">
        <f t="shared" ca="1" si="18"/>
        <v>-4.7618768519441801E-5</v>
      </c>
      <c r="BE14" s="15">
        <f t="shared" ca="1" si="19"/>
        <v>-6.8246065680455104E-5</v>
      </c>
    </row>
    <row r="15" spans="1:57" x14ac:dyDescent="0.25">
      <c r="A15" t="s">
        <v>64</v>
      </c>
      <c r="B15" t="str" cm="1">
        <f t="array" aca="1" ref="B15" ca="1">LEFT(INDIRECT(ADDRESS(B$1,B$2,1,1,$A15)),FIND("-",INDIRECT(ADDRESS(B$1,B$2,1,1,$A15)))-1)</f>
        <v>P509</v>
      </c>
      <c r="C15" t="str" cm="1">
        <f t="array" aca="1" ref="C15" ca="1">RIGHT(INDIRECT(ADDRESS(B$1,B$2,1,1,$A15)),LEN(INDIRECT(ADDRESS(B$1,B$2,1,1,$A15)))-FIND("-",INDIRECT(ADDRESS(B$1,B$2,1,1,$A15))))</f>
        <v>east</v>
      </c>
      <c r="D15" s="10" cm="1">
        <f t="array" aca="1" ref="D15" ca="1">DATE(MID(INDIRECT(ADDRESS(D$1,D$2,1,1,$A15)),1,4),MID(INDIRECT(ADDRESS(D$1,D$2,1,1,$A15)),5,2),MID(INDIRECT(ADDRESS(D$1,D$2,1,1,$A15)),7,2))+TIME(MID(INDIRECT(ADDRESS(D$1,D$2,1,1,$A15)),10,2),MID(INDIRECT(ADDRESS(D$1,D$2,1,1,$A15)),12,2),0)</f>
        <v>44217.604166666664</v>
      </c>
      <c r="E15" cm="1">
        <f t="array" aca="1" ref="E15" ca="1">INDIRECT(ADDRESS(E$1,E$2,1,1,$A15))</f>
        <v>0</v>
      </c>
      <c r="F15" s="11" cm="1">
        <f t="array" aca="1" ref="F15" ca="1">VALUE(SUBSTITUTE(INDIRECT(ADDRESS(F$1,F$2,1,1,$A15)),"┬░C",""))</f>
        <v>19.8</v>
      </c>
      <c r="G15" s="12" cm="1">
        <f t="array" aca="1" ref="G15" ca="1">INDIRECT(ADDRESS(G$1,G$2,1,1,$A15))</f>
        <v>25.398</v>
      </c>
      <c r="H15" cm="1">
        <f t="array" aca="1" ref="H15" ca="1">INDIRECT(ADDRESS(H$1,H$2,1,1,$A15))</f>
        <v>25.401800000000001</v>
      </c>
      <c r="I15" cm="1">
        <f t="array" aca="1" ref="I15" ca="1">INDIRECT(ADDRESS(I$1,I$2,1,1,$A15))</f>
        <v>25.4009</v>
      </c>
      <c r="J15" cm="1">
        <f t="array" aca="1" ref="J15" ca="1">INDIRECT(ADDRESS(J$1,J$2,1,1,$A15))</f>
        <v>25.4025</v>
      </c>
      <c r="K15" s="13" cm="1">
        <f t="array" aca="1" ref="K15" ca="1">INDIRECT(ADDRESS(K$1,K$2,1,1,$A15))</f>
        <v>25.400600000000001</v>
      </c>
      <c r="L15" s="14" cm="1">
        <f t="array" aca="1" ref="L15" ca="1">SQRT(SUMSQ(Y15:AA15-V15:X15))</f>
        <v>72.879307305915034</v>
      </c>
      <c r="M15" s="15" cm="1">
        <f t="array" aca="1" ref="M15" ca="1">SQRT(SUMSQ(AB15:AD15-V15:X15))</f>
        <v>73.712837309996416</v>
      </c>
      <c r="N15" s="15" cm="1">
        <f t="array" aca="1" ref="N15" ca="1">SQRT(SUMSQ(AE15:AG15-V15:X15))</f>
        <v>72.339716919683895</v>
      </c>
      <c r="O15" s="15" cm="1">
        <f t="array" aca="1" ref="O15" ca="1">SQRT(SUMSQ(AH15:AJ15-V15:X15))</f>
        <v>71.962522109011715</v>
      </c>
      <c r="P15" s="15" cm="1">
        <f t="array" aca="1" ref="P15" ca="1">SQRT(SUMSQ(AB15:AD15-Y15:AA15))</f>
        <v>125.93170102916899</v>
      </c>
      <c r="Q15" s="15" cm="1">
        <f t="array" aca="1" ref="Q15" ca="1">SQRT(SUMSQ(AE15:AG15-Y15:AA15))</f>
        <v>145.21608002645576</v>
      </c>
      <c r="R15" s="15" cm="1">
        <f t="array" aca="1" ref="R15" ca="1">SQRT(SUMSQ(AH15:AJ15-Y15:AA15))</f>
        <v>74.990520484258539</v>
      </c>
      <c r="S15" s="15" cm="1">
        <f t="array" aca="1" ref="S15" ca="1">SQRT(SUMSQ(AE15:AG15-AB15:AD15))</f>
        <v>73.984989670135121</v>
      </c>
      <c r="T15" s="15" cm="1">
        <f t="array" aca="1" ref="T15" ca="1">SQRT(SUMSQ(AH15:AJ15-AB15:AD15))</f>
        <v>145.67191601877144</v>
      </c>
      <c r="U15" s="16" cm="1">
        <f t="array" aca="1" ref="U15" ca="1">SQRT(SUMSQ(AH15:AJ15-AE15:AG15))</f>
        <v>123.92307385120012</v>
      </c>
      <c r="V15" cm="1">
        <f t="array" aca="1" ref="V15" ca="1">INDIRECT(ADDRESS(V$1,V$2,1,1,$A15))</f>
        <v>0</v>
      </c>
      <c r="W15" cm="1">
        <f t="array" aca="1" ref="W15" ca="1">INDIRECT(ADDRESS(W$1,W$2,1,1,$A15))</f>
        <v>0</v>
      </c>
      <c r="X15" cm="1">
        <f t="array" aca="1" ref="X15" ca="1">INDIRECT(ADDRESS(X$1,X$2,1,1,$A15))</f>
        <v>0</v>
      </c>
      <c r="Y15" cm="1">
        <f t="array" aca="1" ref="Y15" ca="1">INDIRECT(ADDRESS(Y$1,Y$2,1,1,$A15))</f>
        <v>62.480699999999999</v>
      </c>
      <c r="Z15" cm="1">
        <f t="array" aca="1" ref="Z15" ca="1">INDIRECT(ADDRESS(Z$1,Z$2,1,1,$A15))</f>
        <v>37.517299999999999</v>
      </c>
      <c r="AA15" cm="1">
        <f t="array" aca="1" ref="AA15" ca="1">INDIRECT(ADDRESS(AA$1,AA$2,1,1,$A15))</f>
        <v>8.8099999999999998E-2</v>
      </c>
      <c r="AB15" cm="1">
        <f t="array" aca="1" ref="AB15" ca="1">INDIRECT(ADDRESS(AB$1,AB$2,1,1,$A15))</f>
        <v>-63.451000000000001</v>
      </c>
      <c r="AC15" cm="1">
        <f t="array" aca="1" ref="AC15" ca="1">INDIRECT(ADDRESS(AC$1,AC$2,1,1,$A15))</f>
        <v>37.517299999999999</v>
      </c>
      <c r="AD15" cm="1">
        <f t="array" aca="1" ref="AD15" ca="1">INDIRECT(ADDRESS(AD$1,AD$2,1,1,$A15))</f>
        <v>7.1999999999999995E-2</v>
      </c>
      <c r="AE15" cm="1">
        <f t="array" aca="1" ref="AE15" ca="1">INDIRECT(ADDRESS(AE$1,AE$2,1,1,$A15))</f>
        <v>-62.4788</v>
      </c>
      <c r="AF15" cm="1">
        <f t="array" aca="1" ref="AF15" ca="1">INDIRECT(ADDRESS(AF$1,AF$2,1,1,$A15))</f>
        <v>-36.461300000000001</v>
      </c>
      <c r="AG15" cm="1">
        <f t="array" aca="1" ref="AG15" ca="1">INDIRECT(ADDRESS(AG$1,AG$2,1,1,$A15))</f>
        <v>8.8300000000000003E-2</v>
      </c>
      <c r="AH15" cm="1">
        <f t="array" aca="1" ref="AH15" ca="1">INDIRECT(ADDRESS(AH$1,AH$2,1,1,$A15))</f>
        <v>61.440199999999997</v>
      </c>
      <c r="AI15" cm="1">
        <f t="array" aca="1" ref="AI15" ca="1">INDIRECT(ADDRESS(AI$1,AI$2,1,1,$A15))</f>
        <v>-37.466000000000001</v>
      </c>
      <c r="AJ15" cm="1">
        <f t="array" aca="1" ref="AJ15" ca="1">INDIRECT(ADDRESS(AJ$1,AJ$2,1,1,$A15))</f>
        <v>7.2499999999999995E-2</v>
      </c>
      <c r="AK15" s="15" cm="1">
        <f t="array" aca="1" ref="AK15" ca="1">INDIRECT(ADDRESS(AK$1,AK$2,1,1,$A15))</f>
        <v>72.879300000000001</v>
      </c>
      <c r="AL15" s="15" cm="1">
        <f t="array" aca="1" ref="AL15" ca="1">INDIRECT(ADDRESS(AL$1,AL$2,1,1,$A15))</f>
        <v>73.712800000000001</v>
      </c>
      <c r="AM15" s="15" cm="1">
        <f t="array" aca="1" ref="AM15" ca="1">INDIRECT(ADDRESS(AM$1,AM$2,1,1,$A15))</f>
        <v>72.339799999999997</v>
      </c>
      <c r="AN15" s="15" cm="1">
        <f t="array" aca="1" ref="AN15" ca="1">INDIRECT(ADDRESS(AN$1,AN$2,1,1,$A15))</f>
        <v>71.962500000000006</v>
      </c>
      <c r="AO15" s="15" cm="1">
        <f t="array" aca="1" ref="AO15" ca="1">INDIRECT(ADDRESS(AO$1,AO$2,1,1,$A15))</f>
        <v>125.93170000000001</v>
      </c>
      <c r="AP15" s="15" cm="1">
        <f t="array" aca="1" ref="AP15" ca="1">INDIRECT(ADDRESS(AP$1,AP$2,1,1,$A15))</f>
        <v>145.21610000000001</v>
      </c>
      <c r="AQ15" s="15" cm="1">
        <f t="array" aca="1" ref="AQ15" ca="1">INDIRECT(ADDRESS(AQ$1,AQ$2,1,1,$A15))</f>
        <v>74.990499999999997</v>
      </c>
      <c r="AR15" s="15" cm="1">
        <f t="array" aca="1" ref="AR15" ca="1">INDIRECT(ADDRESS(AR$1,AR$2,1,1,$A15))</f>
        <v>73.984999999999999</v>
      </c>
      <c r="AS15" s="15" cm="1">
        <f t="array" aca="1" ref="AS15" ca="1">INDIRECT(ADDRESS(AS$1,AS$2,1,1,$A15))</f>
        <v>145.67189999999999</v>
      </c>
      <c r="AT15" s="15" cm="1">
        <f t="array" aca="1" ref="AT15" ca="1">INDIRECT(ADDRESS(AT$1,AT$2,1,1,$A15))</f>
        <v>123.92310000000001</v>
      </c>
      <c r="AV15" s="15">
        <f t="shared" ca="1" si="10"/>
        <v>-7.3059150338394829E-6</v>
      </c>
      <c r="AW15" s="15">
        <f t="shared" ca="1" si="11"/>
        <v>-3.7309996415046953E-5</v>
      </c>
      <c r="AX15" s="15">
        <f t="shared" ca="1" si="12"/>
        <v>8.3080316102268625E-5</v>
      </c>
      <c r="AY15" s="15">
        <f t="shared" ca="1" si="13"/>
        <v>-2.2109011709403603E-5</v>
      </c>
      <c r="AZ15" s="15">
        <f t="shared" ca="1" si="14"/>
        <v>-1.0291689847008456E-6</v>
      </c>
      <c r="BA15" s="15">
        <f t="shared" ca="1" si="15"/>
        <v>1.9973544254980879E-5</v>
      </c>
      <c r="BB15" s="15">
        <f t="shared" ca="1" si="16"/>
        <v>-2.0484258541841882E-5</v>
      </c>
      <c r="BC15" s="15">
        <f t="shared" ca="1" si="17"/>
        <v>1.032986487814469E-5</v>
      </c>
      <c r="BD15" s="15">
        <f t="shared" ca="1" si="18"/>
        <v>-1.6018771447079416E-5</v>
      </c>
      <c r="BE15" s="15">
        <f t="shared" ca="1" si="19"/>
        <v>2.6148799889824659E-5</v>
      </c>
    </row>
    <row r="16" spans="1:57" x14ac:dyDescent="0.25">
      <c r="A16" t="s">
        <v>65</v>
      </c>
      <c r="B16" t="str" cm="1">
        <f t="array" aca="1" ref="B16" ca="1">LEFT(INDIRECT(ADDRESS(B$1,B$2,1,1,$A16)),FIND("-",INDIRECT(ADDRESS(B$1,B$2,1,1,$A16)))-1)</f>
        <v>P509</v>
      </c>
      <c r="C16" t="str" cm="1">
        <f t="array" aca="1" ref="C16" ca="1">RIGHT(INDIRECT(ADDRESS(B$1,B$2,1,1,$A16)),LEN(INDIRECT(ADDRESS(B$1,B$2,1,1,$A16)))-FIND("-",INDIRECT(ADDRESS(B$1,B$2,1,1,$A16))))</f>
        <v>east</v>
      </c>
      <c r="D16" s="10" cm="1">
        <f t="array" aca="1" ref="D16" ca="1">DATE(MID(INDIRECT(ADDRESS(D$1,D$2,1,1,$A16)),1,4),MID(INDIRECT(ADDRESS(D$1,D$2,1,1,$A16)),5,2),MID(INDIRECT(ADDRESS(D$1,D$2,1,1,$A16)),7,2))+TIME(MID(INDIRECT(ADDRESS(D$1,D$2,1,1,$A16)),10,2),MID(INDIRECT(ADDRESS(D$1,D$2,1,1,$A16)),12,2),0)</f>
        <v>44217.606249999997</v>
      </c>
      <c r="E16" cm="1">
        <f t="array" aca="1" ref="E16" ca="1">INDIRECT(ADDRESS(E$1,E$2,1,1,$A16))</f>
        <v>0</v>
      </c>
      <c r="F16" s="11" cm="1">
        <f t="array" aca="1" ref="F16" ca="1">VALUE(SUBSTITUTE(INDIRECT(ADDRESS(F$1,F$2,1,1,$A16)),"┬░C",""))</f>
        <v>19.899999999999999</v>
      </c>
      <c r="G16" s="12" cm="1">
        <f t="array" aca="1" ref="G16" ca="1">INDIRECT(ADDRESS(G$1,G$2,1,1,$A16))</f>
        <v>25.398599999999998</v>
      </c>
      <c r="H16" cm="1">
        <f t="array" aca="1" ref="H16" ca="1">INDIRECT(ADDRESS(H$1,H$2,1,1,$A16))</f>
        <v>25.401499999999999</v>
      </c>
      <c r="I16" cm="1">
        <f t="array" aca="1" ref="I16" ca="1">INDIRECT(ADDRESS(I$1,I$2,1,1,$A16))</f>
        <v>25.400300000000001</v>
      </c>
      <c r="J16" cm="1">
        <f t="array" aca="1" ref="J16" ca="1">INDIRECT(ADDRESS(J$1,J$2,1,1,$A16))</f>
        <v>25.403199999999998</v>
      </c>
      <c r="K16" s="13" cm="1">
        <f t="array" aca="1" ref="K16" ca="1">INDIRECT(ADDRESS(K$1,K$2,1,1,$A16))</f>
        <v>25.400700000000001</v>
      </c>
      <c r="L16" s="14" cm="1">
        <f t="array" aca="1" ref="L16" ca="1">SQRT(SUMSQ(Y16:AA16-V16:X16))</f>
        <v>72.877181371743518</v>
      </c>
      <c r="M16" s="15" cm="1">
        <f t="array" aca="1" ref="M16" ca="1">SQRT(SUMSQ(AB16:AD16-V16:X16))</f>
        <v>73.714070402060955</v>
      </c>
      <c r="N16" s="15" cm="1">
        <f t="array" aca="1" ref="N16" ca="1">SQRT(SUMSQ(AE16:AG16-V16:X16))</f>
        <v>72.340358460405767</v>
      </c>
      <c r="O16" s="15" cm="1">
        <f t="array" aca="1" ref="O16" ca="1">SQRT(SUMSQ(AH16:AJ16-V16:X16))</f>
        <v>71.962214824031093</v>
      </c>
      <c r="P16" s="15" cm="1">
        <f t="array" aca="1" ref="P16" ca="1">SQRT(SUMSQ(AB16:AD16-Y16:AA16))</f>
        <v>125.93220097866153</v>
      </c>
      <c r="Q16" s="15" cm="1">
        <f t="array" aca="1" ref="Q16" ca="1">SQRT(SUMSQ(AE16:AG16-Y16:AA16))</f>
        <v>145.21460132855097</v>
      </c>
      <c r="R16" s="15" cm="1">
        <f t="array" aca="1" ref="R16" ca="1">SQRT(SUMSQ(AH16:AJ16-Y16:AA16))</f>
        <v>74.989101144833043</v>
      </c>
      <c r="S16" s="15" cm="1">
        <f t="array" aca="1" ref="S16" ca="1">SQRT(SUMSQ(AE16:AG16-AB16:AD16))</f>
        <v>73.984817225292915</v>
      </c>
      <c r="T16" s="15" cm="1">
        <f t="array" aca="1" ref="T16" ca="1">SQRT(SUMSQ(AH16:AJ16-AB16:AD16))</f>
        <v>145.67282435437298</v>
      </c>
      <c r="U16" s="16" cm="1">
        <f t="array" aca="1" ref="U16" ca="1">SQRT(SUMSQ(AH16:AJ16-AE16:AG16))</f>
        <v>123.92286409674367</v>
      </c>
      <c r="V16" cm="1">
        <f t="array" aca="1" ref="V16" ca="1">INDIRECT(ADDRESS(V$1,V$2,1,1,$A16))</f>
        <v>0</v>
      </c>
      <c r="W16" cm="1">
        <f t="array" aca="1" ref="W16" ca="1">INDIRECT(ADDRESS(W$1,W$2,1,1,$A16))</f>
        <v>0</v>
      </c>
      <c r="X16" cm="1">
        <f t="array" aca="1" ref="X16" ca="1">INDIRECT(ADDRESS(X$1,X$2,1,1,$A16))</f>
        <v>0</v>
      </c>
      <c r="Y16" cm="1">
        <f t="array" aca="1" ref="Y16" ca="1">INDIRECT(ADDRESS(Y$1,Y$2,1,1,$A16))</f>
        <v>62.478999999999999</v>
      </c>
      <c r="Z16" cm="1">
        <f t="array" aca="1" ref="Z16" ca="1">INDIRECT(ADDRESS(Z$1,Z$2,1,1,$A16))</f>
        <v>37.515999999999998</v>
      </c>
      <c r="AA16" cm="1">
        <f t="array" aca="1" ref="AA16" ca="1">INDIRECT(ADDRESS(AA$1,AA$2,1,1,$A16))</f>
        <v>8.8700000000000001E-2</v>
      </c>
      <c r="AB16" cm="1">
        <f t="array" aca="1" ref="AB16" ca="1">INDIRECT(ADDRESS(AB$1,AB$2,1,1,$A16))</f>
        <v>-63.453200000000002</v>
      </c>
      <c r="AC16" cm="1">
        <f t="array" aca="1" ref="AC16" ca="1">INDIRECT(ADDRESS(AC$1,AC$2,1,1,$A16))</f>
        <v>37.515999999999998</v>
      </c>
      <c r="AD16" cm="1">
        <f t="array" aca="1" ref="AD16" ca="1">INDIRECT(ADDRESS(AD$1,AD$2,1,1,$A16))</f>
        <v>7.2999999999999995E-2</v>
      </c>
      <c r="AE16" cm="1">
        <f t="array" aca="1" ref="AE16" ca="1">INDIRECT(ADDRESS(AE$1,AE$2,1,1,$A16))</f>
        <v>-62.478900000000003</v>
      </c>
      <c r="AF16" cm="1">
        <f t="array" aca="1" ref="AF16" ca="1">INDIRECT(ADDRESS(AF$1,AF$2,1,1,$A16))</f>
        <v>-36.462400000000002</v>
      </c>
      <c r="AG16" cm="1">
        <f t="array" aca="1" ref="AG16" ca="1">INDIRECT(ADDRESS(AG$1,AG$2,1,1,$A16))</f>
        <v>8.8900000000000007E-2</v>
      </c>
      <c r="AH16" cm="1">
        <f t="array" aca="1" ref="AH16" ca="1">INDIRECT(ADDRESS(AH$1,AH$2,1,1,$A16))</f>
        <v>61.439900000000002</v>
      </c>
      <c r="AI16" cm="1">
        <f t="array" aca="1" ref="AI16" ca="1">INDIRECT(ADDRESS(AI$1,AI$2,1,1,$A16))</f>
        <v>-37.465899999999998</v>
      </c>
      <c r="AJ16" cm="1">
        <f t="array" aca="1" ref="AJ16" ca="1">INDIRECT(ADDRESS(AJ$1,AJ$2,1,1,$A16))</f>
        <v>7.3400000000000007E-2</v>
      </c>
      <c r="AK16" s="15" cm="1">
        <f t="array" aca="1" ref="AK16" ca="1">INDIRECT(ADDRESS(AK$1,AK$2,1,1,$A16))</f>
        <v>72.877200000000002</v>
      </c>
      <c r="AL16" s="15" cm="1">
        <f t="array" aca="1" ref="AL16" ca="1">INDIRECT(ADDRESS(AL$1,AL$2,1,1,$A16))</f>
        <v>73.714100000000002</v>
      </c>
      <c r="AM16" s="15" cm="1">
        <f t="array" aca="1" ref="AM16" ca="1">INDIRECT(ADDRESS(AM$1,AM$2,1,1,$A16))</f>
        <v>72.340299999999999</v>
      </c>
      <c r="AN16" s="15" cm="1">
        <f t="array" aca="1" ref="AN16" ca="1">INDIRECT(ADDRESS(AN$1,AN$2,1,1,$A16))</f>
        <v>71.962199999999996</v>
      </c>
      <c r="AO16" s="15" cm="1">
        <f t="array" aca="1" ref="AO16" ca="1">INDIRECT(ADDRESS(AO$1,AO$2,1,1,$A16))</f>
        <v>125.93210000000001</v>
      </c>
      <c r="AP16" s="15" cm="1">
        <f t="array" aca="1" ref="AP16" ca="1">INDIRECT(ADDRESS(AP$1,AP$2,1,1,$A16))</f>
        <v>145.21459999999999</v>
      </c>
      <c r="AQ16" s="15" cm="1">
        <f t="array" aca="1" ref="AQ16" ca="1">INDIRECT(ADDRESS(AQ$1,AQ$2,1,1,$A16))</f>
        <v>74.989099999999993</v>
      </c>
      <c r="AR16" s="15" cm="1">
        <f t="array" aca="1" ref="AR16" ca="1">INDIRECT(ADDRESS(AR$1,AR$2,1,1,$A16))</f>
        <v>73.984899999999996</v>
      </c>
      <c r="AS16" s="15" cm="1">
        <f t="array" aca="1" ref="AS16" ca="1">INDIRECT(ADDRESS(AS$1,AS$2,1,1,$A16))</f>
        <v>145.6728</v>
      </c>
      <c r="AT16" s="15" cm="1">
        <f t="array" aca="1" ref="AT16" ca="1">INDIRECT(ADDRESS(AT$1,AT$2,1,1,$A16))</f>
        <v>123.9228</v>
      </c>
      <c r="AV16" s="15">
        <f t="shared" ca="1" si="10"/>
        <v>1.8628256484021222E-5</v>
      </c>
      <c r="AW16" s="15">
        <f t="shared" ca="1" si="11"/>
        <v>2.9597939047221189E-5</v>
      </c>
      <c r="AX16" s="15">
        <f t="shared" ca="1" si="12"/>
        <v>-5.8460405767846169E-5</v>
      </c>
      <c r="AY16" s="15">
        <f t="shared" ca="1" si="13"/>
        <v>-1.4824031097759871E-5</v>
      </c>
      <c r="AZ16" s="15">
        <f t="shared" ca="1" si="14"/>
        <v>-1.0097866152136703E-4</v>
      </c>
      <c r="BA16" s="15">
        <f t="shared" ca="1" si="15"/>
        <v>-1.3285509794513928E-6</v>
      </c>
      <c r="BB16" s="15">
        <f t="shared" ca="1" si="16"/>
        <v>-1.1448330496932613E-6</v>
      </c>
      <c r="BC16" s="15">
        <f t="shared" ca="1" si="17"/>
        <v>8.2774707081512133E-5</v>
      </c>
      <c r="BD16" s="15">
        <f t="shared" ca="1" si="18"/>
        <v>-2.4354372982315908E-5</v>
      </c>
      <c r="BE16" s="15">
        <f t="shared" ca="1" si="19"/>
        <v>-6.4096743670916112E-5</v>
      </c>
    </row>
    <row r="17" spans="1:57" x14ac:dyDescent="0.25">
      <c r="A17" t="s">
        <v>66</v>
      </c>
      <c r="B17" t="str" cm="1">
        <f t="array" aca="1" ref="B17" ca="1">LEFT(INDIRECT(ADDRESS(B$1,B$2,1,1,$A17)),FIND("-",INDIRECT(ADDRESS(B$1,B$2,1,1,$A17)))-1)</f>
        <v>P509</v>
      </c>
      <c r="C17" t="str" cm="1">
        <f t="array" aca="1" ref="C17" ca="1">RIGHT(INDIRECT(ADDRESS(B$1,B$2,1,1,$A17)),LEN(INDIRECT(ADDRESS(B$1,B$2,1,1,$A17)))-FIND("-",INDIRECT(ADDRESS(B$1,B$2,1,1,$A17))))</f>
        <v>east</v>
      </c>
      <c r="D17" s="10" cm="1">
        <f t="array" aca="1" ref="D17" ca="1">DATE(MID(INDIRECT(ADDRESS(D$1,D$2,1,1,$A17)),1,4),MID(INDIRECT(ADDRESS(D$1,D$2,1,1,$A17)),5,2),MID(INDIRECT(ADDRESS(D$1,D$2,1,1,$A17)),7,2))+TIME(MID(INDIRECT(ADDRESS(D$1,D$2,1,1,$A17)),10,2),MID(INDIRECT(ADDRESS(D$1,D$2,1,1,$A17)),12,2),0)</f>
        <v>44217.609027777777</v>
      </c>
      <c r="E17" cm="1">
        <f t="array" aca="1" ref="E17" ca="1">INDIRECT(ADDRESS(E$1,E$2,1,1,$A17))</f>
        <v>0</v>
      </c>
      <c r="F17" s="11" cm="1">
        <f t="array" aca="1" ref="F17" ca="1">VALUE(SUBSTITUTE(INDIRECT(ADDRESS(F$1,F$2,1,1,$A17)),"┬░C",""))</f>
        <v>19.899999999999999</v>
      </c>
      <c r="G17" s="12" cm="1">
        <f t="array" aca="1" ref="G17" ca="1">INDIRECT(ADDRESS(G$1,G$2,1,1,$A17))</f>
        <v>25.398299999999999</v>
      </c>
      <c r="H17" cm="1">
        <f t="array" aca="1" ref="H17" ca="1">INDIRECT(ADDRESS(H$1,H$2,1,1,$A17))</f>
        <v>25.401700000000002</v>
      </c>
      <c r="I17" cm="1">
        <f t="array" aca="1" ref="I17" ca="1">INDIRECT(ADDRESS(I$1,I$2,1,1,$A17))</f>
        <v>25.401599999999998</v>
      </c>
      <c r="J17" cm="1">
        <f t="array" aca="1" ref="J17" ca="1">INDIRECT(ADDRESS(J$1,J$2,1,1,$A17))</f>
        <v>25.4039</v>
      </c>
      <c r="K17" s="13" cm="1">
        <f t="array" aca="1" ref="K17" ca="1">INDIRECT(ADDRESS(K$1,K$2,1,1,$A17))</f>
        <v>25.4009</v>
      </c>
      <c r="L17" s="14" cm="1">
        <f t="array" aca="1" ref="L17" ca="1">SQRT(SUMSQ(Y17:AA17-V17:X17))</f>
        <v>72.878759391540143</v>
      </c>
      <c r="M17" s="15" cm="1">
        <f t="array" aca="1" ref="M17" ca="1">SQRT(SUMSQ(AB17:AD17-V17:X17))</f>
        <v>73.713577228079217</v>
      </c>
      <c r="N17" s="15" cm="1">
        <f t="array" aca="1" ref="N17" ca="1">SQRT(SUMSQ(AE17:AG17-V17:X17))</f>
        <v>72.339710565497839</v>
      </c>
      <c r="O17" s="15" cm="1">
        <f t="array" aca="1" ref="O17" ca="1">SQRT(SUMSQ(AH17:AJ17-V17:X17))</f>
        <v>71.962072694649365</v>
      </c>
      <c r="P17" s="15" cm="1">
        <f t="array" aca="1" ref="P17" ca="1">SQRT(SUMSQ(AB17:AD17-Y17:AA17))</f>
        <v>125.93180105489637</v>
      </c>
      <c r="Q17" s="15" cm="1">
        <f t="array" aca="1" ref="Q17" ca="1">SQRT(SUMSQ(AE17:AG17-Y17:AA17))</f>
        <v>145.21552518560128</v>
      </c>
      <c r="R17" s="15" cm="1">
        <f t="array" aca="1" ref="R17" ca="1">SQRT(SUMSQ(AH17:AJ17-Y17:AA17))</f>
        <v>74.989912261183491</v>
      </c>
      <c r="S17" s="15" cm="1">
        <f t="array" aca="1" ref="S17" ca="1">SQRT(SUMSQ(AE17:AG17-AB17:AD17))</f>
        <v>73.9856041252621</v>
      </c>
      <c r="T17" s="15" cm="1">
        <f t="array" aca="1" ref="T17" ca="1">SQRT(SUMSQ(AH17:AJ17-AB17:AD17))</f>
        <v>145.67220731886366</v>
      </c>
      <c r="U17" s="16" cm="1">
        <f t="array" aca="1" ref="U17" ca="1">SQRT(SUMSQ(AH17:AJ17-AE17:AG17))</f>
        <v>123.92266416685044</v>
      </c>
      <c r="V17" cm="1">
        <f t="array" aca="1" ref="V17" ca="1">INDIRECT(ADDRESS(V$1,V$2,1,1,$A17))</f>
        <v>0</v>
      </c>
      <c r="W17" cm="1">
        <f t="array" aca="1" ref="W17" ca="1">INDIRECT(ADDRESS(W$1,W$2,1,1,$A17))</f>
        <v>0</v>
      </c>
      <c r="X17" cm="1">
        <f t="array" aca="1" ref="X17" ca="1">INDIRECT(ADDRESS(X$1,X$2,1,1,$A17))</f>
        <v>0</v>
      </c>
      <c r="Y17" cm="1">
        <f t="array" aca="1" ref="Y17" ca="1">INDIRECT(ADDRESS(Y$1,Y$2,1,1,$A17))</f>
        <v>62.48</v>
      </c>
      <c r="Z17" cm="1">
        <f t="array" aca="1" ref="Z17" ca="1">INDIRECT(ADDRESS(Z$1,Z$2,1,1,$A17))</f>
        <v>37.517400000000002</v>
      </c>
      <c r="AA17" cm="1">
        <f t="array" aca="1" ref="AA17" ca="1">INDIRECT(ADDRESS(AA$1,AA$2,1,1,$A17))</f>
        <v>8.8700000000000001E-2</v>
      </c>
      <c r="AB17" cm="1">
        <f t="array" aca="1" ref="AB17" ca="1">INDIRECT(ADDRESS(AB$1,AB$2,1,1,$A17))</f>
        <v>-63.451799999999999</v>
      </c>
      <c r="AC17" cm="1">
        <f t="array" aca="1" ref="AC17" ca="1">INDIRECT(ADDRESS(AC$1,AC$2,1,1,$A17))</f>
        <v>37.517400000000002</v>
      </c>
      <c r="AD17" cm="1">
        <f t="array" aca="1" ref="AD17" ca="1">INDIRECT(ADDRESS(AD$1,AD$2,1,1,$A17))</f>
        <v>7.2400000000000006E-2</v>
      </c>
      <c r="AE17" cm="1">
        <f t="array" aca="1" ref="AE17" ca="1">INDIRECT(ADDRESS(AE$1,AE$2,1,1,$A17))</f>
        <v>-62.478499999999997</v>
      </c>
      <c r="AF17" cm="1">
        <f t="array" aca="1" ref="AF17" ca="1">INDIRECT(ADDRESS(AF$1,AF$2,1,1,$A17))</f>
        <v>-36.461799999999997</v>
      </c>
      <c r="AG17" cm="1">
        <f t="array" aca="1" ref="AG17" ca="1">INDIRECT(ADDRESS(AG$1,AG$2,1,1,$A17))</f>
        <v>8.8900000000000007E-2</v>
      </c>
      <c r="AH17" cm="1">
        <f t="array" aca="1" ref="AH17" ca="1">INDIRECT(ADDRESS(AH$1,AH$2,1,1,$A17))</f>
        <v>61.440100000000001</v>
      </c>
      <c r="AI17" cm="1">
        <f t="array" aca="1" ref="AI17" ca="1">INDIRECT(ADDRESS(AI$1,AI$2,1,1,$A17))</f>
        <v>-37.465299999999999</v>
      </c>
      <c r="AJ17" cm="1">
        <f t="array" aca="1" ref="AJ17" ca="1">INDIRECT(ADDRESS(AJ$1,AJ$2,1,1,$A17))</f>
        <v>7.2900000000000006E-2</v>
      </c>
      <c r="AK17" s="15" cm="1">
        <f t="array" aca="1" ref="AK17" ca="1">INDIRECT(ADDRESS(AK$1,AK$2,1,1,$A17))</f>
        <v>72.878799999999998</v>
      </c>
      <c r="AL17" s="15" cm="1">
        <f t="array" aca="1" ref="AL17" ca="1">INDIRECT(ADDRESS(AL$1,AL$2,1,1,$A17))</f>
        <v>73.7136</v>
      </c>
      <c r="AM17" s="15" cm="1">
        <f t="array" aca="1" ref="AM17" ca="1">INDIRECT(ADDRESS(AM$1,AM$2,1,1,$A17))</f>
        <v>72.339699999999993</v>
      </c>
      <c r="AN17" s="15" cm="1">
        <f t="array" aca="1" ref="AN17" ca="1">INDIRECT(ADDRESS(AN$1,AN$2,1,1,$A17))</f>
        <v>71.962000000000003</v>
      </c>
      <c r="AO17" s="15" cm="1">
        <f t="array" aca="1" ref="AO17" ca="1">INDIRECT(ADDRESS(AO$1,AO$2,1,1,$A17))</f>
        <v>125.9318</v>
      </c>
      <c r="AP17" s="15" cm="1">
        <f t="array" aca="1" ref="AP17" ca="1">INDIRECT(ADDRESS(AP$1,AP$2,1,1,$A17))</f>
        <v>145.21559999999999</v>
      </c>
      <c r="AQ17" s="15" cm="1">
        <f t="array" aca="1" ref="AQ17" ca="1">INDIRECT(ADDRESS(AQ$1,AQ$2,1,1,$A17))</f>
        <v>74.989900000000006</v>
      </c>
      <c r="AR17" s="15" cm="1">
        <f t="array" aca="1" ref="AR17" ca="1">INDIRECT(ADDRESS(AR$1,AR$2,1,1,$A17))</f>
        <v>73.985600000000005</v>
      </c>
      <c r="AS17" s="15" cm="1">
        <f t="array" aca="1" ref="AS17" ca="1">INDIRECT(ADDRESS(AS$1,AS$2,1,1,$A17))</f>
        <v>145.6722</v>
      </c>
      <c r="AT17" s="15" cm="1">
        <f t="array" aca="1" ref="AT17" ca="1">INDIRECT(ADDRESS(AT$1,AT$2,1,1,$A17))</f>
        <v>123.92270000000001</v>
      </c>
      <c r="AV17" s="15">
        <f t="shared" ca="1" si="10"/>
        <v>4.0608459855207002E-5</v>
      </c>
      <c r="AW17" s="15">
        <f t="shared" ca="1" si="11"/>
        <v>2.2771920782815869E-5</v>
      </c>
      <c r="AX17" s="15">
        <f t="shared" ca="1" si="12"/>
        <v>-1.0565497845504979E-5</v>
      </c>
      <c r="AY17" s="15">
        <f t="shared" ca="1" si="13"/>
        <v>-7.2694649361437769E-5</v>
      </c>
      <c r="AZ17" s="15">
        <f t="shared" ca="1" si="14"/>
        <v>-1.0548963729206662E-6</v>
      </c>
      <c r="BA17" s="15">
        <f t="shared" ca="1" si="15"/>
        <v>7.4814398715261632E-5</v>
      </c>
      <c r="BB17" s="15">
        <f t="shared" ca="1" si="16"/>
        <v>-1.2261183485406946E-5</v>
      </c>
      <c r="BC17" s="15">
        <f t="shared" ca="1" si="17"/>
        <v>-4.1252620945897434E-6</v>
      </c>
      <c r="BD17" s="15">
        <f t="shared" ca="1" si="18"/>
        <v>-7.3188636520171713E-6</v>
      </c>
      <c r="BE17" s="15">
        <f t="shared" ca="1" si="19"/>
        <v>3.583314956756567E-5</v>
      </c>
    </row>
    <row r="18" spans="1:57" x14ac:dyDescent="0.25">
      <c r="A18" t="s">
        <v>67</v>
      </c>
      <c r="B18" t="str" cm="1">
        <f t="array" aca="1" ref="B18" ca="1">LEFT(INDIRECT(ADDRESS(B$1,B$2,1,1,$A18)),FIND("-",INDIRECT(ADDRESS(B$1,B$2,1,1,$A18)))-1)</f>
        <v>P509</v>
      </c>
      <c r="C18" t="str" cm="1">
        <f t="array" aca="1" ref="C18" ca="1">RIGHT(INDIRECT(ADDRESS(B$1,B$2,1,1,$A18)),LEN(INDIRECT(ADDRESS(B$1,B$2,1,1,$A18)))-FIND("-",INDIRECT(ADDRESS(B$1,B$2,1,1,$A18))))</f>
        <v>east</v>
      </c>
      <c r="D18" s="10" cm="1">
        <f t="array" aca="1" ref="D18" ca="1">DATE(MID(INDIRECT(ADDRESS(D$1,D$2,1,1,$A18)),1,4),MID(INDIRECT(ADDRESS(D$1,D$2,1,1,$A18)),5,2),MID(INDIRECT(ADDRESS(D$1,D$2,1,1,$A18)),7,2))+TIME(MID(INDIRECT(ADDRESS(D$1,D$2,1,1,$A18)),10,2),MID(INDIRECT(ADDRESS(D$1,D$2,1,1,$A18)),12,2),0)</f>
        <v>44217.611111111109</v>
      </c>
      <c r="E18" cm="1">
        <f t="array" aca="1" ref="E18" ca="1">INDIRECT(ADDRESS(E$1,E$2,1,1,$A18))</f>
        <v>0</v>
      </c>
      <c r="F18" s="11" cm="1">
        <f t="array" aca="1" ref="F18" ca="1">VALUE(SUBSTITUTE(INDIRECT(ADDRESS(F$1,F$2,1,1,$A18)),"┬░C",""))</f>
        <v>19.899999999999999</v>
      </c>
      <c r="G18" s="12" cm="1">
        <f t="array" aca="1" ref="G18" ca="1">INDIRECT(ADDRESS(G$1,G$2,1,1,$A18))</f>
        <v>25.398499999999999</v>
      </c>
      <c r="H18" cm="1">
        <f t="array" aca="1" ref="H18" ca="1">INDIRECT(ADDRESS(H$1,H$2,1,1,$A18))</f>
        <v>25.4011</v>
      </c>
      <c r="I18" cm="1">
        <f t="array" aca="1" ref="I18" ca="1">INDIRECT(ADDRESS(I$1,I$2,1,1,$A18))</f>
        <v>25.4009</v>
      </c>
      <c r="J18" cm="1">
        <f t="array" aca="1" ref="J18" ca="1">INDIRECT(ADDRESS(J$1,J$2,1,1,$A18))</f>
        <v>25.402899999999999</v>
      </c>
      <c r="K18" s="13" cm="1">
        <f t="array" aca="1" ref="K18" ca="1">INDIRECT(ADDRESS(K$1,K$2,1,1,$A18))</f>
        <v>25.400600000000001</v>
      </c>
      <c r="L18" s="14" cm="1">
        <f t="array" aca="1" ref="L18" ca="1">SQRT(SUMSQ(Y18:AA18-V18:X18))</f>
        <v>72.878828140208185</v>
      </c>
      <c r="M18" s="15" cm="1">
        <f t="array" aca="1" ref="M18" ca="1">SQRT(SUMSQ(AB18:AD18-V18:X18))</f>
        <v>73.713045336765191</v>
      </c>
      <c r="N18" s="15" cm="1">
        <f t="array" aca="1" ref="N18" ca="1">SQRT(SUMSQ(AE18:AG18-V18:X18))</f>
        <v>72.339300496341551</v>
      </c>
      <c r="O18" s="15" cm="1">
        <f t="array" aca="1" ref="O18" ca="1">SQRT(SUMSQ(AH18:AJ18-V18:X18))</f>
        <v>71.962622763348463</v>
      </c>
      <c r="P18" s="15" cm="1">
        <f t="array" aca="1" ref="P18" ca="1">SQRT(SUMSQ(AB18:AD18-Y18:AA18))</f>
        <v>125.93150104199505</v>
      </c>
      <c r="Q18" s="15" cm="1">
        <f t="array" aca="1" ref="Q18" ca="1">SQRT(SUMSQ(AE18:AG18-Y18:AA18))</f>
        <v>145.21518441364873</v>
      </c>
      <c r="R18" s="15" cm="1">
        <f t="array" aca="1" ref="R18" ca="1">SQRT(SUMSQ(AH18:AJ18-Y18:AA18))</f>
        <v>74.990109447779844</v>
      </c>
      <c r="S18" s="15" cm="1">
        <f t="array" aca="1" ref="S18" ca="1">SQRT(SUMSQ(AE18:AG18-AB18:AD18))</f>
        <v>73.985101515507836</v>
      </c>
      <c r="T18" s="15" cm="1">
        <f t="array" aca="1" ref="T18" ca="1">SQRT(SUMSQ(AH18:AJ18-AB18:AD18))</f>
        <v>145.67222453130864</v>
      </c>
      <c r="U18" s="16" cm="1">
        <f t="array" aca="1" ref="U18" ca="1">SQRT(SUMSQ(AH18:AJ18-AE18:AG18))</f>
        <v>123.92276982112689</v>
      </c>
      <c r="V18" cm="1">
        <f t="array" aca="1" ref="V18" ca="1">INDIRECT(ADDRESS(V$1,V$2,1,1,$A18))</f>
        <v>0</v>
      </c>
      <c r="W18" cm="1">
        <f t="array" aca="1" ref="W18" ca="1">INDIRECT(ADDRESS(W$1,W$2,1,1,$A18))</f>
        <v>0</v>
      </c>
      <c r="X18" cm="1">
        <f t="array" aca="1" ref="X18" ca="1">INDIRECT(ADDRESS(X$1,X$2,1,1,$A18))</f>
        <v>0</v>
      </c>
      <c r="Y18" cm="1">
        <f t="array" aca="1" ref="Y18" ca="1">INDIRECT(ADDRESS(Y$1,Y$2,1,1,$A18))</f>
        <v>62.480200000000004</v>
      </c>
      <c r="Z18" cm="1">
        <f t="array" aca="1" ref="Z18" ca="1">INDIRECT(ADDRESS(Z$1,Z$2,1,1,$A18))</f>
        <v>37.517200000000003</v>
      </c>
      <c r="AA18" cm="1">
        <f t="array" aca="1" ref="AA18" ca="1">INDIRECT(ADDRESS(AA$1,AA$2,1,1,$A18))</f>
        <v>8.8900000000000007E-2</v>
      </c>
      <c r="AB18" cm="1">
        <f t="array" aca="1" ref="AB18" ca="1">INDIRECT(ADDRESS(AB$1,AB$2,1,1,$A18))</f>
        <v>-63.451300000000003</v>
      </c>
      <c r="AC18" cm="1">
        <f t="array" aca="1" ref="AC18" ca="1">INDIRECT(ADDRESS(AC$1,AC$2,1,1,$A18))</f>
        <v>37.517200000000003</v>
      </c>
      <c r="AD18" cm="1">
        <f t="array" aca="1" ref="AD18" ca="1">INDIRECT(ADDRESS(AD$1,AD$2,1,1,$A18))</f>
        <v>7.2700000000000001E-2</v>
      </c>
      <c r="AE18" cm="1">
        <f t="array" aca="1" ref="AE18" ca="1">INDIRECT(ADDRESS(AE$1,AE$2,1,1,$A18))</f>
        <v>-62.478200000000001</v>
      </c>
      <c r="AF18" cm="1">
        <f t="array" aca="1" ref="AF18" ca="1">INDIRECT(ADDRESS(AF$1,AF$2,1,1,$A18))</f>
        <v>-36.461500000000001</v>
      </c>
      <c r="AG18" cm="1">
        <f t="array" aca="1" ref="AG18" ca="1">INDIRECT(ADDRESS(AG$1,AG$2,1,1,$A18))</f>
        <v>8.9099999999999999E-2</v>
      </c>
      <c r="AH18" cm="1">
        <f t="array" aca="1" ref="AH18" ca="1">INDIRECT(ADDRESS(AH$1,AH$2,1,1,$A18))</f>
        <v>61.4405</v>
      </c>
      <c r="AI18" cm="1">
        <f t="array" aca="1" ref="AI18" ca="1">INDIRECT(ADDRESS(AI$1,AI$2,1,1,$A18))</f>
        <v>-37.465699999999998</v>
      </c>
      <c r="AJ18" cm="1">
        <f t="array" aca="1" ref="AJ18" ca="1">INDIRECT(ADDRESS(AJ$1,AJ$2,1,1,$A18))</f>
        <v>7.3200000000000001E-2</v>
      </c>
      <c r="AK18" s="15" cm="1">
        <f t="array" aca="1" ref="AK18" ca="1">INDIRECT(ADDRESS(AK$1,AK$2,1,1,$A18))</f>
        <v>72.878900000000002</v>
      </c>
      <c r="AL18" s="15" cm="1">
        <f t="array" aca="1" ref="AL18" ca="1">INDIRECT(ADDRESS(AL$1,AL$2,1,1,$A18))</f>
        <v>73.713099999999997</v>
      </c>
      <c r="AM18" s="15" cm="1">
        <f t="array" aca="1" ref="AM18" ca="1">INDIRECT(ADDRESS(AM$1,AM$2,1,1,$A18))</f>
        <v>72.339299999999994</v>
      </c>
      <c r="AN18" s="15" cm="1">
        <f t="array" aca="1" ref="AN18" ca="1">INDIRECT(ADDRESS(AN$1,AN$2,1,1,$A18))</f>
        <v>71.962599999999995</v>
      </c>
      <c r="AO18" s="15" cm="1">
        <f t="array" aca="1" ref="AO18" ca="1">INDIRECT(ADDRESS(AO$1,AO$2,1,1,$A18))</f>
        <v>125.9315</v>
      </c>
      <c r="AP18" s="15" cm="1">
        <f t="array" aca="1" ref="AP18" ca="1">INDIRECT(ADDRESS(AP$1,AP$2,1,1,$A18))</f>
        <v>145.21520000000001</v>
      </c>
      <c r="AQ18" s="15" cm="1">
        <f t="array" aca="1" ref="AQ18" ca="1">INDIRECT(ADDRESS(AQ$1,AQ$2,1,1,$A18))</f>
        <v>74.990099999999998</v>
      </c>
      <c r="AR18" s="15" cm="1">
        <f t="array" aca="1" ref="AR18" ca="1">INDIRECT(ADDRESS(AR$1,AR$2,1,1,$A18))</f>
        <v>73.985100000000003</v>
      </c>
      <c r="AS18" s="15" cm="1">
        <f t="array" aca="1" ref="AS18" ca="1">INDIRECT(ADDRESS(AS$1,AS$2,1,1,$A18))</f>
        <v>145.6722</v>
      </c>
      <c r="AT18" s="15" cm="1">
        <f t="array" aca="1" ref="AT18" ca="1">INDIRECT(ADDRESS(AT$1,AT$2,1,1,$A18))</f>
        <v>123.9228</v>
      </c>
      <c r="AV18" s="15">
        <f t="shared" ca="1" si="10"/>
        <v>7.1859791816564211E-5</v>
      </c>
      <c r="AW18" s="15">
        <f t="shared" ca="1" si="11"/>
        <v>5.4663234806184846E-5</v>
      </c>
      <c r="AX18" s="15">
        <f t="shared" ca="1" si="12"/>
        <v>-4.9634155629973975E-7</v>
      </c>
      <c r="AY18" s="15">
        <f t="shared" ca="1" si="13"/>
        <v>-2.2763348468402E-5</v>
      </c>
      <c r="AZ18" s="15">
        <f t="shared" ca="1" si="14"/>
        <v>-1.04199504846747E-6</v>
      </c>
      <c r="BA18" s="15">
        <f t="shared" ca="1" si="15"/>
        <v>1.5586351281626776E-5</v>
      </c>
      <c r="BB18" s="15">
        <f t="shared" ca="1" si="16"/>
        <v>-9.447779845572768E-6</v>
      </c>
      <c r="BC18" s="15">
        <f t="shared" ca="1" si="17"/>
        <v>-1.5155078330053584E-6</v>
      </c>
      <c r="BD18" s="15">
        <f t="shared" ca="1" si="18"/>
        <v>-2.4531308639552662E-5</v>
      </c>
      <c r="BE18" s="15">
        <f t="shared" ca="1" si="19"/>
        <v>3.0178873103636761E-5</v>
      </c>
    </row>
    <row r="19" spans="1:57" x14ac:dyDescent="0.25">
      <c r="A19" t="s">
        <v>68</v>
      </c>
      <c r="B19" t="str" cm="1">
        <f t="array" aca="1" ref="B19" ca="1">LEFT(INDIRECT(ADDRESS(B$1,B$2,1,1,$A19)),FIND("-",INDIRECT(ADDRESS(B$1,B$2,1,1,$A19)))-1)</f>
        <v>P509</v>
      </c>
      <c r="C19" t="str" cm="1">
        <f t="array" aca="1" ref="C19" ca="1">RIGHT(INDIRECT(ADDRESS(B$1,B$2,1,1,$A19)),LEN(INDIRECT(ADDRESS(B$1,B$2,1,1,$A19)))-FIND("-",INDIRECT(ADDRESS(B$1,B$2,1,1,$A19))))</f>
        <v>south</v>
      </c>
      <c r="D19" s="10" cm="1">
        <f t="array" aca="1" ref="D19" ca="1">DATE(MID(INDIRECT(ADDRESS(D$1,D$2,1,1,$A19)),1,4),MID(INDIRECT(ADDRESS(D$1,D$2,1,1,$A19)),5,2),MID(INDIRECT(ADDRESS(D$1,D$2,1,1,$A19)),7,2))+TIME(MID(INDIRECT(ADDRESS(D$1,D$2,1,1,$A19)),10,2),MID(INDIRECT(ADDRESS(D$1,D$2,1,1,$A19)),12,2),0)</f>
        <v>44217.614583333336</v>
      </c>
      <c r="E19" cm="1">
        <f t="array" aca="1" ref="E19" ca="1">INDIRECT(ADDRESS(E$1,E$2,1,1,$A19))</f>
        <v>0</v>
      </c>
      <c r="F19" s="11" cm="1">
        <f t="array" aca="1" ref="F19" ca="1">VALUE(SUBSTITUTE(INDIRECT(ADDRESS(F$1,F$2,1,1,$A19)),"┬░C",""))</f>
        <v>19.899999999999999</v>
      </c>
      <c r="G19" s="12" cm="1">
        <f t="array" aca="1" ref="G19" ca="1">INDIRECT(ADDRESS(G$1,G$2,1,1,$A19))</f>
        <v>25.398499999999999</v>
      </c>
      <c r="H19" cm="1">
        <f t="array" aca="1" ref="H19" ca="1">INDIRECT(ADDRESS(H$1,H$2,1,1,$A19))</f>
        <v>25.401700000000002</v>
      </c>
      <c r="I19" cm="1">
        <f t="array" aca="1" ref="I19" ca="1">INDIRECT(ADDRESS(I$1,I$2,1,1,$A19))</f>
        <v>25.402200000000001</v>
      </c>
      <c r="J19" cm="1">
        <f t="array" aca="1" ref="J19" ca="1">INDIRECT(ADDRESS(J$1,J$2,1,1,$A19))</f>
        <v>25.4041</v>
      </c>
      <c r="K19" s="13" cm="1">
        <f t="array" aca="1" ref="K19" ca="1">INDIRECT(ADDRESS(K$1,K$2,1,1,$A19))</f>
        <v>25.401900000000001</v>
      </c>
      <c r="L19" s="14" cm="1">
        <f t="array" aca="1" ref="L19" ca="1">SQRT(SUMSQ(Y19:AA19-V19:X19))</f>
        <v>72.877266255053769</v>
      </c>
      <c r="M19" s="15" cm="1">
        <f t="array" aca="1" ref="M19" ca="1">SQRT(SUMSQ(AB19:AD19-V19:X19))</f>
        <v>73.711314287292424</v>
      </c>
      <c r="N19" s="15" cm="1">
        <f t="array" aca="1" ref="N19" ca="1">SQRT(SUMSQ(AE19:AG19-V19:X19))</f>
        <v>72.339148753907793</v>
      </c>
      <c r="O19" s="15" cm="1">
        <f t="array" aca="1" ref="O19" ca="1">SQRT(SUMSQ(AH19:AJ19-V19:X19))</f>
        <v>71.963477414727535</v>
      </c>
      <c r="P19" s="15" cm="1">
        <f t="array" aca="1" ref="P19" ca="1">SQRT(SUMSQ(AB19:AD19-Y19:AA19))</f>
        <v>125.92910109410771</v>
      </c>
      <c r="Q19" s="15" cm="1">
        <f t="array" aca="1" ref="Q19" ca="1">SQRT(SUMSQ(AE19:AG19-Y19:AA19))</f>
        <v>145.21349166317157</v>
      </c>
      <c r="R19" s="15" cm="1">
        <f t="array" aca="1" ref="R19" ca="1">SQRT(SUMSQ(AH19:AJ19-Y19:AA19))</f>
        <v>74.991199725101083</v>
      </c>
      <c r="S19" s="15" cm="1">
        <f t="array" aca="1" ref="S19" ca="1">SQRT(SUMSQ(AE19:AG19-AB19:AD19))</f>
        <v>73.986002842699932</v>
      </c>
      <c r="T19" s="15" cm="1">
        <f t="array" aca="1" ref="T19" ca="1">SQRT(SUMSQ(AH19:AJ19-AB19:AD19))</f>
        <v>145.67133326176432</v>
      </c>
      <c r="U19" s="16" cm="1">
        <f t="array" aca="1" ref="U19" ca="1">SQRT(SUMSQ(AH19:AJ19-AE19:AG19))</f>
        <v>123.92097155308298</v>
      </c>
      <c r="V19" cm="1">
        <f t="array" aca="1" ref="V19" ca="1">INDIRECT(ADDRESS(V$1,V$2,1,1,$A19))</f>
        <v>0</v>
      </c>
      <c r="W19" cm="1">
        <f t="array" aca="1" ref="W19" ca="1">INDIRECT(ADDRESS(W$1,W$2,1,1,$A19))</f>
        <v>0</v>
      </c>
      <c r="X19" cm="1">
        <f t="array" aca="1" ref="X19" ca="1">INDIRECT(ADDRESS(X$1,X$2,1,1,$A19))</f>
        <v>0</v>
      </c>
      <c r="Y19" cm="1">
        <f t="array" aca="1" ref="Y19" ca="1">INDIRECT(ADDRESS(Y$1,Y$2,1,1,$A19))</f>
        <v>62.479100000000003</v>
      </c>
      <c r="Z19" cm="1">
        <f t="array" aca="1" ref="Z19" ca="1">INDIRECT(ADDRESS(Z$1,Z$2,1,1,$A19))</f>
        <v>37.515999999999998</v>
      </c>
      <c r="AA19" cm="1">
        <f t="array" aca="1" ref="AA19" ca="1">INDIRECT(ADDRESS(AA$1,AA$2,1,1,$A19))</f>
        <v>8.7999999999999995E-2</v>
      </c>
      <c r="AB19" cm="1">
        <f t="array" aca="1" ref="AB19" ca="1">INDIRECT(ADDRESS(AB$1,AB$2,1,1,$A19))</f>
        <v>-63.45</v>
      </c>
      <c r="AC19" cm="1">
        <f t="array" aca="1" ref="AC19" ca="1">INDIRECT(ADDRESS(AC$1,AC$2,1,1,$A19))</f>
        <v>37.515999999999998</v>
      </c>
      <c r="AD19" cm="1">
        <f t="array" aca="1" ref="AD19" ca="1">INDIRECT(ADDRESS(AD$1,AD$2,1,1,$A19))</f>
        <v>7.1400000000000005E-2</v>
      </c>
      <c r="AE19" cm="1">
        <f t="array" aca="1" ref="AE19" ca="1">INDIRECT(ADDRESS(AE$1,AE$2,1,1,$A19))</f>
        <v>-62.476799999999997</v>
      </c>
      <c r="AF19" cm="1">
        <f t="array" aca="1" ref="AF19" ca="1">INDIRECT(ADDRESS(AF$1,AF$2,1,1,$A19))</f>
        <v>-36.4636</v>
      </c>
      <c r="AG19" cm="1">
        <f t="array" aca="1" ref="AG19" ca="1">INDIRECT(ADDRESS(AG$1,AG$2,1,1,$A19))</f>
        <v>8.8200000000000001E-2</v>
      </c>
      <c r="AH19" cm="1">
        <f t="array" aca="1" ref="AH19" ca="1">INDIRECT(ADDRESS(AH$1,AH$2,1,1,$A19))</f>
        <v>61.440100000000001</v>
      </c>
      <c r="AI19" cm="1">
        <f t="array" aca="1" ref="AI19" ca="1">INDIRECT(ADDRESS(AI$1,AI$2,1,1,$A19))</f>
        <v>-37.468000000000004</v>
      </c>
      <c r="AJ19" cm="1">
        <f t="array" aca="1" ref="AJ19" ca="1">INDIRECT(ADDRESS(AJ$1,AJ$2,1,1,$A19))</f>
        <v>7.1900000000000006E-2</v>
      </c>
      <c r="AK19" s="15" cm="1">
        <f t="array" aca="1" ref="AK19" ca="1">INDIRECT(ADDRESS(AK$1,AK$2,1,1,$A19))</f>
        <v>72.877300000000005</v>
      </c>
      <c r="AL19" s="15" cm="1">
        <f t="array" aca="1" ref="AL19" ca="1">INDIRECT(ADDRESS(AL$1,AL$2,1,1,$A19))</f>
        <v>73.711299999999994</v>
      </c>
      <c r="AM19" s="15" cm="1">
        <f t="array" aca="1" ref="AM19" ca="1">INDIRECT(ADDRESS(AM$1,AM$2,1,1,$A19))</f>
        <v>72.339200000000005</v>
      </c>
      <c r="AN19" s="15" cm="1">
        <f t="array" aca="1" ref="AN19" ca="1">INDIRECT(ADDRESS(AN$1,AN$2,1,1,$A19))</f>
        <v>71.963399999999993</v>
      </c>
      <c r="AO19" s="15" cm="1">
        <f t="array" aca="1" ref="AO19" ca="1">INDIRECT(ADDRESS(AO$1,AO$2,1,1,$A19))</f>
        <v>125.92910000000001</v>
      </c>
      <c r="AP19" s="15" cm="1">
        <f t="array" aca="1" ref="AP19" ca="1">INDIRECT(ADDRESS(AP$1,AP$2,1,1,$A19))</f>
        <v>145.21360000000001</v>
      </c>
      <c r="AQ19" s="15" cm="1">
        <f t="array" aca="1" ref="AQ19" ca="1">INDIRECT(ADDRESS(AQ$1,AQ$2,1,1,$A19))</f>
        <v>74.991200000000006</v>
      </c>
      <c r="AR19" s="15" cm="1">
        <f t="array" aca="1" ref="AR19" ca="1">INDIRECT(ADDRESS(AR$1,AR$2,1,1,$A19))</f>
        <v>73.986099999999993</v>
      </c>
      <c r="AS19" s="15" cm="1">
        <f t="array" aca="1" ref="AS19" ca="1">INDIRECT(ADDRESS(AS$1,AS$2,1,1,$A19))</f>
        <v>145.6713</v>
      </c>
      <c r="AT19" s="15" cm="1">
        <f t="array" aca="1" ref="AT19" ca="1">INDIRECT(ADDRESS(AT$1,AT$2,1,1,$A19))</f>
        <v>123.92100000000001</v>
      </c>
      <c r="AV19" s="15">
        <f t="shared" ca="1" si="10"/>
        <v>3.3744946236424767E-5</v>
      </c>
      <c r="AW19" s="15">
        <f t="shared" ca="1" si="11"/>
        <v>-1.4287292430026355E-5</v>
      </c>
      <c r="AX19" s="15">
        <f t="shared" ca="1" si="12"/>
        <v>5.1246092212409167E-5</v>
      </c>
      <c r="AY19" s="15">
        <f t="shared" ca="1" si="13"/>
        <v>-7.7414727542191031E-5</v>
      </c>
      <c r="AZ19" s="15">
        <f t="shared" ca="1" si="14"/>
        <v>-1.0941077022152967E-6</v>
      </c>
      <c r="BA19" s="15">
        <f t="shared" ca="1" si="15"/>
        <v>1.0833682844690884E-4</v>
      </c>
      <c r="BB19" s="15">
        <f t="shared" ca="1" si="16"/>
        <v>2.748989231804444E-7</v>
      </c>
      <c r="BC19" s="15">
        <f t="shared" ca="1" si="17"/>
        <v>9.7157300061212482E-5</v>
      </c>
      <c r="BD19" s="15">
        <f t="shared" ca="1" si="18"/>
        <v>-3.3261764315284381E-5</v>
      </c>
      <c r="BE19" s="15">
        <f t="shared" ca="1" si="19"/>
        <v>2.844691702819091E-5</v>
      </c>
    </row>
    <row r="20" spans="1:57" x14ac:dyDescent="0.25">
      <c r="A20" t="s">
        <v>70</v>
      </c>
      <c r="B20" t="str" cm="1">
        <f t="array" aca="1" ref="B20" ca="1">LEFT(INDIRECT(ADDRESS(B$1,B$2,1,1,$A20)),FIND("-",INDIRECT(ADDRESS(B$1,B$2,1,1,$A20)))-1)</f>
        <v>P509</v>
      </c>
      <c r="C20" t="str" cm="1">
        <f t="array" aca="1" ref="C20" ca="1">RIGHT(INDIRECT(ADDRESS(B$1,B$2,1,1,$A20)),LEN(INDIRECT(ADDRESS(B$1,B$2,1,1,$A20)))-FIND("-",INDIRECT(ADDRESS(B$1,B$2,1,1,$A20))))</f>
        <v>south</v>
      </c>
      <c r="D20" s="10" cm="1">
        <f t="array" aca="1" ref="D20" ca="1">DATE(MID(INDIRECT(ADDRESS(D$1,D$2,1,1,$A20)),1,4),MID(INDIRECT(ADDRESS(D$1,D$2,1,1,$A20)),5,2),MID(INDIRECT(ADDRESS(D$1,D$2,1,1,$A20)),7,2))+TIME(MID(INDIRECT(ADDRESS(D$1,D$2,1,1,$A20)),10,2),MID(INDIRECT(ADDRESS(D$1,D$2,1,1,$A20)),12,2),0)</f>
        <v>44217.617361111108</v>
      </c>
      <c r="E20" cm="1">
        <f t="array" aca="1" ref="E20" ca="1">INDIRECT(ADDRESS(E$1,E$2,1,1,$A20))</f>
        <v>0</v>
      </c>
      <c r="F20" s="11" cm="1">
        <f t="array" aca="1" ref="F20" ca="1">VALUE(SUBSTITUTE(INDIRECT(ADDRESS(F$1,F$2,1,1,$A20)),"┬░C",""))</f>
        <v>19.899999999999999</v>
      </c>
      <c r="G20" s="12" cm="1">
        <f t="array" aca="1" ref="G20" ca="1">INDIRECT(ADDRESS(G$1,G$2,1,1,$A20))</f>
        <v>25.3979</v>
      </c>
      <c r="H20" cm="1">
        <f t="array" aca="1" ref="H20" ca="1">INDIRECT(ADDRESS(H$1,H$2,1,1,$A20))</f>
        <v>25.401900000000001</v>
      </c>
      <c r="I20" cm="1">
        <f t="array" aca="1" ref="I20" ca="1">INDIRECT(ADDRESS(I$1,I$2,1,1,$A20))</f>
        <v>25.401800000000001</v>
      </c>
      <c r="J20" cm="1">
        <f t="array" aca="1" ref="J20" ca="1">INDIRECT(ADDRESS(J$1,J$2,1,1,$A20))</f>
        <v>25.402999999999999</v>
      </c>
      <c r="K20" s="13" cm="1">
        <f t="array" aca="1" ref="K20" ca="1">INDIRECT(ADDRESS(K$1,K$2,1,1,$A20))</f>
        <v>25.401900000000001</v>
      </c>
      <c r="L20" s="14" cm="1">
        <f t="array" aca="1" ref="L20" ca="1">SQRT(SUMSQ(Y20:AA20-V20:X20))</f>
        <v>72.878157782767801</v>
      </c>
      <c r="M20" s="15" cm="1">
        <f t="array" aca="1" ref="M20" ca="1">SQRT(SUMSQ(AB20:AD20-V20:X20))</f>
        <v>73.711431792700921</v>
      </c>
      <c r="N20" s="15" cm="1">
        <f t="array" aca="1" ref="N20" ca="1">SQRT(SUMSQ(AE20:AG20-V20:X20))</f>
        <v>72.338486597730252</v>
      </c>
      <c r="O20" s="15" cm="1">
        <f t="array" aca="1" ref="O20" ca="1">SQRT(SUMSQ(AH20:AJ20-V20:X20))</f>
        <v>71.963966634281633</v>
      </c>
      <c r="P20" s="15" cm="1">
        <f t="array" aca="1" ref="P20" ca="1">SQRT(SUMSQ(AB20:AD20-Y20:AA20))</f>
        <v>125.92980106789656</v>
      </c>
      <c r="Q20" s="15" cm="1">
        <f t="array" aca="1" ref="Q20" ca="1">SQRT(SUMSQ(AE20:AG20-Y20:AA20))</f>
        <v>145.21372712915263</v>
      </c>
      <c r="R20" s="15" cm="1">
        <f t="array" aca="1" ref="R20" ca="1">SQRT(SUMSQ(AH20:AJ20-Y20:AA20))</f>
        <v>74.990896961764633</v>
      </c>
      <c r="S20" s="15" cm="1">
        <f t="array" aca="1" ref="S20" ca="1">SQRT(SUMSQ(AE20:AG20-AB20:AD20))</f>
        <v>73.986814594628953</v>
      </c>
      <c r="T20" s="15" cm="1">
        <f t="array" aca="1" ref="T20" ca="1">SQRT(SUMSQ(AH20:AJ20-AB20:AD20))</f>
        <v>145.67195044637108</v>
      </c>
      <c r="U20" s="16" cm="1">
        <f t="array" aca="1" ref="U20" ca="1">SQRT(SUMSQ(AH20:AJ20-AE20:AG20))</f>
        <v>123.9209626422826</v>
      </c>
      <c r="V20" cm="1">
        <f t="array" aca="1" ref="V20" ca="1">INDIRECT(ADDRESS(V$1,V$2,1,1,$A20))</f>
        <v>0</v>
      </c>
      <c r="W20" cm="1">
        <f t="array" aca="1" ref="W20" ca="1">INDIRECT(ADDRESS(W$1,W$2,1,1,$A20))</f>
        <v>0</v>
      </c>
      <c r="X20" cm="1">
        <f t="array" aca="1" ref="X20" ca="1">INDIRECT(ADDRESS(X$1,X$2,1,1,$A20))</f>
        <v>0</v>
      </c>
      <c r="Y20" cm="1">
        <f t="array" aca="1" ref="Y20" ca="1">INDIRECT(ADDRESS(Y$1,Y$2,1,1,$A20))</f>
        <v>62.479900000000001</v>
      </c>
      <c r="Z20" cm="1">
        <f t="array" aca="1" ref="Z20" ca="1">INDIRECT(ADDRESS(Z$1,Z$2,1,1,$A20))</f>
        <v>37.516399999999997</v>
      </c>
      <c r="AA20" cm="1">
        <f t="array" aca="1" ref="AA20" ca="1">INDIRECT(ADDRESS(AA$1,AA$2,1,1,$A20))</f>
        <v>8.7800000000000003E-2</v>
      </c>
      <c r="AB20" cm="1">
        <f t="array" aca="1" ref="AB20" ca="1">INDIRECT(ADDRESS(AB$1,AB$2,1,1,$A20))</f>
        <v>-63.4499</v>
      </c>
      <c r="AC20" cm="1">
        <f t="array" aca="1" ref="AC20" ca="1">INDIRECT(ADDRESS(AC$1,AC$2,1,1,$A20))</f>
        <v>37.516399999999997</v>
      </c>
      <c r="AD20" cm="1">
        <f t="array" aca="1" ref="AD20" ca="1">INDIRECT(ADDRESS(AD$1,AD$2,1,1,$A20))</f>
        <v>7.1400000000000005E-2</v>
      </c>
      <c r="AE20" cm="1">
        <f t="array" aca="1" ref="AE20" ca="1">INDIRECT(ADDRESS(AE$1,AE$2,1,1,$A20))</f>
        <v>-62.4758</v>
      </c>
      <c r="AF20" cm="1">
        <f t="array" aca="1" ref="AF20" ca="1">INDIRECT(ADDRESS(AF$1,AF$2,1,1,$A20))</f>
        <v>-36.463999999999999</v>
      </c>
      <c r="AG20" cm="1">
        <f t="array" aca="1" ref="AG20" ca="1">INDIRECT(ADDRESS(AG$1,AG$2,1,1,$A20))</f>
        <v>8.8099999999999998E-2</v>
      </c>
      <c r="AH20" cm="1">
        <f t="array" aca="1" ref="AH20" ca="1">INDIRECT(ADDRESS(AH$1,AH$2,1,1,$A20))</f>
        <v>61.441099999999999</v>
      </c>
      <c r="AI20" cm="1">
        <f t="array" aca="1" ref="AI20" ca="1">INDIRECT(ADDRESS(AI$1,AI$2,1,1,$A20))</f>
        <v>-37.467300000000002</v>
      </c>
      <c r="AJ20" cm="1">
        <f t="array" aca="1" ref="AJ20" ca="1">INDIRECT(ADDRESS(AJ$1,AJ$2,1,1,$A20))</f>
        <v>7.1800000000000003E-2</v>
      </c>
      <c r="AK20" s="15" cm="1">
        <f t="array" aca="1" ref="AK20" ca="1">INDIRECT(ADDRESS(AK$1,AK$2,1,1,$A20))</f>
        <v>72.878100000000003</v>
      </c>
      <c r="AL20" s="15" cm="1">
        <f t="array" aca="1" ref="AL20" ca="1">INDIRECT(ADDRESS(AL$1,AL$2,1,1,$A20))</f>
        <v>73.711500000000001</v>
      </c>
      <c r="AM20" s="15" cm="1">
        <f t="array" aca="1" ref="AM20" ca="1">INDIRECT(ADDRESS(AM$1,AM$2,1,1,$A20))</f>
        <v>72.338499999999996</v>
      </c>
      <c r="AN20" s="15" cm="1">
        <f t="array" aca="1" ref="AN20" ca="1">INDIRECT(ADDRESS(AN$1,AN$2,1,1,$A20))</f>
        <v>71.963999999999999</v>
      </c>
      <c r="AO20" s="15" cm="1">
        <f t="array" aca="1" ref="AO20" ca="1">INDIRECT(ADDRESS(AO$1,AO$2,1,1,$A20))</f>
        <v>125.9298</v>
      </c>
      <c r="AP20" s="15" cm="1">
        <f t="array" aca="1" ref="AP20" ca="1">INDIRECT(ADDRESS(AP$1,AP$2,1,1,$A20))</f>
        <v>145.21369999999999</v>
      </c>
      <c r="AQ20" s="15" cm="1">
        <f t="array" aca="1" ref="AQ20" ca="1">INDIRECT(ADDRESS(AQ$1,AQ$2,1,1,$A20))</f>
        <v>74.990899999999996</v>
      </c>
      <c r="AR20" s="15" cm="1">
        <f t="array" aca="1" ref="AR20" ca="1">INDIRECT(ADDRESS(AR$1,AR$2,1,1,$A20))</f>
        <v>73.986800000000002</v>
      </c>
      <c r="AS20" s="15" cm="1">
        <f t="array" aca="1" ref="AS20" ca="1">INDIRECT(ADDRESS(AS$1,AS$2,1,1,$A20))</f>
        <v>145.672</v>
      </c>
      <c r="AT20" s="15" cm="1">
        <f t="array" aca="1" ref="AT20" ca="1">INDIRECT(ADDRESS(AT$1,AT$2,1,1,$A20))</f>
        <v>123.92100000000001</v>
      </c>
      <c r="AV20" s="15">
        <f t="shared" ca="1" si="10"/>
        <v>-5.7782767797220913E-5</v>
      </c>
      <c r="AW20" s="15">
        <f t="shared" ca="1" si="11"/>
        <v>6.8207299079858785E-5</v>
      </c>
      <c r="AX20" s="15">
        <f t="shared" ca="1" si="12"/>
        <v>1.3402269743778561E-5</v>
      </c>
      <c r="AY20" s="15">
        <f t="shared" ca="1" si="13"/>
        <v>3.3365718365985231E-5</v>
      </c>
      <c r="AZ20" s="15">
        <f t="shared" ca="1" si="14"/>
        <v>-1.067896562290116E-6</v>
      </c>
      <c r="BA20" s="15">
        <f t="shared" ca="1" si="15"/>
        <v>-2.7129152641691689E-5</v>
      </c>
      <c r="BB20" s="15">
        <f t="shared" ca="1" si="16"/>
        <v>3.0382353628510828E-6</v>
      </c>
      <c r="BC20" s="15">
        <f t="shared" ca="1" si="17"/>
        <v>-1.4594628950703736E-5</v>
      </c>
      <c r="BD20" s="15">
        <f t="shared" ca="1" si="18"/>
        <v>4.9553628912235581E-5</v>
      </c>
      <c r="BE20" s="15">
        <f t="shared" ca="1" si="19"/>
        <v>3.7357717403097013E-5</v>
      </c>
    </row>
    <row r="21" spans="1:57" x14ac:dyDescent="0.25">
      <c r="A21" t="s">
        <v>72</v>
      </c>
      <c r="B21" t="str" cm="1">
        <f t="array" aca="1" ref="B21" ca="1">LEFT(INDIRECT(ADDRESS(B$1,B$2,1,1,$A21)),FIND("-",INDIRECT(ADDRESS(B$1,B$2,1,1,$A21)))-1)</f>
        <v>P509</v>
      </c>
      <c r="C21" t="str" cm="1">
        <f t="array" aca="1" ref="C21" ca="1">RIGHT(INDIRECT(ADDRESS(B$1,B$2,1,1,$A21)),LEN(INDIRECT(ADDRESS(B$1,B$2,1,1,$A21)))-FIND("-",INDIRECT(ADDRESS(B$1,B$2,1,1,$A21))))</f>
        <v>south</v>
      </c>
      <c r="D21" s="10" cm="1">
        <f t="array" aca="1" ref="D21" ca="1">DATE(MID(INDIRECT(ADDRESS(D$1,D$2,1,1,$A21)),1,4),MID(INDIRECT(ADDRESS(D$1,D$2,1,1,$A21)),5,2),MID(INDIRECT(ADDRESS(D$1,D$2,1,1,$A21)),7,2))+TIME(MID(INDIRECT(ADDRESS(D$1,D$2,1,1,$A21)),10,2),MID(INDIRECT(ADDRESS(D$1,D$2,1,1,$A21)),12,2),0)</f>
        <v>44217.619444444441</v>
      </c>
      <c r="E21" cm="1">
        <f t="array" aca="1" ref="E21" ca="1">INDIRECT(ADDRESS(E$1,E$2,1,1,$A21))</f>
        <v>0</v>
      </c>
      <c r="F21" s="11" cm="1">
        <f t="array" aca="1" ref="F21" ca="1">VALUE(SUBSTITUTE(INDIRECT(ADDRESS(F$1,F$2,1,1,$A21)),"┬░C",""))</f>
        <v>19.899999999999999</v>
      </c>
      <c r="G21" s="12" cm="1">
        <f t="array" aca="1" ref="G21" ca="1">INDIRECT(ADDRESS(G$1,G$2,1,1,$A21))</f>
        <v>25.398499999999999</v>
      </c>
      <c r="H21" cm="1">
        <f t="array" aca="1" ref="H21" ca="1">INDIRECT(ADDRESS(H$1,H$2,1,1,$A21))</f>
        <v>25.401900000000001</v>
      </c>
      <c r="I21" cm="1">
        <f t="array" aca="1" ref="I21" ca="1">INDIRECT(ADDRESS(I$1,I$2,1,1,$A21))</f>
        <v>25.4023</v>
      </c>
      <c r="J21" cm="1">
        <f t="array" aca="1" ref="J21" ca="1">INDIRECT(ADDRESS(J$1,J$2,1,1,$A21))</f>
        <v>25.403400000000001</v>
      </c>
      <c r="K21" s="13" cm="1">
        <f t="array" aca="1" ref="K21" ca="1">INDIRECT(ADDRESS(K$1,K$2,1,1,$A21))</f>
        <v>25.401499999999999</v>
      </c>
      <c r="L21" s="14" cm="1">
        <f t="array" aca="1" ref="L21" ca="1">SQRT(SUMSQ(Y21:AA21-V21:X21))</f>
        <v>72.878175689982797</v>
      </c>
      <c r="M21" s="15" cm="1">
        <f t="array" aca="1" ref="M21" ca="1">SQRT(SUMSQ(AB21:AD21-V21:X21))</f>
        <v>73.711529640959142</v>
      </c>
      <c r="N21" s="15" cm="1">
        <f t="array" aca="1" ref="N21" ca="1">SQRT(SUMSQ(AE21:AG21-V21:X21))</f>
        <v>72.338313915172222</v>
      </c>
      <c r="O21" s="15" cm="1">
        <f t="array" aca="1" ref="O21" ca="1">SQRT(SUMSQ(AH21:AJ21-V21:X21))</f>
        <v>71.963398018854008</v>
      </c>
      <c r="P21" s="15" cm="1">
        <f t="array" aca="1" ref="P21" ca="1">SQRT(SUMSQ(AB21:AD21-Y21:AA21))</f>
        <v>125.92910114747107</v>
      </c>
      <c r="Q21" s="15" cm="1">
        <f t="array" aca="1" ref="Q21" ca="1">SQRT(SUMSQ(AE21:AG21-Y21:AA21))</f>
        <v>145.21355844992576</v>
      </c>
      <c r="R21" s="15" cm="1">
        <f t="array" aca="1" ref="R21" ca="1">SQRT(SUMSQ(AH21:AJ21-Y21:AA21))</f>
        <v>74.990995675347591</v>
      </c>
      <c r="S21" s="15" cm="1">
        <f t="array" aca="1" ref="S21" ca="1">SQRT(SUMSQ(AE21:AG21-AB21:AD21))</f>
        <v>73.98630422409272</v>
      </c>
      <c r="T21" s="15" cm="1">
        <f t="array" aca="1" ref="T21" ca="1">SQRT(SUMSQ(AH21:AJ21-AB21:AD21))</f>
        <v>145.67148751505903</v>
      </c>
      <c r="U21" s="16" cm="1">
        <f t="array" aca="1" ref="U21" ca="1">SQRT(SUMSQ(AH21:AJ21-AE21:AG21))</f>
        <v>123.92116754820381</v>
      </c>
      <c r="V21" cm="1">
        <f t="array" aca="1" ref="V21" ca="1">INDIRECT(ADDRESS(V$1,V$2,1,1,$A21))</f>
        <v>0</v>
      </c>
      <c r="W21" cm="1">
        <f t="array" aca="1" ref="W21" ca="1">INDIRECT(ADDRESS(W$1,W$2,1,1,$A21))</f>
        <v>0</v>
      </c>
      <c r="X21" cm="1">
        <f t="array" aca="1" ref="X21" ca="1">INDIRECT(ADDRESS(X$1,X$2,1,1,$A21))</f>
        <v>0</v>
      </c>
      <c r="Y21" cm="1">
        <f t="array" aca="1" ref="Y21" ca="1">INDIRECT(ADDRESS(Y$1,Y$2,1,1,$A21))</f>
        <v>62.479500000000002</v>
      </c>
      <c r="Z21" cm="1">
        <f t="array" aca="1" ref="Z21" ca="1">INDIRECT(ADDRESS(Z$1,Z$2,1,1,$A21))</f>
        <v>37.517099999999999</v>
      </c>
      <c r="AA21" cm="1">
        <f t="array" aca="1" ref="AA21" ca="1">INDIRECT(ADDRESS(AA$1,AA$2,1,1,$A21))</f>
        <v>8.8200000000000001E-2</v>
      </c>
      <c r="AB21" cm="1">
        <f t="array" aca="1" ref="AB21" ca="1">INDIRECT(ADDRESS(AB$1,AB$2,1,1,$A21))</f>
        <v>-63.449599999999997</v>
      </c>
      <c r="AC21" cm="1">
        <f t="array" aca="1" ref="AC21" ca="1">INDIRECT(ADDRESS(AC$1,AC$2,1,1,$A21))</f>
        <v>37.517099999999999</v>
      </c>
      <c r="AD21" cm="1">
        <f t="array" aca="1" ref="AD21" ca="1">INDIRECT(ADDRESS(AD$1,AD$2,1,1,$A21))</f>
        <v>7.1199999999999999E-2</v>
      </c>
      <c r="AE21" cm="1">
        <f t="array" aca="1" ref="AE21" ca="1">INDIRECT(ADDRESS(AE$1,AE$2,1,1,$A21))</f>
        <v>-62.476300000000002</v>
      </c>
      <c r="AF21" cm="1">
        <f t="array" aca="1" ref="AF21" ca="1">INDIRECT(ADDRESS(AF$1,AF$2,1,1,$A21))</f>
        <v>-36.462800000000001</v>
      </c>
      <c r="AG21" cm="1">
        <f t="array" aca="1" ref="AG21" ca="1">INDIRECT(ADDRESS(AG$1,AG$2,1,1,$A21))</f>
        <v>8.8400000000000006E-2</v>
      </c>
      <c r="AH21" cm="1">
        <f t="array" aca="1" ref="AH21" ca="1">INDIRECT(ADDRESS(AH$1,AH$2,1,1,$A21))</f>
        <v>61.440800000000003</v>
      </c>
      <c r="AI21" cm="1">
        <f t="array" aca="1" ref="AI21" ca="1">INDIRECT(ADDRESS(AI$1,AI$2,1,1,$A21))</f>
        <v>-37.466700000000003</v>
      </c>
      <c r="AJ21" cm="1">
        <f t="array" aca="1" ref="AJ21" ca="1">INDIRECT(ADDRESS(AJ$1,AJ$2,1,1,$A21))</f>
        <v>7.17E-2</v>
      </c>
      <c r="AK21" s="15" cm="1">
        <f t="array" aca="1" ref="AK21" ca="1">INDIRECT(ADDRESS(AK$1,AK$2,1,1,$A21))</f>
        <v>72.878200000000007</v>
      </c>
      <c r="AL21" s="15" cm="1">
        <f t="array" aca="1" ref="AL21" ca="1">INDIRECT(ADDRESS(AL$1,AL$2,1,1,$A21))</f>
        <v>73.711600000000004</v>
      </c>
      <c r="AM21" s="15" cm="1">
        <f t="array" aca="1" ref="AM21" ca="1">INDIRECT(ADDRESS(AM$1,AM$2,1,1,$A21))</f>
        <v>72.338300000000004</v>
      </c>
      <c r="AN21" s="15" cm="1">
        <f t="array" aca="1" ref="AN21" ca="1">INDIRECT(ADDRESS(AN$1,AN$2,1,1,$A21))</f>
        <v>71.963399999999993</v>
      </c>
      <c r="AO21" s="15" cm="1">
        <f t="array" aca="1" ref="AO21" ca="1">INDIRECT(ADDRESS(AO$1,AO$2,1,1,$A21))</f>
        <v>125.92919999999999</v>
      </c>
      <c r="AP21" s="15" cm="1">
        <f t="array" aca="1" ref="AP21" ca="1">INDIRECT(ADDRESS(AP$1,AP$2,1,1,$A21))</f>
        <v>145.21360000000001</v>
      </c>
      <c r="AQ21" s="15" cm="1">
        <f t="array" aca="1" ref="AQ21" ca="1">INDIRECT(ADDRESS(AQ$1,AQ$2,1,1,$A21))</f>
        <v>74.991</v>
      </c>
      <c r="AR21" s="15" cm="1">
        <f t="array" aca="1" ref="AR21" ca="1">INDIRECT(ADDRESS(AR$1,AR$2,1,1,$A21))</f>
        <v>73.9863</v>
      </c>
      <c r="AS21" s="15" cm="1">
        <f t="array" aca="1" ref="AS21" ca="1">INDIRECT(ADDRESS(AS$1,AS$2,1,1,$A21))</f>
        <v>145.67160000000001</v>
      </c>
      <c r="AT21" s="15" cm="1">
        <f t="array" aca="1" ref="AT21" ca="1">INDIRECT(ADDRESS(AT$1,AT$2,1,1,$A21))</f>
        <v>123.9212</v>
      </c>
      <c r="AV21" s="15">
        <f t="shared" ca="1" si="10"/>
        <v>2.4310017209927537E-5</v>
      </c>
      <c r="AW21" s="15">
        <f t="shared" ca="1" si="11"/>
        <v>7.0359040861944777E-5</v>
      </c>
      <c r="AX21" s="15">
        <f t="shared" ca="1" si="12"/>
        <v>-1.391517221804861E-5</v>
      </c>
      <c r="AY21" s="15">
        <f t="shared" ca="1" si="13"/>
        <v>1.9811459850416213E-6</v>
      </c>
      <c r="AZ21" s="15">
        <f t="shared" ca="1" si="14"/>
        <v>9.8852528921611338E-5</v>
      </c>
      <c r="BA21" s="15">
        <f t="shared" ca="1" si="15"/>
        <v>4.1550074257656888E-5</v>
      </c>
      <c r="BB21" s="15">
        <f t="shared" ca="1" si="16"/>
        <v>4.3246524086271165E-6</v>
      </c>
      <c r="BC21" s="15">
        <f t="shared" ca="1" si="17"/>
        <v>-4.2240927200509759E-6</v>
      </c>
      <c r="BD21" s="15">
        <f t="shared" ca="1" si="18"/>
        <v>1.1248494098481387E-4</v>
      </c>
      <c r="BE21" s="15">
        <f t="shared" ca="1" si="19"/>
        <v>3.2451796187160653E-5</v>
      </c>
    </row>
    <row r="22" spans="1:57" x14ac:dyDescent="0.25">
      <c r="A22" t="s">
        <v>74</v>
      </c>
      <c r="B22" t="str" cm="1">
        <f t="array" aca="1" ref="B22" ca="1">LEFT(INDIRECT(ADDRESS(B$1,B$2,1,1,$A22)),FIND("-",INDIRECT(ADDRESS(B$1,B$2,1,1,$A22)))-1)</f>
        <v>P509</v>
      </c>
      <c r="C22" t="str" cm="1">
        <f t="array" aca="1" ref="C22" ca="1">RIGHT(INDIRECT(ADDRESS(B$1,B$2,1,1,$A22)),LEN(INDIRECT(ADDRESS(B$1,B$2,1,1,$A22)))-FIND("-",INDIRECT(ADDRESS(B$1,B$2,1,1,$A22))))</f>
        <v>south</v>
      </c>
      <c r="D22" s="10" cm="1">
        <f t="array" aca="1" ref="D22" ca="1">DATE(MID(INDIRECT(ADDRESS(D$1,D$2,1,1,$A22)),1,4),MID(INDIRECT(ADDRESS(D$1,D$2,1,1,$A22)),5,2),MID(INDIRECT(ADDRESS(D$1,D$2,1,1,$A22)),7,2))+TIME(MID(INDIRECT(ADDRESS(D$1,D$2,1,1,$A22)),10,2),MID(INDIRECT(ADDRESS(D$1,D$2,1,1,$A22)),12,2),0)</f>
        <v>44217.62222222222</v>
      </c>
      <c r="E22" cm="1">
        <f t="array" aca="1" ref="E22" ca="1">INDIRECT(ADDRESS(E$1,E$2,1,1,$A22))</f>
        <v>0</v>
      </c>
      <c r="F22" s="11" cm="1">
        <f t="array" aca="1" ref="F22" ca="1">VALUE(SUBSTITUTE(INDIRECT(ADDRESS(F$1,F$2,1,1,$A22)),"┬░C",""))</f>
        <v>20</v>
      </c>
      <c r="G22" s="12" cm="1">
        <f t="array" aca="1" ref="G22" ca="1">INDIRECT(ADDRESS(G$1,G$2,1,1,$A22))</f>
        <v>25.398099999999999</v>
      </c>
      <c r="H22" cm="1">
        <f t="array" aca="1" ref="H22" ca="1">INDIRECT(ADDRESS(H$1,H$2,1,1,$A22))</f>
        <v>25.402200000000001</v>
      </c>
      <c r="I22" cm="1">
        <f t="array" aca="1" ref="I22" ca="1">INDIRECT(ADDRESS(I$1,I$2,1,1,$A22))</f>
        <v>25.402000000000001</v>
      </c>
      <c r="J22" cm="1">
        <f t="array" aca="1" ref="J22" ca="1">INDIRECT(ADDRESS(J$1,J$2,1,1,$A22))</f>
        <v>25.403199999999998</v>
      </c>
      <c r="K22" s="13" cm="1">
        <f t="array" aca="1" ref="K22" ca="1">INDIRECT(ADDRESS(K$1,K$2,1,1,$A22))</f>
        <v>25.401399999999999</v>
      </c>
      <c r="L22" s="14" cm="1">
        <f t="array" aca="1" ref="L22" ca="1">SQRT(SUMSQ(Y22:AA22-V22:X22))</f>
        <v>72.877300666325453</v>
      </c>
      <c r="M22" s="15" cm="1">
        <f t="array" aca="1" ref="M22" ca="1">SQRT(SUMSQ(AB22:AD22-V22:X22))</f>
        <v>73.71237480769426</v>
      </c>
      <c r="N22" s="15" cm="1">
        <f t="array" aca="1" ref="N22" ca="1">SQRT(SUMSQ(AE22:AG22-V22:X22))</f>
        <v>72.339292352635027</v>
      </c>
      <c r="O22" s="15" cm="1">
        <f t="array" aca="1" ref="O22" ca="1">SQRT(SUMSQ(AH22:AJ22-V22:X22))</f>
        <v>71.962848353091189</v>
      </c>
      <c r="P22" s="15" cm="1">
        <f t="array" aca="1" ref="P22" ca="1">SQRT(SUMSQ(AB22:AD22-Y22:AA22))</f>
        <v>125.92930108096368</v>
      </c>
      <c r="Q22" s="15" cm="1">
        <f t="array" aca="1" ref="Q22" ca="1">SQRT(SUMSQ(AE22:AG22-Y22:AA22))</f>
        <v>145.21366034120206</v>
      </c>
      <c r="R22" s="15" cm="1">
        <f t="array" aca="1" ref="R22" ca="1">SQRT(SUMSQ(AH22:AJ22-Y22:AA22))</f>
        <v>74.990388700686168</v>
      </c>
      <c r="S22" s="15" cm="1">
        <f t="array" aca="1" ref="S22" ca="1">SQRT(SUMSQ(AE22:AG22-AB22:AD22))</f>
        <v>73.986506723523576</v>
      </c>
      <c r="T22" s="15" cm="1">
        <f t="array" aca="1" ref="T22" ca="1">SQRT(SUMSQ(AH22:AJ22-AB22:AD22))</f>
        <v>145.67177881010446</v>
      </c>
      <c r="U22" s="16" cm="1">
        <f t="array" aca="1" ref="U22" ca="1">SQRT(SUMSQ(AH22:AJ22-AE22:AG22))</f>
        <v>123.92166098713331</v>
      </c>
      <c r="V22" cm="1">
        <f t="array" aca="1" ref="V22" ca="1">INDIRECT(ADDRESS(V$1,V$2,1,1,$A22))</f>
        <v>0</v>
      </c>
      <c r="W22" cm="1">
        <f t="array" aca="1" ref="W22" ca="1">INDIRECT(ADDRESS(W$1,W$2,1,1,$A22))</f>
        <v>0</v>
      </c>
      <c r="X22" cm="1">
        <f t="array" aca="1" ref="X22" ca="1">INDIRECT(ADDRESS(X$1,X$2,1,1,$A22))</f>
        <v>0</v>
      </c>
      <c r="Y22" cm="1">
        <f t="array" aca="1" ref="Y22" ca="1">INDIRECT(ADDRESS(Y$1,Y$2,1,1,$A22))</f>
        <v>62.4786</v>
      </c>
      <c r="Z22" cm="1">
        <f t="array" aca="1" ref="Z22" ca="1">INDIRECT(ADDRESS(Z$1,Z$2,1,1,$A22))</f>
        <v>37.5169</v>
      </c>
      <c r="AA22" cm="1">
        <f t="array" aca="1" ref="AA22" ca="1">INDIRECT(ADDRESS(AA$1,AA$2,1,1,$A22))</f>
        <v>8.7800000000000003E-2</v>
      </c>
      <c r="AB22" cm="1">
        <f t="array" aca="1" ref="AB22" ca="1">INDIRECT(ADDRESS(AB$1,AB$2,1,1,$A22))</f>
        <v>-63.450699999999998</v>
      </c>
      <c r="AC22" cm="1">
        <f t="array" aca="1" ref="AC22" ca="1">INDIRECT(ADDRESS(AC$1,AC$2,1,1,$A22))</f>
        <v>37.5169</v>
      </c>
      <c r="AD22" cm="1">
        <f t="array" aca="1" ref="AD22" ca="1">INDIRECT(ADDRESS(AD$1,AD$2,1,1,$A22))</f>
        <v>7.1300000000000002E-2</v>
      </c>
      <c r="AE22" cm="1">
        <f t="array" aca="1" ref="AE22" ca="1">INDIRECT(ADDRESS(AE$1,AE$2,1,1,$A22))</f>
        <v>-62.477200000000003</v>
      </c>
      <c r="AF22" cm="1">
        <f t="array" aca="1" ref="AF22" ca="1">INDIRECT(ADDRESS(AF$1,AF$2,1,1,$A22))</f>
        <v>-36.463200000000001</v>
      </c>
      <c r="AG22" cm="1">
        <f t="array" aca="1" ref="AG22" ca="1">INDIRECT(ADDRESS(AG$1,AG$2,1,1,$A22))</f>
        <v>8.7999999999999995E-2</v>
      </c>
      <c r="AH22" cm="1">
        <f t="array" aca="1" ref="AH22" ca="1">INDIRECT(ADDRESS(AH$1,AH$2,1,1,$A22))</f>
        <v>61.440399999999997</v>
      </c>
      <c r="AI22" cm="1">
        <f t="array" aca="1" ref="AI22" ca="1">INDIRECT(ADDRESS(AI$1,AI$2,1,1,$A22))</f>
        <v>-37.466299999999997</v>
      </c>
      <c r="AJ22" cm="1">
        <f t="array" aca="1" ref="AJ22" ca="1">INDIRECT(ADDRESS(AJ$1,AJ$2,1,1,$A22))</f>
        <v>7.1800000000000003E-2</v>
      </c>
      <c r="AK22" s="15" cm="1">
        <f t="array" aca="1" ref="AK22" ca="1">INDIRECT(ADDRESS(AK$1,AK$2,1,1,$A22))</f>
        <v>72.877300000000005</v>
      </c>
      <c r="AL22" s="15" cm="1">
        <f t="array" aca="1" ref="AL22" ca="1">INDIRECT(ADDRESS(AL$1,AL$2,1,1,$A22))</f>
        <v>73.712400000000002</v>
      </c>
      <c r="AM22" s="15" cm="1">
        <f t="array" aca="1" ref="AM22" ca="1">INDIRECT(ADDRESS(AM$1,AM$2,1,1,$A22))</f>
        <v>72.339299999999994</v>
      </c>
      <c r="AN22" s="15" cm="1">
        <f t="array" aca="1" ref="AN22" ca="1">INDIRECT(ADDRESS(AN$1,AN$2,1,1,$A22))</f>
        <v>71.962900000000005</v>
      </c>
      <c r="AO22" s="15" cm="1">
        <f t="array" aca="1" ref="AO22" ca="1">INDIRECT(ADDRESS(AO$1,AO$2,1,1,$A22))</f>
        <v>125.9293</v>
      </c>
      <c r="AP22" s="15" cm="1">
        <f t="array" aca="1" ref="AP22" ca="1">INDIRECT(ADDRESS(AP$1,AP$2,1,1,$A22))</f>
        <v>145.21360000000001</v>
      </c>
      <c r="AQ22" s="15" cm="1">
        <f t="array" aca="1" ref="AQ22" ca="1">INDIRECT(ADDRESS(AQ$1,AQ$2,1,1,$A22))</f>
        <v>74.990399999999994</v>
      </c>
      <c r="AR22" s="15" cm="1">
        <f t="array" aca="1" ref="AR22" ca="1">INDIRECT(ADDRESS(AR$1,AR$2,1,1,$A22))</f>
        <v>73.986400000000003</v>
      </c>
      <c r="AS22" s="15" cm="1">
        <f t="array" aca="1" ref="AS22" ca="1">INDIRECT(ADDRESS(AS$1,AS$2,1,1,$A22))</f>
        <v>145.67189999999999</v>
      </c>
      <c r="AT22" s="15" cm="1">
        <f t="array" aca="1" ref="AT22" ca="1">INDIRECT(ADDRESS(AT$1,AT$2,1,1,$A22))</f>
        <v>123.9217</v>
      </c>
      <c r="AV22" s="15">
        <f t="shared" ca="1" si="10"/>
        <v>-6.6632544815092842E-7</v>
      </c>
      <c r="AW22" s="15">
        <f t="shared" ca="1" si="11"/>
        <v>2.5192305741938981E-5</v>
      </c>
      <c r="AX22" s="15">
        <f t="shared" ca="1" si="12"/>
        <v>7.6473649670560917E-6</v>
      </c>
      <c r="AY22" s="15">
        <f t="shared" ca="1" si="13"/>
        <v>5.1646908815428105E-5</v>
      </c>
      <c r="AZ22" s="15">
        <f t="shared" ca="1" si="14"/>
        <v>-1.0809636847852744E-6</v>
      </c>
      <c r="BA22" s="15">
        <f t="shared" ca="1" si="15"/>
        <v>-6.0341202043900921E-5</v>
      </c>
      <c r="BB22" s="15">
        <f t="shared" ca="1" si="16"/>
        <v>1.1299313825929858E-5</v>
      </c>
      <c r="BC22" s="15">
        <f t="shared" ca="1" si="17"/>
        <v>-1.0672352357232739E-4</v>
      </c>
      <c r="BD22" s="15">
        <f t="shared" ca="1" si="18"/>
        <v>1.2118989553755455E-4</v>
      </c>
      <c r="BE22" s="15">
        <f t="shared" ca="1" si="19"/>
        <v>3.9012866693610704E-5</v>
      </c>
    </row>
    <row r="23" spans="1:57" x14ac:dyDescent="0.25">
      <c r="A23" t="s">
        <v>76</v>
      </c>
      <c r="B23" t="str" cm="1">
        <f t="array" aca="1" ref="B23" ca="1">LEFT(INDIRECT(ADDRESS(B$1,B$2,1,1,$A23)),FIND("-",INDIRECT(ADDRESS(B$1,B$2,1,1,$A23)))-1)</f>
        <v>P509</v>
      </c>
      <c r="C23" t="str" cm="1">
        <f t="array" aca="1" ref="C23" ca="1">RIGHT(INDIRECT(ADDRESS(B$1,B$2,1,1,$A23)),LEN(INDIRECT(ADDRESS(B$1,B$2,1,1,$A23)))-FIND("-",INDIRECT(ADDRESS(B$1,B$2,1,1,$A23))))</f>
        <v>south</v>
      </c>
      <c r="D23" s="10" cm="1">
        <f t="array" aca="1" ref="D23" ca="1">DATE(MID(INDIRECT(ADDRESS(D$1,D$2,1,1,$A23)),1,4),MID(INDIRECT(ADDRESS(D$1,D$2,1,1,$A23)),5,2),MID(INDIRECT(ADDRESS(D$1,D$2,1,1,$A23)),7,2))+TIME(MID(INDIRECT(ADDRESS(D$1,D$2,1,1,$A23)),10,2),MID(INDIRECT(ADDRESS(D$1,D$2,1,1,$A23)),12,2),0)</f>
        <v>44217.624305555553</v>
      </c>
      <c r="E23" cm="1">
        <f t="array" aca="1" ref="E23" ca="1">INDIRECT(ADDRESS(E$1,E$2,1,1,$A23))</f>
        <v>0</v>
      </c>
      <c r="F23" s="11" cm="1">
        <f t="array" aca="1" ref="F23" ca="1">VALUE(SUBSTITUTE(INDIRECT(ADDRESS(F$1,F$2,1,1,$A23)),"┬░C",""))</f>
        <v>20</v>
      </c>
      <c r="G23" s="12" cm="1">
        <f t="array" aca="1" ref="G23" ca="1">INDIRECT(ADDRESS(G$1,G$2,1,1,$A23))</f>
        <v>25.398599999999998</v>
      </c>
      <c r="H23" cm="1">
        <f t="array" aca="1" ref="H23" ca="1">INDIRECT(ADDRESS(H$1,H$2,1,1,$A23))</f>
        <v>25.4024</v>
      </c>
      <c r="I23" cm="1">
        <f t="array" aca="1" ref="I23" ca="1">INDIRECT(ADDRESS(I$1,I$2,1,1,$A23))</f>
        <v>25.401900000000001</v>
      </c>
      <c r="J23" cm="1">
        <f t="array" aca="1" ref="J23" ca="1">INDIRECT(ADDRESS(J$1,J$2,1,1,$A23))</f>
        <v>25.403199999999998</v>
      </c>
      <c r="K23" s="13" cm="1">
        <f t="array" aca="1" ref="K23" ca="1">INDIRECT(ADDRESS(K$1,K$2,1,1,$A23))</f>
        <v>25.402100000000001</v>
      </c>
      <c r="L23" s="14" cm="1">
        <f t="array" aca="1" ref="L23" ca="1">SQRT(SUMSQ(Y23:AA23-V23:X23))</f>
        <v>72.878038358410819</v>
      </c>
      <c r="M23" s="15" cm="1">
        <f t="array" aca="1" ref="M23" ca="1">SQRT(SUMSQ(AB23:AD23-V23:X23))</f>
        <v>73.711823057363063</v>
      </c>
      <c r="N23" s="15" cm="1">
        <f t="array" aca="1" ref="N23" ca="1">SQRT(SUMSQ(AE23:AG23-V23:X23))</f>
        <v>72.338479280255811</v>
      </c>
      <c r="O23" s="15" cm="1">
        <f t="array" aca="1" ref="O23" ca="1">SQRT(SUMSQ(AH23:AJ23-V23:X23))</f>
        <v>71.963312641025638</v>
      </c>
      <c r="P23" s="15" cm="1">
        <f t="array" aca="1" ref="P23" ca="1">SQRT(SUMSQ(AB23:AD23-Y23:AA23))</f>
        <v>125.92940113400842</v>
      </c>
      <c r="Q23" s="15" cm="1">
        <f t="array" aca="1" ref="Q23" ca="1">SQRT(SUMSQ(AE23:AG23-Y23:AA23))</f>
        <v>145.21358113685511</v>
      </c>
      <c r="R23" s="15" cm="1">
        <f t="array" aca="1" ref="R23" ca="1">SQRT(SUMSQ(AH23:AJ23-Y23:AA23))</f>
        <v>74.990895663006981</v>
      </c>
      <c r="S23" s="15" cm="1">
        <f t="array" aca="1" ref="S23" ca="1">SQRT(SUMSQ(AE23:AG23-AB23:AD23))</f>
        <v>73.985501662555492</v>
      </c>
      <c r="T23" s="15" cm="1">
        <f t="array" aca="1" ref="T23" ca="1">SQRT(SUMSQ(AH23:AJ23-AB23:AD23))</f>
        <v>145.67169324350562</v>
      </c>
      <c r="U23" s="16" cm="1">
        <f t="array" aca="1" ref="U23" ca="1">SQRT(SUMSQ(AH23:AJ23-AE23:AG23))</f>
        <v>123.92167320452867</v>
      </c>
      <c r="V23" cm="1">
        <f t="array" aca="1" ref="V23" ca="1">INDIRECT(ADDRESS(V$1,V$2,1,1,$A23))</f>
        <v>0</v>
      </c>
      <c r="W23" cm="1">
        <f t="array" aca="1" ref="W23" ca="1">INDIRECT(ADDRESS(W$1,W$2,1,1,$A23))</f>
        <v>0</v>
      </c>
      <c r="X23" cm="1">
        <f t="array" aca="1" ref="X23" ca="1">INDIRECT(ADDRESS(X$1,X$2,1,1,$A23))</f>
        <v>0</v>
      </c>
      <c r="Y23" cm="1">
        <f t="array" aca="1" ref="Y23" ca="1">INDIRECT(ADDRESS(Y$1,Y$2,1,1,$A23))</f>
        <v>62.479399999999998</v>
      </c>
      <c r="Z23" cm="1">
        <f t="array" aca="1" ref="Z23" ca="1">INDIRECT(ADDRESS(Z$1,Z$2,1,1,$A23))</f>
        <v>37.517000000000003</v>
      </c>
      <c r="AA23" cm="1">
        <f t="array" aca="1" ref="AA23" ca="1">INDIRECT(ADDRESS(AA$1,AA$2,1,1,$A23))</f>
        <v>8.8099999999999998E-2</v>
      </c>
      <c r="AB23" cm="1">
        <f t="array" aca="1" ref="AB23" ca="1">INDIRECT(ADDRESS(AB$1,AB$2,1,1,$A23))</f>
        <v>-63.45</v>
      </c>
      <c r="AC23" cm="1">
        <f t="array" aca="1" ref="AC23" ca="1">INDIRECT(ADDRESS(AC$1,AC$2,1,1,$A23))</f>
        <v>37.517000000000003</v>
      </c>
      <c r="AD23" cm="1">
        <f t="array" aca="1" ref="AD23" ca="1">INDIRECT(ADDRESS(AD$1,AD$2,1,1,$A23))</f>
        <v>7.1199999999999999E-2</v>
      </c>
      <c r="AE23" cm="1">
        <f t="array" aca="1" ref="AE23" ca="1">INDIRECT(ADDRESS(AE$1,AE$2,1,1,$A23))</f>
        <v>-62.476900000000001</v>
      </c>
      <c r="AF23" cm="1">
        <f t="array" aca="1" ref="AF23" ca="1">INDIRECT(ADDRESS(AF$1,AF$2,1,1,$A23))</f>
        <v>-36.4621</v>
      </c>
      <c r="AG23" cm="1">
        <f t="array" aca="1" ref="AG23" ca="1">INDIRECT(ADDRESS(AG$1,AG$2,1,1,$A23))</f>
        <v>8.8400000000000006E-2</v>
      </c>
      <c r="AH23" cm="1">
        <f t="array" aca="1" ref="AH23" ca="1">INDIRECT(ADDRESS(AH$1,AH$2,1,1,$A23))</f>
        <v>61.4407</v>
      </c>
      <c r="AI23" cm="1">
        <f t="array" aca="1" ref="AI23" ca="1">INDIRECT(ADDRESS(AI$1,AI$2,1,1,$A23))</f>
        <v>-37.466700000000003</v>
      </c>
      <c r="AJ23" cm="1">
        <f t="array" aca="1" ref="AJ23" ca="1">INDIRECT(ADDRESS(AJ$1,AJ$2,1,1,$A23))</f>
        <v>7.17E-2</v>
      </c>
      <c r="AK23" s="15" cm="1">
        <f t="array" aca="1" ref="AK23" ca="1">INDIRECT(ADDRESS(AK$1,AK$2,1,1,$A23))</f>
        <v>72.878</v>
      </c>
      <c r="AL23" s="15" cm="1">
        <f t="array" aca="1" ref="AL23" ca="1">INDIRECT(ADDRESS(AL$1,AL$2,1,1,$A23))</f>
        <v>73.711799999999997</v>
      </c>
      <c r="AM23" s="15" cm="1">
        <f t="array" aca="1" ref="AM23" ca="1">INDIRECT(ADDRESS(AM$1,AM$2,1,1,$A23))</f>
        <v>72.338499999999996</v>
      </c>
      <c r="AN23" s="15" cm="1">
        <f t="array" aca="1" ref="AN23" ca="1">INDIRECT(ADDRESS(AN$1,AN$2,1,1,$A23))</f>
        <v>71.963300000000004</v>
      </c>
      <c r="AO23" s="15" cm="1">
        <f t="array" aca="1" ref="AO23" ca="1">INDIRECT(ADDRESS(AO$1,AO$2,1,1,$A23))</f>
        <v>125.9294</v>
      </c>
      <c r="AP23" s="15" cm="1">
        <f t="array" aca="1" ref="AP23" ca="1">INDIRECT(ADDRESS(AP$1,AP$2,1,1,$A23))</f>
        <v>145.21360000000001</v>
      </c>
      <c r="AQ23" s="15" cm="1">
        <f t="array" aca="1" ref="AQ23" ca="1">INDIRECT(ADDRESS(AQ$1,AQ$2,1,1,$A23))</f>
        <v>74.990899999999996</v>
      </c>
      <c r="AR23" s="15" cm="1">
        <f t="array" aca="1" ref="AR23" ca="1">INDIRECT(ADDRESS(AR$1,AR$2,1,1,$A23))</f>
        <v>73.985500000000002</v>
      </c>
      <c r="AS23" s="15" cm="1">
        <f t="array" aca="1" ref="AS23" ca="1">INDIRECT(ADDRESS(AS$1,AS$2,1,1,$A23))</f>
        <v>145.67169999999999</v>
      </c>
      <c r="AT23" s="15" cm="1">
        <f t="array" aca="1" ref="AT23" ca="1">INDIRECT(ADDRESS(AT$1,AT$2,1,1,$A23))</f>
        <v>123.9217</v>
      </c>
      <c r="AV23" s="15">
        <f t="shared" ca="1" si="10"/>
        <v>-3.8358410819228084E-5</v>
      </c>
      <c r="AW23" s="15">
        <f t="shared" ca="1" si="11"/>
        <v>-2.305736306595918E-5</v>
      </c>
      <c r="AX23" s="15">
        <f t="shared" ca="1" si="12"/>
        <v>2.0719744185271338E-5</v>
      </c>
      <c r="AY23" s="15">
        <f t="shared" ca="1" si="13"/>
        <v>-1.2641025634252401E-5</v>
      </c>
      <c r="AZ23" s="15">
        <f t="shared" ca="1" si="14"/>
        <v>-1.1340084142830165E-6</v>
      </c>
      <c r="BA23" s="15">
        <f t="shared" ca="1" si="15"/>
        <v>1.8863144902070417E-5</v>
      </c>
      <c r="BB23" s="15">
        <f t="shared" ca="1" si="16"/>
        <v>4.3369930153858149E-6</v>
      </c>
      <c r="BC23" s="15">
        <f t="shared" ca="1" si="17"/>
        <v>-1.6625554906113393E-6</v>
      </c>
      <c r="BD23" s="15">
        <f t="shared" ca="1" si="18"/>
        <v>6.756494371984445E-6</v>
      </c>
      <c r="BE23" s="15">
        <f t="shared" ca="1" si="19"/>
        <v>2.6795471328000531E-5</v>
      </c>
    </row>
    <row r="24" spans="1:57" x14ac:dyDescent="0.25">
      <c r="A24" t="s">
        <v>78</v>
      </c>
      <c r="B24" t="str" cm="1">
        <f t="array" aca="1" ref="B24" ca="1">LEFT(INDIRECT(ADDRESS(B$1,B$2,1,1,$A24)),FIND("-",INDIRECT(ADDRESS(B$1,B$2,1,1,$A24)))-1)</f>
        <v>P509</v>
      </c>
      <c r="C24" t="str" cm="1">
        <f t="array" aca="1" ref="C24" ca="1">RIGHT(INDIRECT(ADDRESS(B$1,B$2,1,1,$A24)),LEN(INDIRECT(ADDRESS(B$1,B$2,1,1,$A24)))-FIND("-",INDIRECT(ADDRESS(B$1,B$2,1,1,$A24))))</f>
        <v>south</v>
      </c>
      <c r="D24" s="10" cm="1">
        <f t="array" aca="1" ref="D24" ca="1">DATE(MID(INDIRECT(ADDRESS(D$1,D$2,1,1,$A24)),1,4),MID(INDIRECT(ADDRESS(D$1,D$2,1,1,$A24)),5,2),MID(INDIRECT(ADDRESS(D$1,D$2,1,1,$A24)),7,2))+TIME(MID(INDIRECT(ADDRESS(D$1,D$2,1,1,$A24)),10,2),MID(INDIRECT(ADDRESS(D$1,D$2,1,1,$A24)),12,2),0)</f>
        <v>44217.627083333333</v>
      </c>
      <c r="E24" cm="1">
        <f t="array" aca="1" ref="E24" ca="1">INDIRECT(ADDRESS(E$1,E$2,1,1,$A24))</f>
        <v>0</v>
      </c>
      <c r="F24" s="11" cm="1">
        <f t="array" aca="1" ref="F24" ca="1">VALUE(SUBSTITUTE(INDIRECT(ADDRESS(F$1,F$2,1,1,$A24)),"┬░C",""))</f>
        <v>20</v>
      </c>
      <c r="G24" s="12" cm="1">
        <f t="array" aca="1" ref="G24" ca="1">INDIRECT(ADDRESS(G$1,G$2,1,1,$A24))</f>
        <v>25.398700000000002</v>
      </c>
      <c r="H24" cm="1">
        <f t="array" aca="1" ref="H24" ca="1">INDIRECT(ADDRESS(H$1,H$2,1,1,$A24))</f>
        <v>25.401599999999998</v>
      </c>
      <c r="I24" cm="1">
        <f t="array" aca="1" ref="I24" ca="1">INDIRECT(ADDRESS(I$1,I$2,1,1,$A24))</f>
        <v>25.401599999999998</v>
      </c>
      <c r="J24" cm="1">
        <f t="array" aca="1" ref="J24" ca="1">INDIRECT(ADDRESS(J$1,J$2,1,1,$A24))</f>
        <v>25.403600000000001</v>
      </c>
      <c r="K24" s="13" cm="1">
        <f t="array" aca="1" ref="K24" ca="1">INDIRECT(ADDRESS(K$1,K$2,1,1,$A24))</f>
        <v>25.401800000000001</v>
      </c>
      <c r="L24" s="14" cm="1">
        <f t="array" aca="1" ref="L24" ca="1">SQRT(SUMSQ(Y24:AA24-V24:X24))</f>
        <v>72.8774557483314</v>
      </c>
      <c r="M24" s="15" cm="1">
        <f t="array" aca="1" ref="M24" ca="1">SQRT(SUMSQ(AB24:AD24-V24:X24))</f>
        <v>73.711842912045014</v>
      </c>
      <c r="N24" s="15" cm="1">
        <f t="array" aca="1" ref="N24" ca="1">SQRT(SUMSQ(AE24:AG24-V24:X24))</f>
        <v>72.339106341521813</v>
      </c>
      <c r="O24" s="15" cm="1">
        <f t="array" aca="1" ref="O24" ca="1">SQRT(SUMSQ(AH24:AJ24-V24:X24))</f>
        <v>71.963592111080729</v>
      </c>
      <c r="P24" s="15" cm="1">
        <f t="array" aca="1" ref="P24" ca="1">SQRT(SUMSQ(AB24:AD24-Y24:AA24))</f>
        <v>125.92910113401112</v>
      </c>
      <c r="Q24" s="15" cm="1">
        <f t="array" aca="1" ref="Q24" ca="1">SQRT(SUMSQ(AE24:AG24-Y24:AA24))</f>
        <v>145.21363766168795</v>
      </c>
      <c r="R24" s="15" cm="1">
        <f t="array" aca="1" ref="R24" ca="1">SQRT(SUMSQ(AH24:AJ24-Y24:AA24))</f>
        <v>74.99129008531591</v>
      </c>
      <c r="S24" s="15" cm="1">
        <f t="array" aca="1" ref="S24" ca="1">SQRT(SUMSQ(AE24:AG24-AB24:AD24))</f>
        <v>73.987310693523639</v>
      </c>
      <c r="T24" s="15" cm="1">
        <f t="array" aca="1" ref="T24" ca="1">SQRT(SUMSQ(AH24:AJ24-AB24:AD24))</f>
        <v>145.67198487595343</v>
      </c>
      <c r="U24" s="16" cm="1">
        <f t="array" aca="1" ref="U24" ca="1">SQRT(SUMSQ(AH24:AJ24-AE24:AG24))</f>
        <v>123.92106186923996</v>
      </c>
      <c r="V24" cm="1">
        <f t="array" aca="1" ref="V24" ca="1">INDIRECT(ADDRESS(V$1,V$2,1,1,$A24))</f>
        <v>0</v>
      </c>
      <c r="W24" cm="1">
        <f t="array" aca="1" ref="W24" ca="1">INDIRECT(ADDRESS(W$1,W$2,1,1,$A24))</f>
        <v>0</v>
      </c>
      <c r="X24" cm="1">
        <f t="array" aca="1" ref="X24" ca="1">INDIRECT(ADDRESS(X$1,X$2,1,1,$A24))</f>
        <v>0</v>
      </c>
      <c r="Y24" cm="1">
        <f t="array" aca="1" ref="Y24" ca="1">INDIRECT(ADDRESS(Y$1,Y$2,1,1,$A24))</f>
        <v>62.478900000000003</v>
      </c>
      <c r="Z24" cm="1">
        <f t="array" aca="1" ref="Z24" ca="1">INDIRECT(ADDRESS(Z$1,Z$2,1,1,$A24))</f>
        <v>37.5167</v>
      </c>
      <c r="AA24" cm="1">
        <f t="array" aca="1" ref="AA24" ca="1">INDIRECT(ADDRESS(AA$1,AA$2,1,1,$A24))</f>
        <v>8.8499999999999995E-2</v>
      </c>
      <c r="AB24" cm="1">
        <f t="array" aca="1" ref="AB24" ca="1">INDIRECT(ADDRESS(AB$1,AB$2,1,1,$A24))</f>
        <v>-63.450200000000002</v>
      </c>
      <c r="AC24" cm="1">
        <f t="array" aca="1" ref="AC24" ca="1">INDIRECT(ADDRESS(AC$1,AC$2,1,1,$A24))</f>
        <v>37.5167</v>
      </c>
      <c r="AD24" cm="1">
        <f t="array" aca="1" ref="AD24" ca="1">INDIRECT(ADDRESS(AD$1,AD$2,1,1,$A24))</f>
        <v>7.1599999999999997E-2</v>
      </c>
      <c r="AE24" cm="1">
        <f t="array" aca="1" ref="AE24" ca="1">INDIRECT(ADDRESS(AE$1,AE$2,1,1,$A24))</f>
        <v>-62.476399999999998</v>
      </c>
      <c r="AF24" cm="1">
        <f t="array" aca="1" ref="AF24" ca="1">INDIRECT(ADDRESS(AF$1,AF$2,1,1,$A24))</f>
        <v>-36.464199999999998</v>
      </c>
      <c r="AG24" cm="1">
        <f t="array" aca="1" ref="AG24" ca="1">INDIRECT(ADDRESS(AG$1,AG$2,1,1,$A24))</f>
        <v>8.8700000000000001E-2</v>
      </c>
      <c r="AH24" cm="1">
        <f t="array" aca="1" ref="AH24" ca="1">INDIRECT(ADDRESS(AH$1,AH$2,1,1,$A24))</f>
        <v>61.440600000000003</v>
      </c>
      <c r="AI24" cm="1">
        <f t="array" aca="1" ref="AI24" ca="1">INDIRECT(ADDRESS(AI$1,AI$2,1,1,$A24))</f>
        <v>-37.467399999999998</v>
      </c>
      <c r="AJ24" cm="1">
        <f t="array" aca="1" ref="AJ24" ca="1">INDIRECT(ADDRESS(AJ$1,AJ$2,1,1,$A24))</f>
        <v>7.2099999999999997E-2</v>
      </c>
      <c r="AK24" s="15" cm="1">
        <f t="array" aca="1" ref="AK24" ca="1">INDIRECT(ADDRESS(AK$1,AK$2,1,1,$A24))</f>
        <v>72.877399999999994</v>
      </c>
      <c r="AL24" s="15" cm="1">
        <f t="array" aca="1" ref="AL24" ca="1">INDIRECT(ADDRESS(AL$1,AL$2,1,1,$A24))</f>
        <v>73.711799999999997</v>
      </c>
      <c r="AM24" s="15" cm="1">
        <f t="array" aca="1" ref="AM24" ca="1">INDIRECT(ADDRESS(AM$1,AM$2,1,1,$A24))</f>
        <v>72.339100000000002</v>
      </c>
      <c r="AN24" s="15" cm="1">
        <f t="array" aca="1" ref="AN24" ca="1">INDIRECT(ADDRESS(AN$1,AN$2,1,1,$A24))</f>
        <v>71.963499999999996</v>
      </c>
      <c r="AO24" s="15" cm="1">
        <f t="array" aca="1" ref="AO24" ca="1">INDIRECT(ADDRESS(AO$1,AO$2,1,1,$A24))</f>
        <v>125.92910000000001</v>
      </c>
      <c r="AP24" s="15" cm="1">
        <f t="array" aca="1" ref="AP24" ca="1">INDIRECT(ADDRESS(AP$1,AP$2,1,1,$A24))</f>
        <v>145.21360000000001</v>
      </c>
      <c r="AQ24" s="15" cm="1">
        <f t="array" aca="1" ref="AQ24" ca="1">INDIRECT(ADDRESS(AQ$1,AQ$2,1,1,$A24))</f>
        <v>74.991200000000006</v>
      </c>
      <c r="AR24" s="15" cm="1">
        <f t="array" aca="1" ref="AR24" ca="1">INDIRECT(ADDRESS(AR$1,AR$2,1,1,$A24))</f>
        <v>73.987200000000001</v>
      </c>
      <c r="AS24" s="15" cm="1">
        <f t="array" aca="1" ref="AS24" ca="1">INDIRECT(ADDRESS(AS$1,AS$2,1,1,$A24))</f>
        <v>145.67189999999999</v>
      </c>
      <c r="AT24" s="15" cm="1">
        <f t="array" aca="1" ref="AT24" ca="1">INDIRECT(ADDRESS(AT$1,AT$2,1,1,$A24))</f>
        <v>123.92100000000001</v>
      </c>
      <c r="AV24" s="15">
        <f t="shared" ca="1" si="10"/>
        <v>-5.5748331405425233E-5</v>
      </c>
      <c r="AW24" s="15">
        <f t="shared" ca="1" si="11"/>
        <v>-4.2912045017828859E-5</v>
      </c>
      <c r="AX24" s="15">
        <f t="shared" ca="1" si="12"/>
        <v>-6.3415218107820692E-6</v>
      </c>
      <c r="AY24" s="15">
        <f t="shared" ca="1" si="13"/>
        <v>-9.2111080732593109E-5</v>
      </c>
      <c r="AZ24" s="15">
        <f t="shared" ca="1" si="14"/>
        <v>-1.1340111143454124E-6</v>
      </c>
      <c r="BA24" s="15">
        <f t="shared" ca="1" si="15"/>
        <v>-3.7661687940726551E-5</v>
      </c>
      <c r="BB24" s="15">
        <f t="shared" ca="1" si="16"/>
        <v>-9.0085315903820629E-5</v>
      </c>
      <c r="BC24" s="15">
        <f t="shared" ca="1" si="17"/>
        <v>-1.1069352363790586E-4</v>
      </c>
      <c r="BD24" s="15">
        <f t="shared" ca="1" si="18"/>
        <v>-8.4875953433538598E-5</v>
      </c>
      <c r="BE24" s="15">
        <f t="shared" ca="1" si="19"/>
        <v>-6.1869239956990896E-5</v>
      </c>
    </row>
    <row r="25" spans="1:57" x14ac:dyDescent="0.25">
      <c r="A25" t="s">
        <v>50</v>
      </c>
      <c r="B25" t="str" cm="1">
        <f t="array" aca="1" ref="B25" ca="1">LEFT(INDIRECT(ADDRESS(B$1,B$2,1,1,$A25)),FIND("-",INDIRECT(ADDRESS(B$1,B$2,1,1,$A25)))-1)</f>
        <v>P509</v>
      </c>
      <c r="C25" t="str" cm="1">
        <f t="array" aca="1" ref="C25" ca="1">RIGHT(INDIRECT(ADDRESS(B$1,B$2,1,1,$A25)),LEN(INDIRECT(ADDRESS(B$1,B$2,1,1,$A25)))-FIND("-",INDIRECT(ADDRESS(B$1,B$2,1,1,$A25))))</f>
        <v>east</v>
      </c>
      <c r="D25" s="10" cm="1">
        <f t="array" aca="1" ref="D25" ca="1">DATE(MID(INDIRECT(ADDRESS(D$1,D$2,1,1,$A25)),1,4),MID(INDIRECT(ADDRESS(D$1,D$2,1,1,$A25)),5,2),MID(INDIRECT(ADDRESS(D$1,D$2,1,1,$A25)),7,2))+TIME(MID(INDIRECT(ADDRESS(D$1,D$2,1,1,$A25)),10,2),MID(INDIRECT(ADDRESS(D$1,D$2,1,1,$A25)),12,2),0)</f>
        <v>44217.630555555559</v>
      </c>
      <c r="E25" cm="1">
        <f t="array" aca="1" ref="E25" ca="1">INDIRECT(ADDRESS(E$1,E$2,1,1,$A25))</f>
        <v>0</v>
      </c>
      <c r="F25" s="11" cm="1">
        <f t="array" aca="1" ref="F25" ca="1">VALUE(SUBSTITUTE(INDIRECT(ADDRESS(F$1,F$2,1,1,$A25)),"┬░C",""))</f>
        <v>20</v>
      </c>
      <c r="G25" s="12" cm="1">
        <f t="array" aca="1" ref="G25" ca="1">INDIRECT(ADDRESS(G$1,G$2,1,1,$A25))</f>
        <v>25.3979</v>
      </c>
      <c r="H25" cm="1">
        <f t="array" aca="1" ref="H25" ca="1">INDIRECT(ADDRESS(H$1,H$2,1,1,$A25))</f>
        <v>25.401800000000001</v>
      </c>
      <c r="I25" cm="1">
        <f t="array" aca="1" ref="I25" ca="1">INDIRECT(ADDRESS(I$1,I$2,1,1,$A25))</f>
        <v>25.4008</v>
      </c>
      <c r="J25" cm="1">
        <f t="array" aca="1" ref="J25" ca="1">INDIRECT(ADDRESS(J$1,J$2,1,1,$A25))</f>
        <v>25.403199999999998</v>
      </c>
      <c r="K25" s="13" cm="1">
        <f t="array" aca="1" ref="K25" ca="1">INDIRECT(ADDRESS(K$1,K$2,1,1,$A25))</f>
        <v>25.401499999999999</v>
      </c>
      <c r="L25" s="14" cm="1">
        <f t="array" aca="1" ref="L25" ca="1">SQRT(SUMSQ(Y25:AA25-V25:X25))</f>
        <v>72.877969532225578</v>
      </c>
      <c r="M25" s="15" cm="1">
        <f t="array" aca="1" ref="M25" ca="1">SQRT(SUMSQ(AB25:AD25-V25:X25))</f>
        <v>73.71287537506592</v>
      </c>
      <c r="N25" s="15" cm="1">
        <f t="array" aca="1" ref="N25" ca="1">SQRT(SUMSQ(AE25:AG25-V25:X25))</f>
        <v>72.339587498063594</v>
      </c>
      <c r="O25" s="15" cm="1">
        <f t="array" aca="1" ref="O25" ca="1">SQRT(SUMSQ(AH25:AJ25-V25:X25))</f>
        <v>71.963029200485991</v>
      </c>
      <c r="P25" s="15" cm="1">
        <f t="array" aca="1" ref="P25" ca="1">SQRT(SUMSQ(AB25:AD25-Y25:AA25))</f>
        <v>125.93090113399491</v>
      </c>
      <c r="Q25" s="15" cm="1">
        <f t="array" aca="1" ref="Q25" ca="1">SQRT(SUMSQ(AE25:AG25-Y25:AA25))</f>
        <v>145.21461716676458</v>
      </c>
      <c r="R25" s="15" cm="1">
        <f t="array" aca="1" ref="R25" ca="1">SQRT(SUMSQ(AH25:AJ25-Y25:AA25))</f>
        <v>74.989391674089475</v>
      </c>
      <c r="S25" s="15" cm="1">
        <f t="array" aca="1" ref="S25" ca="1">SQRT(SUMSQ(AE25:AG25-AB25:AD25))</f>
        <v>73.985001705818732</v>
      </c>
      <c r="T25" s="15" cm="1">
        <f t="array" aca="1" ref="T25" ca="1">SQRT(SUMSQ(AH25:AJ25-AB25:AD25))</f>
        <v>145.6724643618347</v>
      </c>
      <c r="U25" s="16" cm="1">
        <f t="array" aca="1" ref="U25" ca="1">SQRT(SUMSQ(AH25:AJ25-AE25:AG25))</f>
        <v>123.92346505629996</v>
      </c>
      <c r="V25" cm="1">
        <f t="array" aca="1" ref="V25" ca="1">INDIRECT(ADDRESS(V$1,V$2,1,1,$A25))</f>
        <v>0</v>
      </c>
      <c r="W25" cm="1">
        <f t="array" aca="1" ref="W25" ca="1">INDIRECT(ADDRESS(W$1,W$2,1,1,$A25))</f>
        <v>0</v>
      </c>
      <c r="X25" cm="1">
        <f t="array" aca="1" ref="X25" ca="1">INDIRECT(ADDRESS(X$1,X$2,1,1,$A25))</f>
        <v>0</v>
      </c>
      <c r="Y25" cm="1">
        <f t="array" aca="1" ref="Y25" ca="1">INDIRECT(ADDRESS(Y$1,Y$2,1,1,$A25))</f>
        <v>62.479500000000002</v>
      </c>
      <c r="Z25" cm="1">
        <f t="array" aca="1" ref="Z25" ca="1">INDIRECT(ADDRESS(Z$1,Z$2,1,1,$A25))</f>
        <v>37.5167</v>
      </c>
      <c r="AA25" cm="1">
        <f t="array" aca="1" ref="AA25" ca="1">INDIRECT(ADDRESS(AA$1,AA$2,1,1,$A25))</f>
        <v>8.7999999999999995E-2</v>
      </c>
      <c r="AB25" cm="1">
        <f t="array" aca="1" ref="AB25" ca="1">INDIRECT(ADDRESS(AB$1,AB$2,1,1,$A25))</f>
        <v>-63.4514</v>
      </c>
      <c r="AC25" cm="1">
        <f t="array" aca="1" ref="AC25" ca="1">INDIRECT(ADDRESS(AC$1,AC$2,1,1,$A25))</f>
        <v>37.5167</v>
      </c>
      <c r="AD25" cm="1">
        <f t="array" aca="1" ref="AD25" ca="1">INDIRECT(ADDRESS(AD$1,AD$2,1,1,$A25))</f>
        <v>7.1099999999999997E-2</v>
      </c>
      <c r="AE25" cm="1">
        <f t="array" aca="1" ref="AE25" ca="1">INDIRECT(ADDRESS(AE$1,AE$2,1,1,$A25))</f>
        <v>-62.478299999999997</v>
      </c>
      <c r="AF25" cm="1">
        <f t="array" aca="1" ref="AF25" ca="1">INDIRECT(ADDRESS(AF$1,AF$2,1,1,$A25))</f>
        <v>-36.4619</v>
      </c>
      <c r="AG25" cm="1">
        <f t="array" aca="1" ref="AG25" ca="1">INDIRECT(ADDRESS(AG$1,AG$2,1,1,$A25))</f>
        <v>8.8300000000000003E-2</v>
      </c>
      <c r="AH25" cm="1">
        <f t="array" aca="1" ref="AH25" ca="1">INDIRECT(ADDRESS(AH$1,AH$2,1,1,$A25))</f>
        <v>61.441099999999999</v>
      </c>
      <c r="AI25" cm="1">
        <f t="array" aca="1" ref="AI25" ca="1">INDIRECT(ADDRESS(AI$1,AI$2,1,1,$A25))</f>
        <v>-37.465499999999999</v>
      </c>
      <c r="AJ25" cm="1">
        <f t="array" aca="1" ref="AJ25" ca="1">INDIRECT(ADDRESS(AJ$1,AJ$2,1,1,$A25))</f>
        <v>7.1499999999999994E-2</v>
      </c>
      <c r="AK25" s="15" cm="1">
        <f t="array" aca="1" ref="AK25" ca="1">INDIRECT(ADDRESS(AK$1,AK$2,1,1,$A25))</f>
        <v>72.878</v>
      </c>
      <c r="AL25" s="15" cm="1">
        <f t="array" aca="1" ref="AL25" ca="1">INDIRECT(ADDRESS(AL$1,AL$2,1,1,$A25))</f>
        <v>73.712900000000005</v>
      </c>
      <c r="AM25" s="15" cm="1">
        <f t="array" aca="1" ref="AM25" ca="1">INDIRECT(ADDRESS(AM$1,AM$2,1,1,$A25))</f>
        <v>72.339500000000001</v>
      </c>
      <c r="AN25" s="15" cm="1">
        <f t="array" aca="1" ref="AN25" ca="1">INDIRECT(ADDRESS(AN$1,AN$2,1,1,$A25))</f>
        <v>71.962999999999994</v>
      </c>
      <c r="AO25" s="15" cm="1">
        <f t="array" aca="1" ref="AO25" ca="1">INDIRECT(ADDRESS(AO$1,AO$2,1,1,$A25))</f>
        <v>125.93089999999999</v>
      </c>
      <c r="AP25" s="15" cm="1">
        <f t="array" aca="1" ref="AP25" ca="1">INDIRECT(ADDRESS(AP$1,AP$2,1,1,$A25))</f>
        <v>145.21459999999999</v>
      </c>
      <c r="AQ25" s="15" cm="1">
        <f t="array" aca="1" ref="AQ25" ca="1">INDIRECT(ADDRESS(AQ$1,AQ$2,1,1,$A25))</f>
        <v>74.989400000000003</v>
      </c>
      <c r="AR25" s="15" cm="1">
        <f t="array" aca="1" ref="AR25" ca="1">INDIRECT(ADDRESS(AR$1,AR$2,1,1,$A25))</f>
        <v>73.984999999999999</v>
      </c>
      <c r="AS25" s="15" cm="1">
        <f t="array" aca="1" ref="AS25" ca="1">INDIRECT(ADDRESS(AS$1,AS$2,1,1,$A25))</f>
        <v>145.67250000000001</v>
      </c>
      <c r="AT25" s="15" cm="1">
        <f t="array" aca="1" ref="AT25" ca="1">INDIRECT(ADDRESS(AT$1,AT$2,1,1,$A25))</f>
        <v>123.9234</v>
      </c>
      <c r="AV25" s="15">
        <f t="shared" ca="1" si="10"/>
        <v>3.046777442250459E-5</v>
      </c>
      <c r="AW25" s="15">
        <f t="shared" ca="1" si="11"/>
        <v>2.4624934084727101E-5</v>
      </c>
      <c r="AX25" s="15">
        <f t="shared" ca="1" si="12"/>
        <v>-8.7498063592761355E-5</v>
      </c>
      <c r="AY25" s="15">
        <f t="shared" ca="1" si="13"/>
        <v>-2.9200485997193937E-5</v>
      </c>
      <c r="AZ25" s="15">
        <f t="shared" ca="1" si="14"/>
        <v>-1.133994913971037E-6</v>
      </c>
      <c r="BA25" s="15">
        <f t="shared" ca="1" si="15"/>
        <v>-1.7166764592957406E-5</v>
      </c>
      <c r="BB25" s="15">
        <f t="shared" ca="1" si="16"/>
        <v>8.3259105281285883E-6</v>
      </c>
      <c r="BC25" s="15">
        <f t="shared" ca="1" si="17"/>
        <v>-1.705818732489206E-6</v>
      </c>
      <c r="BD25" s="15">
        <f t="shared" ca="1" si="18"/>
        <v>3.563816531482189E-5</v>
      </c>
      <c r="BE25" s="15">
        <f t="shared" ca="1" si="19"/>
        <v>-6.5056299959564967E-5</v>
      </c>
    </row>
    <row r="26" spans="1:57" x14ac:dyDescent="0.25">
      <c r="A26" t="s">
        <v>52</v>
      </c>
      <c r="B26" t="str" cm="1">
        <f t="array" aca="1" ref="B26" ca="1">LEFT(INDIRECT(ADDRESS(B$1,B$2,1,1,$A26)),FIND("-",INDIRECT(ADDRESS(B$1,B$2,1,1,$A26)))-1)</f>
        <v>P509</v>
      </c>
      <c r="C26" t="str" cm="1">
        <f t="array" aca="1" ref="C26" ca="1">RIGHT(INDIRECT(ADDRESS(B$1,B$2,1,1,$A26)),LEN(INDIRECT(ADDRESS(B$1,B$2,1,1,$A26)))-FIND("-",INDIRECT(ADDRESS(B$1,B$2,1,1,$A26))))</f>
        <v>east</v>
      </c>
      <c r="D26" s="10" cm="1">
        <f t="array" aca="1" ref="D26" ca="1">DATE(MID(INDIRECT(ADDRESS(D$1,D$2,1,1,$A26)),1,4),MID(INDIRECT(ADDRESS(D$1,D$2,1,1,$A26)),5,2),MID(INDIRECT(ADDRESS(D$1,D$2,1,1,$A26)),7,2))+TIME(MID(INDIRECT(ADDRESS(D$1,D$2,1,1,$A26)),10,2),MID(INDIRECT(ADDRESS(D$1,D$2,1,1,$A26)),12,2),0)</f>
        <v>44217.632638888892</v>
      </c>
      <c r="E26" cm="1">
        <f t="array" aca="1" ref="E26" ca="1">INDIRECT(ADDRESS(E$1,E$2,1,1,$A26))</f>
        <v>0</v>
      </c>
      <c r="F26" s="11" cm="1">
        <f t="array" aca="1" ref="F26" ca="1">VALUE(SUBSTITUTE(INDIRECT(ADDRESS(F$1,F$2,1,1,$A26)),"┬░C",""))</f>
        <v>20</v>
      </c>
      <c r="G26" s="12" cm="1">
        <f t="array" aca="1" ref="G26" ca="1">INDIRECT(ADDRESS(G$1,G$2,1,1,$A26))</f>
        <v>25.3979</v>
      </c>
      <c r="H26" cm="1">
        <f t="array" aca="1" ref="H26" ca="1">INDIRECT(ADDRESS(H$1,H$2,1,1,$A26))</f>
        <v>25.401700000000002</v>
      </c>
      <c r="I26" cm="1">
        <f t="array" aca="1" ref="I26" ca="1">INDIRECT(ADDRESS(I$1,I$2,1,1,$A26))</f>
        <v>25.401199999999999</v>
      </c>
      <c r="J26" cm="1">
        <f t="array" aca="1" ref="J26" ca="1">INDIRECT(ADDRESS(J$1,J$2,1,1,$A26))</f>
        <v>25.402799999999999</v>
      </c>
      <c r="K26" s="13" cm="1">
        <f t="array" aca="1" ref="K26" ca="1">INDIRECT(ADDRESS(K$1,K$2,1,1,$A26))</f>
        <v>25.401599999999998</v>
      </c>
      <c r="L26" s="14" cm="1">
        <f t="array" aca="1" ref="L26" ca="1">SQRT(SUMSQ(Y26:AA26-V26:X26))</f>
        <v>72.879598392760101</v>
      </c>
      <c r="M26" s="15" cm="1">
        <f t="array" aca="1" ref="M26" ca="1">SQRT(SUMSQ(AB26:AD26-V26:X26))</f>
        <v>73.712441515391419</v>
      </c>
      <c r="N26" s="15" cm="1">
        <f t="array" aca="1" ref="N26" ca="1">SQRT(SUMSQ(AE26:AG26-V26:X26))</f>
        <v>72.338492958175451</v>
      </c>
      <c r="O26" s="15" cm="1">
        <f t="array" aca="1" ref="O26" ca="1">SQRT(SUMSQ(AH26:AJ26-V26:X26))</f>
        <v>71.963341973743823</v>
      </c>
      <c r="P26" s="15" cm="1">
        <f t="array" aca="1" ref="P26" ca="1">SQRT(SUMSQ(AB26:AD26-Y26:AA26))</f>
        <v>125.93170106788045</v>
      </c>
      <c r="Q26" s="15" cm="1">
        <f t="array" aca="1" ref="Q26" ca="1">SQRT(SUMSQ(AE26:AG26-Y26:AA26))</f>
        <v>145.21515273858304</v>
      </c>
      <c r="R26" s="15" cm="1">
        <f t="array" aca="1" ref="R26" ca="1">SQRT(SUMSQ(AH26:AJ26-Y26:AA26))</f>
        <v>74.990513611389545</v>
      </c>
      <c r="S26" s="15" cm="1">
        <f t="array" aca="1" ref="S26" ca="1">SQRT(SUMSQ(AE26:AG26-AB26:AD26))</f>
        <v>73.984701594721599</v>
      </c>
      <c r="T26" s="15" cm="1">
        <f t="array" aca="1" ref="T26" ca="1">SQRT(SUMSQ(AH26:AJ26-AB26:AD26))</f>
        <v>145.67234469188034</v>
      </c>
      <c r="U26" s="16" cm="1">
        <f t="array" aca="1" ref="U26" ca="1">SQRT(SUMSQ(AH26:AJ26-AE26:AG26))</f>
        <v>123.92267633556821</v>
      </c>
      <c r="V26" cm="1">
        <f t="array" aca="1" ref="V26" ca="1">INDIRECT(ADDRESS(V$1,V$2,1,1,$A26))</f>
        <v>0</v>
      </c>
      <c r="W26" cm="1">
        <f t="array" aca="1" ref="W26" ca="1">INDIRECT(ADDRESS(W$1,W$2,1,1,$A26))</f>
        <v>0</v>
      </c>
      <c r="X26" cm="1">
        <f t="array" aca="1" ref="X26" ca="1">INDIRECT(ADDRESS(X$1,X$2,1,1,$A26))</f>
        <v>0</v>
      </c>
      <c r="Y26" cm="1">
        <f t="array" aca="1" ref="Y26" ca="1">INDIRECT(ADDRESS(Y$1,Y$2,1,1,$A26))</f>
        <v>62.481099999999998</v>
      </c>
      <c r="Z26" cm="1">
        <f t="array" aca="1" ref="Z26" ca="1">INDIRECT(ADDRESS(Z$1,Z$2,1,1,$A26))</f>
        <v>37.517200000000003</v>
      </c>
      <c r="AA26" cm="1">
        <f t="array" aca="1" ref="AA26" ca="1">INDIRECT(ADDRESS(AA$1,AA$2,1,1,$A26))</f>
        <v>8.7800000000000003E-2</v>
      </c>
      <c r="AB26" cm="1">
        <f t="array" aca="1" ref="AB26" ca="1">INDIRECT(ADDRESS(AB$1,AB$2,1,1,$A26))</f>
        <v>-63.450600000000001</v>
      </c>
      <c r="AC26" cm="1">
        <f t="array" aca="1" ref="AC26" ca="1">INDIRECT(ADDRESS(AC$1,AC$2,1,1,$A26))</f>
        <v>37.517200000000003</v>
      </c>
      <c r="AD26" cm="1">
        <f t="array" aca="1" ref="AD26" ca="1">INDIRECT(ADDRESS(AD$1,AD$2,1,1,$A26))</f>
        <v>7.1400000000000005E-2</v>
      </c>
      <c r="AE26" cm="1">
        <f t="array" aca="1" ref="AE26" ca="1">INDIRECT(ADDRESS(AE$1,AE$2,1,1,$A26))</f>
        <v>-62.477499999999999</v>
      </c>
      <c r="AF26" cm="1">
        <f t="array" aca="1" ref="AF26" ca="1">INDIRECT(ADDRESS(AF$1,AF$2,1,1,$A26))</f>
        <v>-36.461100000000002</v>
      </c>
      <c r="AG26" cm="1">
        <f t="array" aca="1" ref="AG26" ca="1">INDIRECT(ADDRESS(AG$1,AG$2,1,1,$A26))</f>
        <v>8.7999999999999995E-2</v>
      </c>
      <c r="AH26" cm="1">
        <f t="array" aca="1" ref="AH26" ca="1">INDIRECT(ADDRESS(AH$1,AH$2,1,1,$A26))</f>
        <v>61.441099999999999</v>
      </c>
      <c r="AI26" cm="1">
        <f t="array" aca="1" ref="AI26" ca="1">INDIRECT(ADDRESS(AI$1,AI$2,1,1,$A26))</f>
        <v>-37.466099999999997</v>
      </c>
      <c r="AJ26" cm="1">
        <f t="array" aca="1" ref="AJ26" ca="1">INDIRECT(ADDRESS(AJ$1,AJ$2,1,1,$A26))</f>
        <v>7.1900000000000006E-2</v>
      </c>
      <c r="AK26" s="15" cm="1">
        <f t="array" aca="1" ref="AK26" ca="1">INDIRECT(ADDRESS(AK$1,AK$2,1,1,$A26))</f>
        <v>72.879599999999996</v>
      </c>
      <c r="AL26" s="15" cm="1">
        <f t="array" aca="1" ref="AL26" ca="1">INDIRECT(ADDRESS(AL$1,AL$2,1,1,$A26))</f>
        <v>73.712500000000006</v>
      </c>
      <c r="AM26" s="15" cm="1">
        <f t="array" aca="1" ref="AM26" ca="1">INDIRECT(ADDRESS(AM$1,AM$2,1,1,$A26))</f>
        <v>72.338499999999996</v>
      </c>
      <c r="AN26" s="15" cm="1">
        <f t="array" aca="1" ref="AN26" ca="1">INDIRECT(ADDRESS(AN$1,AN$2,1,1,$A26))</f>
        <v>71.963300000000004</v>
      </c>
      <c r="AO26" s="15" cm="1">
        <f t="array" aca="1" ref="AO26" ca="1">INDIRECT(ADDRESS(AO$1,AO$2,1,1,$A26))</f>
        <v>125.93170000000001</v>
      </c>
      <c r="AP26" s="15" cm="1">
        <f t="array" aca="1" ref="AP26" ca="1">INDIRECT(ADDRESS(AP$1,AP$2,1,1,$A26))</f>
        <v>145.21510000000001</v>
      </c>
      <c r="AQ26" s="15" cm="1">
        <f t="array" aca="1" ref="AQ26" ca="1">INDIRECT(ADDRESS(AQ$1,AQ$2,1,1,$A26))</f>
        <v>74.990499999999997</v>
      </c>
      <c r="AR26" s="15" cm="1">
        <f t="array" aca="1" ref="AR26" ca="1">INDIRECT(ADDRESS(AR$1,AR$2,1,1,$A26))</f>
        <v>73.984700000000004</v>
      </c>
      <c r="AS26" s="15" cm="1">
        <f t="array" aca="1" ref="AS26" ca="1">INDIRECT(ADDRESS(AS$1,AS$2,1,1,$A26))</f>
        <v>145.67240000000001</v>
      </c>
      <c r="AT26" s="15" cm="1">
        <f t="array" aca="1" ref="AT26" ca="1">INDIRECT(ADDRESS(AT$1,AT$2,1,1,$A26))</f>
        <v>123.9226</v>
      </c>
      <c r="AV26" s="15">
        <f t="shared" ca="1" si="10"/>
        <v>1.6072398949518174E-6</v>
      </c>
      <c r="AW26" s="15">
        <f t="shared" ca="1" si="11"/>
        <v>5.8484608587150433E-5</v>
      </c>
      <c r="AX26" s="15">
        <f t="shared" ca="1" si="12"/>
        <v>7.041824545694908E-6</v>
      </c>
      <c r="AY26" s="15">
        <f t="shared" ca="1" si="13"/>
        <v>-4.1973743819312404E-5</v>
      </c>
      <c r="AZ26" s="15">
        <f t="shared" ca="1" si="14"/>
        <v>-1.0678804471808689E-6</v>
      </c>
      <c r="BA26" s="15">
        <f t="shared" ca="1" si="15"/>
        <v>-5.2738583036671116E-5</v>
      </c>
      <c r="BB26" s="15">
        <f t="shared" ca="1" si="16"/>
        <v>-1.3611389547918407E-5</v>
      </c>
      <c r="BC26" s="15">
        <f t="shared" ca="1" si="17"/>
        <v>-1.5947215956657601E-6</v>
      </c>
      <c r="BD26" s="15">
        <f t="shared" ca="1" si="18"/>
        <v>5.5308119669916778E-5</v>
      </c>
      <c r="BE26" s="15">
        <f t="shared" ca="1" si="19"/>
        <v>-7.6335568209628946E-5</v>
      </c>
    </row>
    <row r="27" spans="1:57" x14ac:dyDescent="0.25">
      <c r="A27" t="s">
        <v>54</v>
      </c>
      <c r="B27" t="str" cm="1">
        <f t="array" aca="1" ref="B27" ca="1">LEFT(INDIRECT(ADDRESS(B$1,B$2,1,1,$A27)),FIND("-",INDIRECT(ADDRESS(B$1,B$2,1,1,$A27)))-1)</f>
        <v>P509</v>
      </c>
      <c r="C27" t="str" cm="1">
        <f t="array" aca="1" ref="C27" ca="1">RIGHT(INDIRECT(ADDRESS(B$1,B$2,1,1,$A27)),LEN(INDIRECT(ADDRESS(B$1,B$2,1,1,$A27)))-FIND("-",INDIRECT(ADDRESS(B$1,B$2,1,1,$A27))))</f>
        <v>east</v>
      </c>
      <c r="D27" s="10" cm="1">
        <f t="array" aca="1" ref="D27" ca="1">DATE(MID(INDIRECT(ADDRESS(D$1,D$2,1,1,$A27)),1,4),MID(INDIRECT(ADDRESS(D$1,D$2,1,1,$A27)),5,2),MID(INDIRECT(ADDRESS(D$1,D$2,1,1,$A27)),7,2))+TIME(MID(INDIRECT(ADDRESS(D$1,D$2,1,1,$A27)),10,2),MID(INDIRECT(ADDRESS(D$1,D$2,1,1,$A27)),12,2),0)</f>
        <v>44217.635416666664</v>
      </c>
      <c r="E27" cm="1">
        <f t="array" aca="1" ref="E27" ca="1">INDIRECT(ADDRESS(E$1,E$2,1,1,$A27))</f>
        <v>0</v>
      </c>
      <c r="F27" s="11" cm="1">
        <f t="array" aca="1" ref="F27" ca="1">VALUE(SUBSTITUTE(INDIRECT(ADDRESS(F$1,F$2,1,1,$A27)),"┬░C",""))</f>
        <v>20</v>
      </c>
      <c r="G27" s="12" cm="1">
        <f t="array" aca="1" ref="G27" ca="1">INDIRECT(ADDRESS(G$1,G$2,1,1,$A27))</f>
        <v>25.398299999999999</v>
      </c>
      <c r="H27" cm="1">
        <f t="array" aca="1" ref="H27" ca="1">INDIRECT(ADDRESS(H$1,H$2,1,1,$A27))</f>
        <v>25.401900000000001</v>
      </c>
      <c r="I27" cm="1">
        <f t="array" aca="1" ref="I27" ca="1">INDIRECT(ADDRESS(I$1,I$2,1,1,$A27))</f>
        <v>25.401399999999999</v>
      </c>
      <c r="J27" cm="1">
        <f t="array" aca="1" ref="J27" ca="1">INDIRECT(ADDRESS(J$1,J$2,1,1,$A27))</f>
        <v>25.403099999999998</v>
      </c>
      <c r="K27" s="13" cm="1">
        <f t="array" aca="1" ref="K27" ca="1">INDIRECT(ADDRESS(K$1,K$2,1,1,$A27))</f>
        <v>25.402000000000001</v>
      </c>
      <c r="L27" s="14" cm="1">
        <f t="array" aca="1" ref="L27" ca="1">SQRT(SUMSQ(Y27:AA27-V27:X27))</f>
        <v>72.878604392578751</v>
      </c>
      <c r="M27" s="15" cm="1">
        <f t="array" aca="1" ref="M27" ca="1">SQRT(SUMSQ(AB27:AD27-V27:X27))</f>
        <v>73.712825352987238</v>
      </c>
      <c r="N27" s="15" cm="1">
        <f t="array" aca="1" ref="N27" ca="1">SQRT(SUMSQ(AE27:AG27-V27:X27))</f>
        <v>72.33931444373799</v>
      </c>
      <c r="O27" s="15" cm="1">
        <f t="array" aca="1" ref="O27" ca="1">SQRT(SUMSQ(AH27:AJ27-V27:X27))</f>
        <v>71.962930151849719</v>
      </c>
      <c r="P27" s="15" cm="1">
        <f t="array" aca="1" ref="P27" ca="1">SQRT(SUMSQ(AB27:AD27-Y27:AA27))</f>
        <v>125.93170106788045</v>
      </c>
      <c r="Q27" s="15" cm="1">
        <f t="array" aca="1" ref="Q27" ca="1">SQRT(SUMSQ(AE27:AG27-Y27:AA27))</f>
        <v>145.21498063746728</v>
      </c>
      <c r="R27" s="15" cm="1">
        <f t="array" aca="1" ref="R27" ca="1">SQRT(SUMSQ(AH27:AJ27-Y27:AA27))</f>
        <v>74.989606786607439</v>
      </c>
      <c r="S27" s="15" cm="1">
        <f t="array" aca="1" ref="S27" ca="1">SQRT(SUMSQ(AE27:AG27-AB27:AD27))</f>
        <v>73.984704248040345</v>
      </c>
      <c r="T27" s="15" cm="1">
        <f t="array" aca="1" ref="T27" ca="1">SQRT(SUMSQ(AH27:AJ27-AB27:AD27))</f>
        <v>145.67231010305287</v>
      </c>
      <c r="U27" s="16" cm="1">
        <f t="array" aca="1" ref="U27" ca="1">SQRT(SUMSQ(AH27:AJ27-AE27:AG27))</f>
        <v>123.9229690562246</v>
      </c>
      <c r="V27" cm="1">
        <f t="array" aca="1" ref="V27" ca="1">INDIRECT(ADDRESS(V$1,V$2,1,1,$A27))</f>
        <v>0</v>
      </c>
      <c r="W27" cm="1">
        <f t="array" aca="1" ref="W27" ca="1">INDIRECT(ADDRESS(W$1,W$2,1,1,$A27))</f>
        <v>0</v>
      </c>
      <c r="X27" cm="1">
        <f t="array" aca="1" ref="X27" ca="1">INDIRECT(ADDRESS(X$1,X$2,1,1,$A27))</f>
        <v>0</v>
      </c>
      <c r="Y27" cm="1">
        <f t="array" aca="1" ref="Y27" ca="1">INDIRECT(ADDRESS(Y$1,Y$2,1,1,$A27))</f>
        <v>62.4803</v>
      </c>
      <c r="Z27" cm="1">
        <f t="array" aca="1" ref="Z27" ca="1">INDIRECT(ADDRESS(Z$1,Z$2,1,1,$A27))</f>
        <v>37.516599999999997</v>
      </c>
      <c r="AA27" cm="1">
        <f t="array" aca="1" ref="AA27" ca="1">INDIRECT(ADDRESS(AA$1,AA$2,1,1,$A27))</f>
        <v>8.8400000000000006E-2</v>
      </c>
      <c r="AB27" cm="1">
        <f t="array" aca="1" ref="AB27" ca="1">INDIRECT(ADDRESS(AB$1,AB$2,1,1,$A27))</f>
        <v>-63.4514</v>
      </c>
      <c r="AC27" cm="1">
        <f t="array" aca="1" ref="AC27" ca="1">INDIRECT(ADDRESS(AC$1,AC$2,1,1,$A27))</f>
        <v>37.516599999999997</v>
      </c>
      <c r="AD27" cm="1">
        <f t="array" aca="1" ref="AD27" ca="1">INDIRECT(ADDRESS(AD$1,AD$2,1,1,$A27))</f>
        <v>7.1999999999999995E-2</v>
      </c>
      <c r="AE27" cm="1">
        <f t="array" aca="1" ref="AE27" ca="1">INDIRECT(ADDRESS(AE$1,AE$2,1,1,$A27))</f>
        <v>-62.478099999999998</v>
      </c>
      <c r="AF27" cm="1">
        <f t="array" aca="1" ref="AF27" ca="1">INDIRECT(ADDRESS(AF$1,AF$2,1,1,$A27))</f>
        <v>-36.4617</v>
      </c>
      <c r="AG27" cm="1">
        <f t="array" aca="1" ref="AG27" ca="1">INDIRECT(ADDRESS(AG$1,AG$2,1,1,$A27))</f>
        <v>8.8700000000000001E-2</v>
      </c>
      <c r="AH27" cm="1">
        <f t="array" aca="1" ref="AH27" ca="1">INDIRECT(ADDRESS(AH$1,AH$2,1,1,$A27))</f>
        <v>61.440800000000003</v>
      </c>
      <c r="AI27" cm="1">
        <f t="array" aca="1" ref="AI27" ca="1">INDIRECT(ADDRESS(AI$1,AI$2,1,1,$A27))</f>
        <v>-37.465800000000002</v>
      </c>
      <c r="AJ27" cm="1">
        <f t="array" aca="1" ref="AJ27" ca="1">INDIRECT(ADDRESS(AJ$1,AJ$2,1,1,$A27))</f>
        <v>7.2400000000000006E-2</v>
      </c>
      <c r="AK27" s="15" cm="1">
        <f t="array" aca="1" ref="AK27" ca="1">INDIRECT(ADDRESS(AK$1,AK$2,1,1,$A27))</f>
        <v>72.878600000000006</v>
      </c>
      <c r="AL27" s="15" cm="1">
        <f t="array" aca="1" ref="AL27" ca="1">INDIRECT(ADDRESS(AL$1,AL$2,1,1,$A27))</f>
        <v>73.712800000000001</v>
      </c>
      <c r="AM27" s="15" cm="1">
        <f t="array" aca="1" ref="AM27" ca="1">INDIRECT(ADDRESS(AM$1,AM$2,1,1,$A27))</f>
        <v>72.339299999999994</v>
      </c>
      <c r="AN27" s="15" cm="1">
        <f t="array" aca="1" ref="AN27" ca="1">INDIRECT(ADDRESS(AN$1,AN$2,1,1,$A27))</f>
        <v>71.962900000000005</v>
      </c>
      <c r="AO27" s="15" cm="1">
        <f t="array" aca="1" ref="AO27" ca="1">INDIRECT(ADDRESS(AO$1,AO$2,1,1,$A27))</f>
        <v>125.93170000000001</v>
      </c>
      <c r="AP27" s="15" cm="1">
        <f t="array" aca="1" ref="AP27" ca="1">INDIRECT(ADDRESS(AP$1,AP$2,1,1,$A27))</f>
        <v>145.215</v>
      </c>
      <c r="AQ27" s="15" cm="1">
        <f t="array" aca="1" ref="AQ27" ca="1">INDIRECT(ADDRESS(AQ$1,AQ$2,1,1,$A27))</f>
        <v>74.989599999999996</v>
      </c>
      <c r="AR27" s="15" cm="1">
        <f t="array" aca="1" ref="AR27" ca="1">INDIRECT(ADDRESS(AR$1,AR$2,1,1,$A27))</f>
        <v>73.984700000000004</v>
      </c>
      <c r="AS27" s="15" cm="1">
        <f t="array" aca="1" ref="AS27" ca="1">INDIRECT(ADDRESS(AS$1,AS$2,1,1,$A27))</f>
        <v>145.6722</v>
      </c>
      <c r="AT27" s="15" cm="1">
        <f t="array" aca="1" ref="AT27" ca="1">INDIRECT(ADDRESS(AT$1,AT$2,1,1,$A27))</f>
        <v>123.923</v>
      </c>
      <c r="AV27" s="15">
        <f t="shared" ca="1" si="10"/>
        <v>-4.3925787451826181E-6</v>
      </c>
      <c r="AW27" s="15">
        <f t="shared" ca="1" si="11"/>
        <v>-2.5352987236715308E-5</v>
      </c>
      <c r="AX27" s="15">
        <f t="shared" ca="1" si="12"/>
        <v>-1.4443737995861738E-5</v>
      </c>
      <c r="AY27" s="15">
        <f t="shared" ca="1" si="13"/>
        <v>-3.0151849713888623E-5</v>
      </c>
      <c r="AZ27" s="15">
        <f t="shared" ca="1" si="14"/>
        <v>-1.0678804471808689E-6</v>
      </c>
      <c r="BA27" s="15">
        <f t="shared" ca="1" si="15"/>
        <v>1.9362532725608617E-5</v>
      </c>
      <c r="BB27" s="15">
        <f t="shared" ca="1" si="16"/>
        <v>-6.7866074431321977E-6</v>
      </c>
      <c r="BC27" s="15">
        <f t="shared" ca="1" si="17"/>
        <v>-4.2480403408262646E-6</v>
      </c>
      <c r="BD27" s="15">
        <f t="shared" ca="1" si="18"/>
        <v>-1.1010305286163202E-4</v>
      </c>
      <c r="BE27" s="15">
        <f t="shared" ca="1" si="19"/>
        <v>3.0943775399805418E-5</v>
      </c>
    </row>
    <row r="28" spans="1:57" x14ac:dyDescent="0.25">
      <c r="A28" t="s">
        <v>56</v>
      </c>
      <c r="B28" t="str" cm="1">
        <f t="array" aca="1" ref="B28" ca="1">LEFT(INDIRECT(ADDRESS(B$1,B$2,1,1,$A28)),FIND("-",INDIRECT(ADDRESS(B$1,B$2,1,1,$A28)))-1)</f>
        <v>P509</v>
      </c>
      <c r="C28" t="str" cm="1">
        <f t="array" aca="1" ref="C28" ca="1">RIGHT(INDIRECT(ADDRESS(B$1,B$2,1,1,$A28)),LEN(INDIRECT(ADDRESS(B$1,B$2,1,1,$A28)))-FIND("-",INDIRECT(ADDRESS(B$1,B$2,1,1,$A28))))</f>
        <v>east</v>
      </c>
      <c r="D28" s="10" cm="1">
        <f t="array" aca="1" ref="D28" ca="1">DATE(MID(INDIRECT(ADDRESS(D$1,D$2,1,1,$A28)),1,4),MID(INDIRECT(ADDRESS(D$1,D$2,1,1,$A28)),5,2),MID(INDIRECT(ADDRESS(D$1,D$2,1,1,$A28)),7,2))+TIME(MID(INDIRECT(ADDRESS(D$1,D$2,1,1,$A28)),10,2),MID(INDIRECT(ADDRESS(D$1,D$2,1,1,$A28)),12,2),0)</f>
        <v>44217.637499999997</v>
      </c>
      <c r="E28" cm="1">
        <f t="array" aca="1" ref="E28" ca="1">INDIRECT(ADDRESS(E$1,E$2,1,1,$A28))</f>
        <v>0</v>
      </c>
      <c r="F28" s="11" cm="1">
        <f t="array" aca="1" ref="F28" ca="1">VALUE(SUBSTITUTE(INDIRECT(ADDRESS(F$1,F$2,1,1,$A28)),"┬░C",""))</f>
        <v>20.100000000000001</v>
      </c>
      <c r="G28" s="12" cm="1">
        <f t="array" aca="1" ref="G28" ca="1">INDIRECT(ADDRESS(G$1,G$2,1,1,$A28))</f>
        <v>25.398</v>
      </c>
      <c r="H28" cm="1">
        <f t="array" aca="1" ref="H28" ca="1">INDIRECT(ADDRESS(H$1,H$2,1,1,$A28))</f>
        <v>25.401800000000001</v>
      </c>
      <c r="I28" cm="1">
        <f t="array" aca="1" ref="I28" ca="1">INDIRECT(ADDRESS(I$1,I$2,1,1,$A28))</f>
        <v>25.401</v>
      </c>
      <c r="J28" cm="1">
        <f t="array" aca="1" ref="J28" ca="1">INDIRECT(ADDRESS(J$1,J$2,1,1,$A28))</f>
        <v>25.402799999999999</v>
      </c>
      <c r="K28" s="13" cm="1">
        <f t="array" aca="1" ref="K28" ca="1">INDIRECT(ADDRESS(K$1,K$2,1,1,$A28))</f>
        <v>25.401599999999998</v>
      </c>
      <c r="L28" s="14" cm="1">
        <f t="array" aca="1" ref="L28" ca="1">SQRT(SUMSQ(Y28:AA28-V28:X28))</f>
        <v>72.879015539248329</v>
      </c>
      <c r="M28" s="15" cm="1">
        <f t="array" aca="1" ref="M28" ca="1">SQRT(SUMSQ(AB28:AD28-V28:X28))</f>
        <v>73.712547256081166</v>
      </c>
      <c r="N28" s="15" cm="1">
        <f t="array" aca="1" ref="N28" ca="1">SQRT(SUMSQ(AE28:AG28-V28:X28))</f>
        <v>72.339918410031402</v>
      </c>
      <c r="O28" s="15" cm="1">
        <f t="array" aca="1" ref="O28" ca="1">SQRT(SUMSQ(AH28:AJ28-V28:X28))</f>
        <v>71.962825725578625</v>
      </c>
      <c r="P28" s="15" cm="1">
        <f t="array" aca="1" ref="P28" ca="1">SQRT(SUMSQ(AB28:AD28-Y28:AA28))</f>
        <v>125.93150106788214</v>
      </c>
      <c r="Q28" s="15" cm="1">
        <f t="array" aca="1" ref="Q28" ca="1">SQRT(SUMSQ(AE28:AG28-Y28:AA28))</f>
        <v>145.21599397573257</v>
      </c>
      <c r="R28" s="15" cm="1">
        <f t="array" aca="1" ref="R28" ca="1">SQRT(SUMSQ(AH28:AJ28-Y28:AA28))</f>
        <v>74.989710914898183</v>
      </c>
      <c r="S28" s="15" cm="1">
        <f t="array" aca="1" ref="S28" ca="1">SQRT(SUMSQ(AE28:AG28-AB28:AD28))</f>
        <v>73.984988422855082</v>
      </c>
      <c r="T28" s="15" cm="1">
        <f t="array" aca="1" ref="T28" ca="1">SQRT(SUMSQ(AH28:AJ28-AB28:AD28))</f>
        <v>145.67193290194922</v>
      </c>
      <c r="U28" s="16" cm="1">
        <f t="array" aca="1" ref="U28" ca="1">SQRT(SUMSQ(AH28:AJ28-AE28:AG28))</f>
        <v>123.92366738674257</v>
      </c>
      <c r="V28" cm="1">
        <f t="array" aca="1" ref="V28" ca="1">INDIRECT(ADDRESS(V$1,V$2,1,1,$A28))</f>
        <v>0</v>
      </c>
      <c r="W28" cm="1">
        <f t="array" aca="1" ref="W28" ca="1">INDIRECT(ADDRESS(W$1,W$2,1,1,$A28))</f>
        <v>0</v>
      </c>
      <c r="X28" cm="1">
        <f t="array" aca="1" ref="X28" ca="1">INDIRECT(ADDRESS(X$1,X$2,1,1,$A28))</f>
        <v>0</v>
      </c>
      <c r="Y28" cm="1">
        <f t="array" aca="1" ref="Y28" ca="1">INDIRECT(ADDRESS(Y$1,Y$2,1,1,$A28))</f>
        <v>62.480600000000003</v>
      </c>
      <c r="Z28" cm="1">
        <f t="array" aca="1" ref="Z28" ca="1">INDIRECT(ADDRESS(Z$1,Z$2,1,1,$A28))</f>
        <v>37.5169</v>
      </c>
      <c r="AA28" cm="1">
        <f t="array" aca="1" ref="AA28" ca="1">INDIRECT(ADDRESS(AA$1,AA$2,1,1,$A28))</f>
        <v>8.7999999999999995E-2</v>
      </c>
      <c r="AB28" cm="1">
        <f t="array" aca="1" ref="AB28" ca="1">INDIRECT(ADDRESS(AB$1,AB$2,1,1,$A28))</f>
        <v>-63.450899999999997</v>
      </c>
      <c r="AC28" cm="1">
        <f t="array" aca="1" ref="AC28" ca="1">INDIRECT(ADDRESS(AC$1,AC$2,1,1,$A28))</f>
        <v>37.5169</v>
      </c>
      <c r="AD28" cm="1">
        <f t="array" aca="1" ref="AD28" ca="1">INDIRECT(ADDRESS(AD$1,AD$2,1,1,$A28))</f>
        <v>7.1599999999999997E-2</v>
      </c>
      <c r="AE28" cm="1">
        <f t="array" aca="1" ref="AE28" ca="1">INDIRECT(ADDRESS(AE$1,AE$2,1,1,$A28))</f>
        <v>-62.4788</v>
      </c>
      <c r="AF28" cm="1">
        <f t="array" aca="1" ref="AF28" ca="1">INDIRECT(ADDRESS(AF$1,AF$2,1,1,$A28))</f>
        <v>-36.4617</v>
      </c>
      <c r="AG28" cm="1">
        <f t="array" aca="1" ref="AG28" ca="1">INDIRECT(ADDRESS(AG$1,AG$2,1,1,$A28))</f>
        <v>8.8200000000000001E-2</v>
      </c>
      <c r="AH28" cm="1">
        <f t="array" aca="1" ref="AH28" ca="1">INDIRECT(ADDRESS(AH$1,AH$2,1,1,$A28))</f>
        <v>61.440800000000003</v>
      </c>
      <c r="AI28" cm="1">
        <f t="array" aca="1" ref="AI28" ca="1">INDIRECT(ADDRESS(AI$1,AI$2,1,1,$A28))</f>
        <v>-37.465600000000002</v>
      </c>
      <c r="AJ28" cm="1">
        <f t="array" aca="1" ref="AJ28" ca="1">INDIRECT(ADDRESS(AJ$1,AJ$2,1,1,$A28))</f>
        <v>7.2099999999999997E-2</v>
      </c>
      <c r="AK28" s="15" cm="1">
        <f t="array" aca="1" ref="AK28" ca="1">INDIRECT(ADDRESS(AK$1,AK$2,1,1,$A28))</f>
        <v>72.879000000000005</v>
      </c>
      <c r="AL28" s="15" cm="1">
        <f t="array" aca="1" ref="AL28" ca="1">INDIRECT(ADDRESS(AL$1,AL$2,1,1,$A28))</f>
        <v>73.712500000000006</v>
      </c>
      <c r="AM28" s="15" cm="1">
        <f t="array" aca="1" ref="AM28" ca="1">INDIRECT(ADDRESS(AM$1,AM$2,1,1,$A28))</f>
        <v>72.3399</v>
      </c>
      <c r="AN28" s="15" cm="1">
        <f t="array" aca="1" ref="AN28" ca="1">INDIRECT(ADDRESS(AN$1,AN$2,1,1,$A28))</f>
        <v>71.962800000000001</v>
      </c>
      <c r="AO28" s="15" cm="1">
        <f t="array" aca="1" ref="AO28" ca="1">INDIRECT(ADDRESS(AO$1,AO$2,1,1,$A28))</f>
        <v>125.9315</v>
      </c>
      <c r="AP28" s="15" cm="1">
        <f t="array" aca="1" ref="AP28" ca="1">INDIRECT(ADDRESS(AP$1,AP$2,1,1,$A28))</f>
        <v>145.21600000000001</v>
      </c>
      <c r="AQ28" s="15" cm="1">
        <f t="array" aca="1" ref="AQ28" ca="1">INDIRECT(ADDRESS(AQ$1,AQ$2,1,1,$A28))</f>
        <v>74.989699999999999</v>
      </c>
      <c r="AR28" s="15" cm="1">
        <f t="array" aca="1" ref="AR28" ca="1">INDIRECT(ADDRESS(AR$1,AR$2,1,1,$A28))</f>
        <v>73.984899999999996</v>
      </c>
      <c r="AS28" s="15" cm="1">
        <f t="array" aca="1" ref="AS28" ca="1">INDIRECT(ADDRESS(AS$1,AS$2,1,1,$A28))</f>
        <v>145.67189999999999</v>
      </c>
      <c r="AT28" s="15" cm="1">
        <f t="array" aca="1" ref="AT28" ca="1">INDIRECT(ADDRESS(AT$1,AT$2,1,1,$A28))</f>
        <v>123.9237</v>
      </c>
      <c r="AV28" s="15">
        <f t="shared" ca="1" si="10"/>
        <v>-1.553924832364828E-5</v>
      </c>
      <c r="AW28" s="15">
        <f t="shared" ca="1" si="11"/>
        <v>-4.7256081160185204E-5</v>
      </c>
      <c r="AX28" s="15">
        <f t="shared" ca="1" si="12"/>
        <v>-1.8410031401572269E-5</v>
      </c>
      <c r="AY28" s="15">
        <f t="shared" ca="1" si="13"/>
        <v>-2.5725578623791989E-5</v>
      </c>
      <c r="AZ28" s="15">
        <f t="shared" ca="1" si="14"/>
        <v>-1.0678821382725801E-6</v>
      </c>
      <c r="BA28" s="15">
        <f t="shared" ca="1" si="15"/>
        <v>6.0242674351229653E-6</v>
      </c>
      <c r="BB28" s="15">
        <f t="shared" ca="1" si="16"/>
        <v>-1.0914898183500554E-5</v>
      </c>
      <c r="BC28" s="15">
        <f t="shared" ca="1" si="17"/>
        <v>-8.8422855085923402E-5</v>
      </c>
      <c r="BD28" s="15">
        <f t="shared" ca="1" si="18"/>
        <v>-3.2901949225561111E-5</v>
      </c>
      <c r="BE28" s="15">
        <f t="shared" ca="1" si="19"/>
        <v>3.2613257431535203E-5</v>
      </c>
    </row>
    <row r="29" spans="1:57" x14ac:dyDescent="0.25">
      <c r="A29" t="s">
        <v>58</v>
      </c>
      <c r="B29" t="str" cm="1">
        <f t="array" aca="1" ref="B29" ca="1">LEFT(INDIRECT(ADDRESS(B$1,B$2,1,1,$A29)),FIND("-",INDIRECT(ADDRESS(B$1,B$2,1,1,$A29)))-1)</f>
        <v>P509</v>
      </c>
      <c r="C29" t="str" cm="1">
        <f t="array" aca="1" ref="C29" ca="1">RIGHT(INDIRECT(ADDRESS(B$1,B$2,1,1,$A29)),LEN(INDIRECT(ADDRESS(B$1,B$2,1,1,$A29)))-FIND("-",INDIRECT(ADDRESS(B$1,B$2,1,1,$A29))))</f>
        <v>east</v>
      </c>
      <c r="D29" s="10" cm="1">
        <f t="array" aca="1" ref="D29" ca="1">DATE(MID(INDIRECT(ADDRESS(D$1,D$2,1,1,$A29)),1,4),MID(INDIRECT(ADDRESS(D$1,D$2,1,1,$A29)),5,2),MID(INDIRECT(ADDRESS(D$1,D$2,1,1,$A29)),7,2))+TIME(MID(INDIRECT(ADDRESS(D$1,D$2,1,1,$A29)),10,2),MID(INDIRECT(ADDRESS(D$1,D$2,1,1,$A29)),12,2),0)</f>
        <v>44217.640277777777</v>
      </c>
      <c r="E29" cm="1">
        <f t="array" aca="1" ref="E29" ca="1">INDIRECT(ADDRESS(E$1,E$2,1,1,$A29))</f>
        <v>0</v>
      </c>
      <c r="F29" s="11" cm="1">
        <f t="array" aca="1" ref="F29" ca="1">VALUE(SUBSTITUTE(INDIRECT(ADDRESS(F$1,F$2,1,1,$A29)),"┬░C",""))</f>
        <v>20.100000000000001</v>
      </c>
      <c r="G29" s="12" cm="1">
        <f t="array" aca="1" ref="G29" ca="1">INDIRECT(ADDRESS(G$1,G$2,1,1,$A29))</f>
        <v>25.398099999999999</v>
      </c>
      <c r="H29" cm="1">
        <f t="array" aca="1" ref="H29" ca="1">INDIRECT(ADDRESS(H$1,H$2,1,1,$A29))</f>
        <v>25.401399999999999</v>
      </c>
      <c r="I29" cm="1">
        <f t="array" aca="1" ref="I29" ca="1">INDIRECT(ADDRESS(I$1,I$2,1,1,$A29))</f>
        <v>25.400700000000001</v>
      </c>
      <c r="J29" cm="1">
        <f t="array" aca="1" ref="J29" ca="1">INDIRECT(ADDRESS(J$1,J$2,1,1,$A29))</f>
        <v>25.403199999999998</v>
      </c>
      <c r="K29" s="13" cm="1">
        <f t="array" aca="1" ref="K29" ca="1">INDIRECT(ADDRESS(K$1,K$2,1,1,$A29))</f>
        <v>25.4011</v>
      </c>
      <c r="L29" s="14" cm="1">
        <f t="array" aca="1" ref="L29" ca="1">SQRT(SUMSQ(Y29:AA29-V29:X29))</f>
        <v>72.878998798968141</v>
      </c>
      <c r="M29" s="15" cm="1">
        <f t="array" aca="1" ref="M29" ca="1">SQRT(SUMSQ(AB29:AD29-V29:X29))</f>
        <v>73.713220663189034</v>
      </c>
      <c r="N29" s="15" cm="1">
        <f t="array" aca="1" ref="N29" ca="1">SQRT(SUMSQ(AE29:AG29-V29:X29))</f>
        <v>72.339436653944162</v>
      </c>
      <c r="O29" s="15" cm="1">
        <f t="array" aca="1" ref="O29" ca="1">SQRT(SUMSQ(AH29:AJ29-V29:X29))</f>
        <v>71.962807482268232</v>
      </c>
      <c r="P29" s="15" cm="1">
        <f t="array" aca="1" ref="P29" ca="1">SQRT(SUMSQ(AB29:AD29-Y29:AA29))</f>
        <v>125.93250105489052</v>
      </c>
      <c r="Q29" s="15" cm="1">
        <f t="array" aca="1" ref="Q29" ca="1">SQRT(SUMSQ(AE29:AG29-Y29:AA29))</f>
        <v>145.21549694137332</v>
      </c>
      <c r="R29" s="15" cm="1">
        <f t="array" aca="1" ref="R29" ca="1">SQRT(SUMSQ(AH29:AJ29-Y29:AA29))</f>
        <v>74.989310932225536</v>
      </c>
      <c r="S29" s="15" cm="1">
        <f t="array" aca="1" ref="S29" ca="1">SQRT(SUMSQ(AE29:AG29-AB29:AD29))</f>
        <v>73.984706834520864</v>
      </c>
      <c r="T29" s="15" cm="1">
        <f t="array" aca="1" ref="T29" ca="1">SQRT(SUMSQ(AH29:AJ29-AB29:AD29))</f>
        <v>145.67258435941199</v>
      </c>
      <c r="U29" s="16" cm="1">
        <f t="array" aca="1" ref="U29" ca="1">SQRT(SUMSQ(AH29:AJ29-AE29:AG29))</f>
        <v>123.92326657686198</v>
      </c>
      <c r="V29" cm="1">
        <f t="array" aca="1" ref="V29" ca="1">INDIRECT(ADDRESS(V$1,V$2,1,1,$A29))</f>
        <v>0</v>
      </c>
      <c r="W29" cm="1">
        <f t="array" aca="1" ref="W29" ca="1">INDIRECT(ADDRESS(W$1,W$2,1,1,$A29))</f>
        <v>0</v>
      </c>
      <c r="X29" cm="1">
        <f t="array" aca="1" ref="X29" ca="1">INDIRECT(ADDRESS(X$1,X$2,1,1,$A29))</f>
        <v>0</v>
      </c>
      <c r="Y29" cm="1">
        <f t="array" aca="1" ref="Y29" ca="1">INDIRECT(ADDRESS(Y$1,Y$2,1,1,$A29))</f>
        <v>62.480699999999999</v>
      </c>
      <c r="Z29" cm="1">
        <f t="array" aca="1" ref="Z29" ca="1">INDIRECT(ADDRESS(Z$1,Z$2,1,1,$A29))</f>
        <v>37.5167</v>
      </c>
      <c r="AA29" cm="1">
        <f t="array" aca="1" ref="AA29" ca="1">INDIRECT(ADDRESS(AA$1,AA$2,1,1,$A29))</f>
        <v>8.8400000000000006E-2</v>
      </c>
      <c r="AB29" cm="1">
        <f t="array" aca="1" ref="AB29" ca="1">INDIRECT(ADDRESS(AB$1,AB$2,1,1,$A29))</f>
        <v>-63.451799999999999</v>
      </c>
      <c r="AC29" cm="1">
        <f t="array" aca="1" ref="AC29" ca="1">INDIRECT(ADDRESS(AC$1,AC$2,1,1,$A29))</f>
        <v>37.5167</v>
      </c>
      <c r="AD29" cm="1">
        <f t="array" aca="1" ref="AD29" ca="1">INDIRECT(ADDRESS(AD$1,AD$2,1,1,$A29))</f>
        <v>7.2099999999999997E-2</v>
      </c>
      <c r="AE29" cm="1">
        <f t="array" aca="1" ref="AE29" ca="1">INDIRECT(ADDRESS(AE$1,AE$2,1,1,$A29))</f>
        <v>-62.478299999999997</v>
      </c>
      <c r="AF29" cm="1">
        <f t="array" aca="1" ref="AF29" ca="1">INDIRECT(ADDRESS(AF$1,AF$2,1,1,$A29))</f>
        <v>-36.461599999999997</v>
      </c>
      <c r="AG29" cm="1">
        <f t="array" aca="1" ref="AG29" ca="1">INDIRECT(ADDRESS(AG$1,AG$2,1,1,$A29))</f>
        <v>8.8599999999999998E-2</v>
      </c>
      <c r="AH29" cm="1">
        <f t="array" aca="1" ref="AH29" ca="1">INDIRECT(ADDRESS(AH$1,AH$2,1,1,$A29))</f>
        <v>61.440899999999999</v>
      </c>
      <c r="AI29" cm="1">
        <f t="array" aca="1" ref="AI29" ca="1">INDIRECT(ADDRESS(AI$1,AI$2,1,1,$A29))</f>
        <v>-37.465400000000002</v>
      </c>
      <c r="AJ29" cm="1">
        <f t="array" aca="1" ref="AJ29" ca="1">INDIRECT(ADDRESS(AJ$1,AJ$2,1,1,$A29))</f>
        <v>7.2599999999999998E-2</v>
      </c>
      <c r="AK29" s="15" cm="1">
        <f t="array" aca="1" ref="AK29" ca="1">INDIRECT(ADDRESS(AK$1,AK$2,1,1,$A29))</f>
        <v>72.879000000000005</v>
      </c>
      <c r="AL29" s="15" cm="1">
        <f t="array" aca="1" ref="AL29" ca="1">INDIRECT(ADDRESS(AL$1,AL$2,1,1,$A29))</f>
        <v>73.713300000000004</v>
      </c>
      <c r="AM29" s="15" cm="1">
        <f t="array" aca="1" ref="AM29" ca="1">INDIRECT(ADDRESS(AM$1,AM$2,1,1,$A29))</f>
        <v>72.339399999999998</v>
      </c>
      <c r="AN29" s="15" cm="1">
        <f t="array" aca="1" ref="AN29" ca="1">INDIRECT(ADDRESS(AN$1,AN$2,1,1,$A29))</f>
        <v>71.962800000000001</v>
      </c>
      <c r="AO29" s="15" cm="1">
        <f t="array" aca="1" ref="AO29" ca="1">INDIRECT(ADDRESS(AO$1,AO$2,1,1,$A29))</f>
        <v>125.9325</v>
      </c>
      <c r="AP29" s="15" cm="1">
        <f t="array" aca="1" ref="AP29" ca="1">INDIRECT(ADDRESS(AP$1,AP$2,1,1,$A29))</f>
        <v>145.21549999999999</v>
      </c>
      <c r="AQ29" s="15" cm="1">
        <f t="array" aca="1" ref="AQ29" ca="1">INDIRECT(ADDRESS(AQ$1,AQ$2,1,1,$A29))</f>
        <v>74.989400000000003</v>
      </c>
      <c r="AR29" s="15" cm="1">
        <f t="array" aca="1" ref="AR29" ca="1">INDIRECT(ADDRESS(AR$1,AR$2,1,1,$A29))</f>
        <v>73.984700000000004</v>
      </c>
      <c r="AS29" s="15" cm="1">
        <f t="array" aca="1" ref="AS29" ca="1">INDIRECT(ADDRESS(AS$1,AS$2,1,1,$A29))</f>
        <v>145.67259999999999</v>
      </c>
      <c r="AT29" s="15" cm="1">
        <f t="array" aca="1" ref="AT29" ca="1">INDIRECT(ADDRESS(AT$1,AT$2,1,1,$A29))</f>
        <v>123.92319999999999</v>
      </c>
      <c r="AV29" s="15">
        <f t="shared" ca="1" si="10"/>
        <v>1.2010318641841877E-6</v>
      </c>
      <c r="AW29" s="15">
        <f t="shared" ca="1" si="11"/>
        <v>7.9336810969721228E-5</v>
      </c>
      <c r="AX29" s="15">
        <f t="shared" ca="1" si="12"/>
        <v>-3.6653944164299901E-5</v>
      </c>
      <c r="AY29" s="15">
        <f t="shared" ca="1" si="13"/>
        <v>-7.4822682307740251E-6</v>
      </c>
      <c r="AZ29" s="15">
        <f t="shared" ca="1" si="14"/>
        <v>-1.0548905180485235E-6</v>
      </c>
      <c r="BA29" s="15">
        <f t="shared" ca="1" si="15"/>
        <v>3.058626674601328E-6</v>
      </c>
      <c r="BB29" s="15">
        <f t="shared" ca="1" si="16"/>
        <v>8.9067774467821437E-5</v>
      </c>
      <c r="BC29" s="15">
        <f t="shared" ca="1" si="17"/>
        <v>-6.8345208603659557E-6</v>
      </c>
      <c r="BD29" s="15">
        <f t="shared" ca="1" si="18"/>
        <v>1.5640588003407174E-5</v>
      </c>
      <c r="BE29" s="15">
        <f t="shared" ca="1" si="19"/>
        <v>-6.657686198252577E-5</v>
      </c>
    </row>
    <row r="30" spans="1:57" x14ac:dyDescent="0.25">
      <c r="A30" t="s">
        <v>60</v>
      </c>
      <c r="B30" t="str" cm="1">
        <f t="array" aca="1" ref="B30" ca="1">LEFT(INDIRECT(ADDRESS(B$1,B$2,1,1,$A30)),FIND("-",INDIRECT(ADDRESS(B$1,B$2,1,1,$A30)))-1)</f>
        <v>P509</v>
      </c>
      <c r="C30" t="str" cm="1">
        <f t="array" aca="1" ref="C30" ca="1">RIGHT(INDIRECT(ADDRESS(B$1,B$2,1,1,$A30)),LEN(INDIRECT(ADDRESS(B$1,B$2,1,1,$A30)))-FIND("-",INDIRECT(ADDRESS(B$1,B$2,1,1,$A30))))</f>
        <v>east</v>
      </c>
      <c r="D30" s="10" cm="1">
        <f t="array" aca="1" ref="D30" ca="1">DATE(MID(INDIRECT(ADDRESS(D$1,D$2,1,1,$A30)),1,4),MID(INDIRECT(ADDRESS(D$1,D$2,1,1,$A30)),5,2),MID(INDIRECT(ADDRESS(D$1,D$2,1,1,$A30)),7,2))+TIME(MID(INDIRECT(ADDRESS(D$1,D$2,1,1,$A30)),10,2),MID(INDIRECT(ADDRESS(D$1,D$2,1,1,$A30)),12,2),0)</f>
        <v>44217.642361111109</v>
      </c>
      <c r="E30" cm="1">
        <f t="array" aca="1" ref="E30" ca="1">INDIRECT(ADDRESS(E$1,E$2,1,1,$A30))</f>
        <v>0</v>
      </c>
      <c r="F30" s="11" cm="1">
        <f t="array" aca="1" ref="F30" ca="1">VALUE(SUBSTITUTE(INDIRECT(ADDRESS(F$1,F$2,1,1,$A30)),"┬░C",""))</f>
        <v>20.100000000000001</v>
      </c>
      <c r="G30" s="12" cm="1">
        <f t="array" aca="1" ref="G30" ca="1">INDIRECT(ADDRESS(G$1,G$2,1,1,$A30))</f>
        <v>25.398299999999999</v>
      </c>
      <c r="H30" cm="1">
        <f t="array" aca="1" ref="H30" ca="1">INDIRECT(ADDRESS(H$1,H$2,1,1,$A30))</f>
        <v>25.401599999999998</v>
      </c>
      <c r="I30" cm="1">
        <f t="array" aca="1" ref="I30" ca="1">INDIRECT(ADDRESS(I$1,I$2,1,1,$A30))</f>
        <v>25.401</v>
      </c>
      <c r="J30" cm="1">
        <f t="array" aca="1" ref="J30" ca="1">INDIRECT(ADDRESS(J$1,J$2,1,1,$A30))</f>
        <v>25.4025</v>
      </c>
      <c r="K30" s="13" cm="1">
        <f t="array" aca="1" ref="K30" ca="1">INDIRECT(ADDRESS(K$1,K$2,1,1,$A30))</f>
        <v>25.4009</v>
      </c>
      <c r="L30" s="14" cm="1">
        <f t="array" aca="1" ref="L30" ca="1">SQRT(SUMSQ(Y30:AA30-V30:X30))</f>
        <v>72.878518660576518</v>
      </c>
      <c r="M30" s="15" cm="1">
        <f t="array" aca="1" ref="M30" ca="1">SQRT(SUMSQ(AB30:AD30-V30:X30))</f>
        <v>73.712825255378718</v>
      </c>
      <c r="N30" s="15" cm="1">
        <f t="array" aca="1" ref="N30" ca="1">SQRT(SUMSQ(AE30:AG30-V30:X30))</f>
        <v>72.339904583500811</v>
      </c>
      <c r="O30" s="15" cm="1">
        <f t="array" aca="1" ref="O30" ca="1">SQRT(SUMSQ(AH30:AJ30-V30:X30))</f>
        <v>71.962711512907859</v>
      </c>
      <c r="P30" s="15" cm="1">
        <f t="array" aca="1" ref="P30" ca="1">SQRT(SUMSQ(AB30:AD30-Y30:AA30))</f>
        <v>125.93160108094393</v>
      </c>
      <c r="Q30" s="15" cm="1">
        <f t="array" aca="1" ref="Q30" ca="1">SQRT(SUMSQ(AE30:AG30-Y30:AA30))</f>
        <v>145.21548110483951</v>
      </c>
      <c r="R30" s="15" cm="1">
        <f t="array" aca="1" ref="R30" ca="1">SQRT(SUMSQ(AH30:AJ30-Y30:AA30))</f>
        <v>74.990012293971517</v>
      </c>
      <c r="S30" s="15" cm="1">
        <f t="array" aca="1" ref="S30" ca="1">SQRT(SUMSQ(AE30:AG30-AB30:AD30))</f>
        <v>73.984493767951136</v>
      </c>
      <c r="T30" s="15" cm="1">
        <f t="array" aca="1" ref="T30" ca="1">SQRT(SUMSQ(AH30:AJ30-AB30:AD30))</f>
        <v>145.67208732279494</v>
      </c>
      <c r="U30" s="16" cm="1">
        <f t="array" aca="1" ref="U30" ca="1">SQRT(SUMSQ(AH30:AJ30-AE30:AG30))</f>
        <v>123.92327390938314</v>
      </c>
      <c r="V30" cm="1">
        <f t="array" aca="1" ref="V30" ca="1">INDIRECT(ADDRESS(V$1,V$2,1,1,$A30))</f>
        <v>0</v>
      </c>
      <c r="W30" cm="1">
        <f t="array" aca="1" ref="W30" ca="1">INDIRECT(ADDRESS(W$1,W$2,1,1,$A30))</f>
        <v>0</v>
      </c>
      <c r="X30" cm="1">
        <f t="array" aca="1" ref="X30" ca="1">INDIRECT(ADDRESS(X$1,X$2,1,1,$A30))</f>
        <v>0</v>
      </c>
      <c r="Y30" cm="1">
        <f t="array" aca="1" ref="Y30" ca="1">INDIRECT(ADDRESS(Y$1,Y$2,1,1,$A30))</f>
        <v>62.480200000000004</v>
      </c>
      <c r="Z30" cm="1">
        <f t="array" aca="1" ref="Z30" ca="1">INDIRECT(ADDRESS(Z$1,Z$2,1,1,$A30))</f>
        <v>37.516599999999997</v>
      </c>
      <c r="AA30" cm="1">
        <f t="array" aca="1" ref="AA30" ca="1">INDIRECT(ADDRESS(AA$1,AA$2,1,1,$A30))</f>
        <v>8.8400000000000006E-2</v>
      </c>
      <c r="AB30" cm="1">
        <f t="array" aca="1" ref="AB30" ca="1">INDIRECT(ADDRESS(AB$1,AB$2,1,1,$A30))</f>
        <v>-63.4514</v>
      </c>
      <c r="AC30" cm="1">
        <f t="array" aca="1" ref="AC30" ca="1">INDIRECT(ADDRESS(AC$1,AC$2,1,1,$A30))</f>
        <v>37.516599999999997</v>
      </c>
      <c r="AD30" cm="1">
        <f t="array" aca="1" ref="AD30" ca="1">INDIRECT(ADDRESS(AD$1,AD$2,1,1,$A30))</f>
        <v>7.1900000000000006E-2</v>
      </c>
      <c r="AE30" cm="1">
        <f t="array" aca="1" ref="AE30" ca="1">INDIRECT(ADDRESS(AE$1,AE$2,1,1,$A30))</f>
        <v>-62.478900000000003</v>
      </c>
      <c r="AF30" cm="1">
        <f t="array" aca="1" ref="AF30" ca="1">INDIRECT(ADDRESS(AF$1,AF$2,1,1,$A30))</f>
        <v>-36.461500000000001</v>
      </c>
      <c r="AG30" cm="1">
        <f t="array" aca="1" ref="AG30" ca="1">INDIRECT(ADDRESS(AG$1,AG$2,1,1,$A30))</f>
        <v>8.8700000000000001E-2</v>
      </c>
      <c r="AH30" cm="1">
        <f t="array" aca="1" ref="AH30" ca="1">INDIRECT(ADDRESS(AH$1,AH$2,1,1,$A30))</f>
        <v>61.440300000000001</v>
      </c>
      <c r="AI30" cm="1">
        <f t="array" aca="1" ref="AI30" ca="1">INDIRECT(ADDRESS(AI$1,AI$2,1,1,$A30))</f>
        <v>-37.466200000000001</v>
      </c>
      <c r="AJ30" cm="1">
        <f t="array" aca="1" ref="AJ30" ca="1">INDIRECT(ADDRESS(AJ$1,AJ$2,1,1,$A30))</f>
        <v>7.2400000000000006E-2</v>
      </c>
      <c r="AK30" s="15" cm="1">
        <f t="array" aca="1" ref="AK30" ca="1">INDIRECT(ADDRESS(AK$1,AK$2,1,1,$A30))</f>
        <v>72.878600000000006</v>
      </c>
      <c r="AL30" s="15" cm="1">
        <f t="array" aca="1" ref="AL30" ca="1">INDIRECT(ADDRESS(AL$1,AL$2,1,1,$A30))</f>
        <v>73.712900000000005</v>
      </c>
      <c r="AM30" s="15" cm="1">
        <f t="array" aca="1" ref="AM30" ca="1">INDIRECT(ADDRESS(AM$1,AM$2,1,1,$A30))</f>
        <v>72.3399</v>
      </c>
      <c r="AN30" s="15" cm="1">
        <f t="array" aca="1" ref="AN30" ca="1">INDIRECT(ADDRESS(AN$1,AN$2,1,1,$A30))</f>
        <v>71.962599999999995</v>
      </c>
      <c r="AO30" s="15" cm="1">
        <f t="array" aca="1" ref="AO30" ca="1">INDIRECT(ADDRESS(AO$1,AO$2,1,1,$A30))</f>
        <v>125.93170000000001</v>
      </c>
      <c r="AP30" s="15" cm="1">
        <f t="array" aca="1" ref="AP30" ca="1">INDIRECT(ADDRESS(AP$1,AP$2,1,1,$A30))</f>
        <v>145.21549999999999</v>
      </c>
      <c r="AQ30" s="15" cm="1">
        <f t="array" aca="1" ref="AQ30" ca="1">INDIRECT(ADDRESS(AQ$1,AQ$2,1,1,$A30))</f>
        <v>74.989999999999995</v>
      </c>
      <c r="AR30" s="15" cm="1">
        <f t="array" aca="1" ref="AR30" ca="1">INDIRECT(ADDRESS(AR$1,AR$2,1,1,$A30))</f>
        <v>73.984499999999997</v>
      </c>
      <c r="AS30" s="15" cm="1">
        <f t="array" aca="1" ref="AS30" ca="1">INDIRECT(ADDRESS(AS$1,AS$2,1,1,$A30))</f>
        <v>145.6721</v>
      </c>
      <c r="AT30" s="15" cm="1">
        <f t="array" aca="1" ref="AT30" ca="1">INDIRECT(ADDRESS(AT$1,AT$2,1,1,$A30))</f>
        <v>123.92319999999999</v>
      </c>
      <c r="AV30" s="15">
        <f t="shared" ca="1" si="10"/>
        <v>8.1339423488202556E-5</v>
      </c>
      <c r="AW30" s="15">
        <f t="shared" ca="1" si="11"/>
        <v>7.4744621286981783E-5</v>
      </c>
      <c r="AX30" s="15">
        <f t="shared" ca="1" si="12"/>
        <v>-4.5835008108952024E-6</v>
      </c>
      <c r="AY30" s="15">
        <f t="shared" ca="1" si="13"/>
        <v>-1.1151290786415302E-4</v>
      </c>
      <c r="AZ30" s="15">
        <f t="shared" ca="1" si="14"/>
        <v>9.8919056071622435E-5</v>
      </c>
      <c r="BA30" s="15">
        <f t="shared" ca="1" si="15"/>
        <v>1.8895160479814876E-5</v>
      </c>
      <c r="BB30" s="15">
        <f t="shared" ca="1" si="16"/>
        <v>-1.229397152258116E-5</v>
      </c>
      <c r="BC30" s="15">
        <f t="shared" ca="1" si="17"/>
        <v>6.2320488609657332E-6</v>
      </c>
      <c r="BD30" s="15">
        <f t="shared" ca="1" si="18"/>
        <v>1.2677205063482688E-5</v>
      </c>
      <c r="BE30" s="15">
        <f t="shared" ca="1" si="19"/>
        <v>-7.3909383146997243E-5</v>
      </c>
    </row>
    <row r="31" spans="1:57" x14ac:dyDescent="0.25">
      <c r="A31" t="s">
        <v>69</v>
      </c>
      <c r="B31" t="str" cm="1">
        <f t="array" aca="1" ref="B31" ca="1">LEFT(INDIRECT(ADDRESS(B$1,B$2,1,1,$A31)),FIND("-",INDIRECT(ADDRESS(B$1,B$2,1,1,$A31)))-1)</f>
        <v>P509</v>
      </c>
      <c r="C31" t="str" cm="1">
        <f t="array" aca="1" ref="C31" ca="1">RIGHT(INDIRECT(ADDRESS(B$1,B$2,1,1,$A31)),LEN(INDIRECT(ADDRESS(B$1,B$2,1,1,$A31)))-FIND("-",INDIRECT(ADDRESS(B$1,B$2,1,1,$A31))))</f>
        <v>south</v>
      </c>
      <c r="D31" s="10" cm="1">
        <f t="array" aca="1" ref="D31" ca="1">DATE(MID(INDIRECT(ADDRESS(D$1,D$2,1,1,$A31)),1,4),MID(INDIRECT(ADDRESS(D$1,D$2,1,1,$A31)),5,2),MID(INDIRECT(ADDRESS(D$1,D$2,1,1,$A31)),7,2))+TIME(MID(INDIRECT(ADDRESS(D$1,D$2,1,1,$A31)),10,2),MID(INDIRECT(ADDRESS(D$1,D$2,1,1,$A31)),12,2),0)</f>
        <v>44217.650694444441</v>
      </c>
      <c r="E31" cm="1">
        <f t="array" aca="1" ref="E31" ca="1">INDIRECT(ADDRESS(E$1,E$2,1,1,$A31))</f>
        <v>0</v>
      </c>
      <c r="F31" s="11" cm="1">
        <f t="array" aca="1" ref="F31" ca="1">VALUE(SUBSTITUTE(INDIRECT(ADDRESS(F$1,F$2,1,1,$A31)),"┬░C",""))</f>
        <v>20.100000000000001</v>
      </c>
      <c r="G31" s="12" cm="1">
        <f t="array" aca="1" ref="G31" ca="1">INDIRECT(ADDRESS(G$1,G$2,1,1,$A31))</f>
        <v>25.398299999999999</v>
      </c>
      <c r="H31" cm="1">
        <f t="array" aca="1" ref="H31" ca="1">INDIRECT(ADDRESS(H$1,H$2,1,1,$A31))</f>
        <v>25.4023</v>
      </c>
      <c r="I31" cm="1">
        <f t="array" aca="1" ref="I31" ca="1">INDIRECT(ADDRESS(I$1,I$2,1,1,$A31))</f>
        <v>25.401800000000001</v>
      </c>
      <c r="J31" cm="1">
        <f t="array" aca="1" ref="J31" ca="1">INDIRECT(ADDRESS(J$1,J$2,1,1,$A31))</f>
        <v>25.4026</v>
      </c>
      <c r="K31" s="13" cm="1">
        <f t="array" aca="1" ref="K31" ca="1">INDIRECT(ADDRESS(K$1,K$2,1,1,$A31))</f>
        <v>25.401800000000001</v>
      </c>
      <c r="L31" s="14" cm="1">
        <f t="array" aca="1" ref="L31" ca="1">SQRT(SUMSQ(Y31:AA31-V31:X31))</f>
        <v>72.877849833883005</v>
      </c>
      <c r="M31" s="15" cm="1">
        <f t="array" aca="1" ref="M31" ca="1">SQRT(SUMSQ(AB31:AD31-V31:X31))</f>
        <v>73.711466975294968</v>
      </c>
      <c r="N31" s="15" cm="1">
        <f t="array" aca="1" ref="N31" ca="1">SQRT(SUMSQ(AE31:AG31-V31:X31))</f>
        <v>72.338710155697413</v>
      </c>
      <c r="O31" s="15" cm="1">
        <f t="array" aca="1" ref="O31" ca="1">SQRT(SUMSQ(AH31:AJ31-V31:X31))</f>
        <v>71.963837575826929</v>
      </c>
      <c r="P31" s="15" cm="1">
        <f t="array" aca="1" ref="P31" ca="1">SQRT(SUMSQ(AB31:AD31-Y31:AA31))</f>
        <v>125.9296011474665</v>
      </c>
      <c r="Q31" s="15" cm="1">
        <f t="array" aca="1" ref="Q31" ca="1">SQRT(SUMSQ(AE31:AG31-Y31:AA31))</f>
        <v>145.21363208190888</v>
      </c>
      <c r="R31" s="15" cm="1">
        <f t="array" aca="1" ref="R31" ca="1">SQRT(SUMSQ(AH31:AJ31-Y31:AA31))</f>
        <v>74.991702557349626</v>
      </c>
      <c r="S31" s="15" cm="1">
        <f t="array" aca="1" ref="S31" ca="1">SQRT(SUMSQ(AE31:AG31-AB31:AD31))</f>
        <v>73.985604308000347</v>
      </c>
      <c r="T31" s="15" cm="1">
        <f t="array" aca="1" ref="T31" ca="1">SQRT(SUMSQ(AH31:AJ31-AB31:AD31))</f>
        <v>145.6718478381118</v>
      </c>
      <c r="U31" s="16" cm="1">
        <f t="array" aca="1" ref="U31" ca="1">SQRT(SUMSQ(AH31:AJ31-AE31:AG31))</f>
        <v>123.92117892479074</v>
      </c>
      <c r="V31" cm="1">
        <f t="array" aca="1" ref="V31" ca="1">INDIRECT(ADDRESS(V$1,V$2,1,1,$A31))</f>
        <v>0</v>
      </c>
      <c r="W31" cm="1">
        <f t="array" aca="1" ref="W31" ca="1">INDIRECT(ADDRESS(W$1,W$2,1,1,$A31))</f>
        <v>0</v>
      </c>
      <c r="X31" cm="1">
        <f t="array" aca="1" ref="X31" ca="1">INDIRECT(ADDRESS(X$1,X$2,1,1,$A31))</f>
        <v>0</v>
      </c>
      <c r="Y31" cm="1">
        <f t="array" aca="1" ref="Y31" ca="1">INDIRECT(ADDRESS(Y$1,Y$2,1,1,$A31))</f>
        <v>62.479599999999998</v>
      </c>
      <c r="Z31" cm="1">
        <f t="array" aca="1" ref="Z31" ca="1">INDIRECT(ADDRESS(Z$1,Z$2,1,1,$A31))</f>
        <v>37.516300000000001</v>
      </c>
      <c r="AA31" cm="1">
        <f t="array" aca="1" ref="AA31" ca="1">INDIRECT(ADDRESS(AA$1,AA$2,1,1,$A31))</f>
        <v>8.8400000000000006E-2</v>
      </c>
      <c r="AB31" cm="1">
        <f t="array" aca="1" ref="AB31" ca="1">INDIRECT(ADDRESS(AB$1,AB$2,1,1,$A31))</f>
        <v>-63.45</v>
      </c>
      <c r="AC31" cm="1">
        <f t="array" aca="1" ref="AC31" ca="1">INDIRECT(ADDRESS(AC$1,AC$2,1,1,$A31))</f>
        <v>37.516300000000001</v>
      </c>
      <c r="AD31" cm="1">
        <f t="array" aca="1" ref="AD31" ca="1">INDIRECT(ADDRESS(AD$1,AD$2,1,1,$A31))</f>
        <v>7.1400000000000005E-2</v>
      </c>
      <c r="AE31" cm="1">
        <f t="array" aca="1" ref="AE31" ca="1">INDIRECT(ADDRESS(AE$1,AE$2,1,1,$A31))</f>
        <v>-62.476700000000001</v>
      </c>
      <c r="AF31" cm="1">
        <f t="array" aca="1" ref="AF31" ca="1">INDIRECT(ADDRESS(AF$1,AF$2,1,1,$A31))</f>
        <v>-36.462899999999998</v>
      </c>
      <c r="AG31" cm="1">
        <f t="array" aca="1" ref="AG31" ca="1">INDIRECT(ADDRESS(AG$1,AG$2,1,1,$A31))</f>
        <v>8.8700000000000001E-2</v>
      </c>
      <c r="AH31" cm="1">
        <f t="array" aca="1" ref="AH31" ca="1">INDIRECT(ADDRESS(AH$1,AH$2,1,1,$A31))</f>
        <v>61.440399999999997</v>
      </c>
      <c r="AI31" cm="1">
        <f t="array" aca="1" ref="AI31" ca="1">INDIRECT(ADDRESS(AI$1,AI$2,1,1,$A31))</f>
        <v>-37.468200000000003</v>
      </c>
      <c r="AJ31" cm="1">
        <f t="array" aca="1" ref="AJ31" ca="1">INDIRECT(ADDRESS(AJ$1,AJ$2,1,1,$A31))</f>
        <v>7.1800000000000003E-2</v>
      </c>
      <c r="AK31" s="15" cm="1">
        <f t="array" aca="1" ref="AK31" ca="1">INDIRECT(ADDRESS(AK$1,AK$2,1,1,$A31))</f>
        <v>72.877799999999993</v>
      </c>
      <c r="AL31" s="15" cm="1">
        <f t="array" aca="1" ref="AL31" ca="1">INDIRECT(ADDRESS(AL$1,AL$2,1,1,$A31))</f>
        <v>73.711500000000001</v>
      </c>
      <c r="AM31" s="15" cm="1">
        <f t="array" aca="1" ref="AM31" ca="1">INDIRECT(ADDRESS(AM$1,AM$2,1,1,$A31))</f>
        <v>72.338700000000003</v>
      </c>
      <c r="AN31" s="15" cm="1">
        <f t="array" aca="1" ref="AN31" ca="1">INDIRECT(ADDRESS(AN$1,AN$2,1,1,$A31))</f>
        <v>71.963800000000006</v>
      </c>
      <c r="AO31" s="15" cm="1">
        <f t="array" aca="1" ref="AO31" ca="1">INDIRECT(ADDRESS(AO$1,AO$2,1,1,$A31))</f>
        <v>125.92959999999999</v>
      </c>
      <c r="AP31" s="15" cm="1">
        <f t="array" aca="1" ref="AP31" ca="1">INDIRECT(ADDRESS(AP$1,AP$2,1,1,$A31))</f>
        <v>145.21360000000001</v>
      </c>
      <c r="AQ31" s="15" cm="1">
        <f t="array" aca="1" ref="AQ31" ca="1">INDIRECT(ADDRESS(AQ$1,AQ$2,1,1,$A31))</f>
        <v>74.991699999999994</v>
      </c>
      <c r="AR31" s="15" cm="1">
        <f t="array" aca="1" ref="AR31" ca="1">INDIRECT(ADDRESS(AR$1,AR$2,1,1,$A31))</f>
        <v>73.985600000000005</v>
      </c>
      <c r="AS31" s="15" cm="1">
        <f t="array" aca="1" ref="AS31" ca="1">INDIRECT(ADDRESS(AS$1,AS$2,1,1,$A31))</f>
        <v>145.67189999999999</v>
      </c>
      <c r="AT31" s="15" cm="1">
        <f t="array" aca="1" ref="AT31" ca="1">INDIRECT(ADDRESS(AT$1,AT$2,1,1,$A31))</f>
        <v>123.9212</v>
      </c>
      <c r="AV31" s="15">
        <f t="shared" ca="1" si="10"/>
        <v>-4.9833883011274338E-5</v>
      </c>
      <c r="AW31" s="15">
        <f t="shared" ca="1" si="11"/>
        <v>3.3024705032858037E-5</v>
      </c>
      <c r="AX31" s="15">
        <f t="shared" ca="1" si="12"/>
        <v>-1.0155697410141329E-5</v>
      </c>
      <c r="AY31" s="15">
        <f t="shared" ca="1" si="13"/>
        <v>-3.7575826922875422E-5</v>
      </c>
      <c r="AZ31" s="15">
        <f t="shared" ca="1" si="14"/>
        <v>-1.1474665058130995E-6</v>
      </c>
      <c r="BA31" s="15">
        <f t="shared" ca="1" si="15"/>
        <v>-3.2081908869940889E-5</v>
      </c>
      <c r="BB31" s="15">
        <f t="shared" ca="1" si="16"/>
        <v>-2.5573496316155797E-6</v>
      </c>
      <c r="BC31" s="15">
        <f t="shared" ca="1" si="17"/>
        <v>-4.3080003422346635E-6</v>
      </c>
      <c r="BD31" s="15">
        <f t="shared" ca="1" si="18"/>
        <v>5.2161888191903927E-5</v>
      </c>
      <c r="BE31" s="15">
        <f t="shared" ca="1" si="19"/>
        <v>2.1075209261312011E-5</v>
      </c>
    </row>
    <row r="32" spans="1:57" x14ac:dyDescent="0.25">
      <c r="A32" t="s">
        <v>71</v>
      </c>
      <c r="B32" t="str" cm="1">
        <f t="array" aca="1" ref="B32" ca="1">LEFT(INDIRECT(ADDRESS(B$1,B$2,1,1,$A32)),FIND("-",INDIRECT(ADDRESS(B$1,B$2,1,1,$A32)))-1)</f>
        <v>P509</v>
      </c>
      <c r="C32" t="str" cm="1">
        <f t="array" aca="1" ref="C32" ca="1">RIGHT(INDIRECT(ADDRESS(B$1,B$2,1,1,$A32)),LEN(INDIRECT(ADDRESS(B$1,B$2,1,1,$A32)))-FIND("-",INDIRECT(ADDRESS(B$1,B$2,1,1,$A32))))</f>
        <v>south</v>
      </c>
      <c r="D32" s="10" cm="1">
        <f t="array" aca="1" ref="D32" ca="1">DATE(MID(INDIRECT(ADDRESS(D$1,D$2,1,1,$A32)),1,4),MID(INDIRECT(ADDRESS(D$1,D$2,1,1,$A32)),5,2),MID(INDIRECT(ADDRESS(D$1,D$2,1,1,$A32)),7,2))+TIME(MID(INDIRECT(ADDRESS(D$1,D$2,1,1,$A32)),10,2),MID(INDIRECT(ADDRESS(D$1,D$2,1,1,$A32)),12,2),0)</f>
        <v>44217.652777777781</v>
      </c>
      <c r="E32" cm="1">
        <f t="array" aca="1" ref="E32" ca="1">INDIRECT(ADDRESS(E$1,E$2,1,1,$A32))</f>
        <v>0</v>
      </c>
      <c r="F32" s="11" cm="1">
        <f t="array" aca="1" ref="F32" ca="1">VALUE(SUBSTITUTE(INDIRECT(ADDRESS(F$1,F$2,1,1,$A32)),"┬░C",""))</f>
        <v>20.100000000000001</v>
      </c>
      <c r="G32" s="12" cm="1">
        <f t="array" aca="1" ref="G32" ca="1">INDIRECT(ADDRESS(G$1,G$2,1,1,$A32))</f>
        <v>25.398</v>
      </c>
      <c r="H32" cm="1">
        <f t="array" aca="1" ref="H32" ca="1">INDIRECT(ADDRESS(H$1,H$2,1,1,$A32))</f>
        <v>25.4023</v>
      </c>
      <c r="I32" cm="1">
        <f t="array" aca="1" ref="I32" ca="1">INDIRECT(ADDRESS(I$1,I$2,1,1,$A32))</f>
        <v>25.4025</v>
      </c>
      <c r="J32" cm="1">
        <f t="array" aca="1" ref="J32" ca="1">INDIRECT(ADDRESS(J$1,J$2,1,1,$A32))</f>
        <v>25.403099999999998</v>
      </c>
      <c r="K32" s="13" cm="1">
        <f t="array" aca="1" ref="K32" ca="1">INDIRECT(ADDRESS(K$1,K$2,1,1,$A32))</f>
        <v>25.4011</v>
      </c>
      <c r="L32" s="14" cm="1">
        <f t="array" aca="1" ref="L32" ca="1">SQRT(SUMSQ(Y32:AA32-V32:X32))</f>
        <v>72.877437795657997</v>
      </c>
      <c r="M32" s="15" cm="1">
        <f t="array" aca="1" ref="M32" ca="1">SQRT(SUMSQ(AB32:AD32-V32:X32))</f>
        <v>73.711912408375355</v>
      </c>
      <c r="N32" s="15" cm="1">
        <f t="array" aca="1" ref="N32" ca="1">SQRT(SUMSQ(AE32:AG32-V32:X32))</f>
        <v>72.338889654528145</v>
      </c>
      <c r="O32" s="15" cm="1">
        <f t="array" aca="1" ref="O32" ca="1">SQRT(SUMSQ(AH32:AJ32-V32:X32))</f>
        <v>71.963453773286901</v>
      </c>
      <c r="P32" s="15" cm="1">
        <f t="array" aca="1" ref="P32" ca="1">SQRT(SUMSQ(AB32:AD32-Y32:AA32))</f>
        <v>125.92940117462641</v>
      </c>
      <c r="Q32" s="15" cm="1">
        <f t="array" aca="1" ref="Q32" ca="1">SQRT(SUMSQ(AE32:AG32-Y32:AA32))</f>
        <v>145.21340219260068</v>
      </c>
      <c r="R32" s="15" cm="1">
        <f t="array" aca="1" ref="R32" ca="1">SQRT(SUMSQ(AH32:AJ32-Y32:AA32))</f>
        <v>74.990992949686969</v>
      </c>
      <c r="S32" s="15" cm="1">
        <f t="array" aca="1" ref="S32" ca="1">SQRT(SUMSQ(AE32:AG32-AB32:AD32))</f>
        <v>73.986512172625083</v>
      </c>
      <c r="T32" s="15" cm="1">
        <f t="array" aca="1" ref="T32" ca="1">SQRT(SUMSQ(AH32:AJ32-AB32:AD32))</f>
        <v>145.67191618668301</v>
      </c>
      <c r="U32" s="16" cm="1">
        <f t="array" aca="1" ref="U32" ca="1">SQRT(SUMSQ(AH32:AJ32-AE32:AG32))</f>
        <v>123.92106597221475</v>
      </c>
      <c r="V32" cm="1">
        <f t="array" aca="1" ref="V32" ca="1">INDIRECT(ADDRESS(V$1,V$2,1,1,$A32))</f>
        <v>0</v>
      </c>
      <c r="W32" cm="1">
        <f t="array" aca="1" ref="W32" ca="1">INDIRECT(ADDRESS(W$1,W$2,1,1,$A32))</f>
        <v>0</v>
      </c>
      <c r="X32" cm="1">
        <f t="array" aca="1" ref="X32" ca="1">INDIRECT(ADDRESS(X$1,X$2,1,1,$A32))</f>
        <v>0</v>
      </c>
      <c r="Y32" cm="1">
        <f t="array" aca="1" ref="Y32" ca="1">INDIRECT(ADDRESS(Y$1,Y$2,1,1,$A32))</f>
        <v>62.478999999999999</v>
      </c>
      <c r="Z32" cm="1">
        <f t="array" aca="1" ref="Z32" ca="1">INDIRECT(ADDRESS(Z$1,Z$2,1,1,$A32))</f>
        <v>37.516500000000001</v>
      </c>
      <c r="AA32" cm="1">
        <f t="array" aca="1" ref="AA32" ca="1">INDIRECT(ADDRESS(AA$1,AA$2,1,1,$A32))</f>
        <v>8.7900000000000006E-2</v>
      </c>
      <c r="AB32" cm="1">
        <f t="array" aca="1" ref="AB32" ca="1">INDIRECT(ADDRESS(AB$1,AB$2,1,1,$A32))</f>
        <v>-63.450400000000002</v>
      </c>
      <c r="AC32" cm="1">
        <f t="array" aca="1" ref="AC32" ca="1">INDIRECT(ADDRESS(AC$1,AC$2,1,1,$A32))</f>
        <v>37.516500000000001</v>
      </c>
      <c r="AD32" cm="1">
        <f t="array" aca="1" ref="AD32" ca="1">INDIRECT(ADDRESS(AD$1,AD$2,1,1,$A32))</f>
        <v>7.0699999999999999E-2</v>
      </c>
      <c r="AE32" cm="1">
        <f t="array" aca="1" ref="AE32" ca="1">INDIRECT(ADDRESS(AE$1,AE$2,1,1,$A32))</f>
        <v>-62.476500000000001</v>
      </c>
      <c r="AF32" cm="1">
        <f t="array" aca="1" ref="AF32" ca="1">INDIRECT(ADDRESS(AF$1,AF$2,1,1,$A32))</f>
        <v>-36.4636</v>
      </c>
      <c r="AG32" cm="1">
        <f t="array" aca="1" ref="AG32" ca="1">INDIRECT(ADDRESS(AG$1,AG$2,1,1,$A32))</f>
        <v>8.8200000000000001E-2</v>
      </c>
      <c r="AH32" cm="1">
        <f t="array" aca="1" ref="AH32" ca="1">INDIRECT(ADDRESS(AH$1,AH$2,1,1,$A32))</f>
        <v>61.4405</v>
      </c>
      <c r="AI32" cm="1">
        <f t="array" aca="1" ref="AI32" ca="1">INDIRECT(ADDRESS(AI$1,AI$2,1,1,$A32))</f>
        <v>-37.467300000000002</v>
      </c>
      <c r="AJ32" cm="1">
        <f t="array" aca="1" ref="AJ32" ca="1">INDIRECT(ADDRESS(AJ$1,AJ$2,1,1,$A32))</f>
        <v>7.1199999999999999E-2</v>
      </c>
      <c r="AK32" s="15" cm="1">
        <f t="array" aca="1" ref="AK32" ca="1">INDIRECT(ADDRESS(AK$1,AK$2,1,1,$A32))</f>
        <v>72.877399999999994</v>
      </c>
      <c r="AL32" s="15" cm="1">
        <f t="array" aca="1" ref="AL32" ca="1">INDIRECT(ADDRESS(AL$1,AL$2,1,1,$A32))</f>
        <v>73.712000000000003</v>
      </c>
      <c r="AM32" s="15" cm="1">
        <f t="array" aca="1" ref="AM32" ca="1">INDIRECT(ADDRESS(AM$1,AM$2,1,1,$A32))</f>
        <v>72.338899999999995</v>
      </c>
      <c r="AN32" s="15" cm="1">
        <f t="array" aca="1" ref="AN32" ca="1">INDIRECT(ADDRESS(AN$1,AN$2,1,1,$A32))</f>
        <v>71.963499999999996</v>
      </c>
      <c r="AO32" s="15" cm="1">
        <f t="array" aca="1" ref="AO32" ca="1">INDIRECT(ADDRESS(AO$1,AO$2,1,1,$A32))</f>
        <v>125.9295</v>
      </c>
      <c r="AP32" s="15" cm="1">
        <f t="array" aca="1" ref="AP32" ca="1">INDIRECT(ADDRESS(AP$1,AP$2,1,1,$A32))</f>
        <v>145.21340000000001</v>
      </c>
      <c r="AQ32" s="15" cm="1">
        <f t="array" aca="1" ref="AQ32" ca="1">INDIRECT(ADDRESS(AQ$1,AQ$2,1,1,$A32))</f>
        <v>74.991</v>
      </c>
      <c r="AR32" s="15" cm="1">
        <f t="array" aca="1" ref="AR32" ca="1">INDIRECT(ADDRESS(AR$1,AR$2,1,1,$A32))</f>
        <v>73.986500000000007</v>
      </c>
      <c r="AS32" s="15" cm="1">
        <f t="array" aca="1" ref="AS32" ca="1">INDIRECT(ADDRESS(AS$1,AS$2,1,1,$A32))</f>
        <v>145.672</v>
      </c>
      <c r="AT32" s="15" cm="1">
        <f t="array" aca="1" ref="AT32" ca="1">INDIRECT(ADDRESS(AT$1,AT$2,1,1,$A32))</f>
        <v>123.92100000000001</v>
      </c>
      <c r="AV32" s="15">
        <f t="shared" ca="1" si="10"/>
        <v>-3.7795658002437449E-5</v>
      </c>
      <c r="AW32" s="15">
        <f t="shared" ca="1" si="11"/>
        <v>8.7591624648553079E-5</v>
      </c>
      <c r="AX32" s="15">
        <f t="shared" ca="1" si="12"/>
        <v>1.0345471849859678E-5</v>
      </c>
      <c r="AY32" s="15">
        <f t="shared" ca="1" si="13"/>
        <v>4.6226713095620653E-5</v>
      </c>
      <c r="AZ32" s="15">
        <f t="shared" ca="1" si="14"/>
        <v>9.8825373598288024E-5</v>
      </c>
      <c r="BA32" s="15">
        <f t="shared" ca="1" si="15"/>
        <v>-2.1926006752437388E-6</v>
      </c>
      <c r="BB32" s="15">
        <f t="shared" ca="1" si="16"/>
        <v>7.0503130302768113E-6</v>
      </c>
      <c r="BC32" s="15">
        <f t="shared" ca="1" si="17"/>
        <v>-1.2172625076800614E-5</v>
      </c>
      <c r="BD32" s="15">
        <f t="shared" ca="1" si="18"/>
        <v>8.3813316990699605E-5</v>
      </c>
      <c r="BE32" s="15">
        <f t="shared" ca="1" si="19"/>
        <v>-6.5972214741805146E-5</v>
      </c>
    </row>
    <row r="33" spans="1:57" x14ac:dyDescent="0.25">
      <c r="A33" t="s">
        <v>73</v>
      </c>
      <c r="B33" t="str" cm="1">
        <f t="array" aca="1" ref="B33" ca="1">LEFT(INDIRECT(ADDRESS(B$1,B$2,1,1,$A33)),FIND("-",INDIRECT(ADDRESS(B$1,B$2,1,1,$A33)))-1)</f>
        <v>P509</v>
      </c>
      <c r="C33" t="str" cm="1">
        <f t="array" aca="1" ref="C33" ca="1">RIGHT(INDIRECT(ADDRESS(B$1,B$2,1,1,$A33)),LEN(INDIRECT(ADDRESS(B$1,B$2,1,1,$A33)))-FIND("-",INDIRECT(ADDRESS(B$1,B$2,1,1,$A33))))</f>
        <v>south</v>
      </c>
      <c r="D33" s="10" cm="1">
        <f t="array" aca="1" ref="D33" ca="1">DATE(MID(INDIRECT(ADDRESS(D$1,D$2,1,1,$A33)),1,4),MID(INDIRECT(ADDRESS(D$1,D$2,1,1,$A33)),5,2),MID(INDIRECT(ADDRESS(D$1,D$2,1,1,$A33)),7,2))+TIME(MID(INDIRECT(ADDRESS(D$1,D$2,1,1,$A33)),10,2),MID(INDIRECT(ADDRESS(D$1,D$2,1,1,$A33)),12,2),0)</f>
        <v>44217.655555555553</v>
      </c>
      <c r="E33" cm="1">
        <f t="array" aca="1" ref="E33" ca="1">INDIRECT(ADDRESS(E$1,E$2,1,1,$A33))</f>
        <v>0</v>
      </c>
      <c r="F33" s="11" cm="1">
        <f t="array" aca="1" ref="F33" ca="1">VALUE(SUBSTITUTE(INDIRECT(ADDRESS(F$1,F$2,1,1,$A33)),"┬░C",""))</f>
        <v>20.100000000000001</v>
      </c>
      <c r="G33" s="12" cm="1">
        <f t="array" aca="1" ref="G33" ca="1">INDIRECT(ADDRESS(G$1,G$2,1,1,$A33))</f>
        <v>25.397600000000001</v>
      </c>
      <c r="H33" cm="1">
        <f t="array" aca="1" ref="H33" ca="1">INDIRECT(ADDRESS(H$1,H$2,1,1,$A33))</f>
        <v>25.401800000000001</v>
      </c>
      <c r="I33" cm="1">
        <f t="array" aca="1" ref="I33" ca="1">INDIRECT(ADDRESS(I$1,I$2,1,1,$A33))</f>
        <v>25.401800000000001</v>
      </c>
      <c r="J33" cm="1">
        <f t="array" aca="1" ref="J33" ca="1">INDIRECT(ADDRESS(J$1,J$2,1,1,$A33))</f>
        <v>25.403099999999998</v>
      </c>
      <c r="K33" s="13" cm="1">
        <f t="array" aca="1" ref="K33" ca="1">INDIRECT(ADDRESS(K$1,K$2,1,1,$A33))</f>
        <v>25.401499999999999</v>
      </c>
      <c r="L33" s="14" cm="1">
        <f t="array" aca="1" ref="L33" ca="1">SQRT(SUMSQ(Y33:AA33-V33:X33))</f>
        <v>72.877660540593652</v>
      </c>
      <c r="M33" s="15" cm="1">
        <f t="array" aca="1" ref="M33" ca="1">SQRT(SUMSQ(AB33:AD33-V33:X33))</f>
        <v>73.711192350551485</v>
      </c>
      <c r="N33" s="15" cm="1">
        <f t="array" aca="1" ref="N33" ca="1">SQRT(SUMSQ(AE33:AG33-V33:X33))</f>
        <v>72.338263458421508</v>
      </c>
      <c r="O33" s="15" cm="1">
        <f t="array" aca="1" ref="O33" ca="1">SQRT(SUMSQ(AH33:AJ33-V33:X33))</f>
        <v>71.96401810217381</v>
      </c>
      <c r="P33" s="15" cm="1">
        <f t="array" aca="1" ref="P33" ca="1">SQRT(SUMSQ(AB33:AD33-Y33:AA33))</f>
        <v>125.92930117462735</v>
      </c>
      <c r="Q33" s="15" cm="1">
        <f t="array" aca="1" ref="Q33" ca="1">SQRT(SUMSQ(AE33:AG33-Y33:AA33))</f>
        <v>145.21300704843904</v>
      </c>
      <c r="R33" s="15" cm="1">
        <f t="array" aca="1" ref="R33" ca="1">SQRT(SUMSQ(AH33:AJ33-Y33:AA33))</f>
        <v>74.990691593690471</v>
      </c>
      <c r="S33" s="15" cm="1">
        <f t="array" aca="1" ref="S33" ca="1">SQRT(SUMSQ(AE33:AG33-AB33:AD33))</f>
        <v>73.986416107282835</v>
      </c>
      <c r="T33" s="15" cm="1">
        <f t="array" aca="1" ref="T33" ca="1">SQRT(SUMSQ(AH33:AJ33-AB33:AD33))</f>
        <v>145.67176176359644</v>
      </c>
      <c r="U33" s="16" cm="1">
        <f t="array" aca="1" ref="U33" ca="1">SQRT(SUMSQ(AH33:AJ33-AE33:AG33))</f>
        <v>123.92076434863529</v>
      </c>
      <c r="V33" cm="1">
        <f t="array" aca="1" ref="V33" ca="1">INDIRECT(ADDRESS(V$1,V$2,1,1,$A33))</f>
        <v>0</v>
      </c>
      <c r="W33" cm="1">
        <f t="array" aca="1" ref="W33" ca="1">INDIRECT(ADDRESS(W$1,W$2,1,1,$A33))</f>
        <v>0</v>
      </c>
      <c r="X33" cm="1">
        <f t="array" aca="1" ref="X33" ca="1">INDIRECT(ADDRESS(X$1,X$2,1,1,$A33))</f>
        <v>0</v>
      </c>
      <c r="Y33" cm="1">
        <f t="array" aca="1" ref="Y33" ca="1">INDIRECT(ADDRESS(Y$1,Y$2,1,1,$A33))</f>
        <v>62.479500000000002</v>
      </c>
      <c r="Z33" cm="1">
        <f t="array" aca="1" ref="Z33" ca="1">INDIRECT(ADDRESS(Z$1,Z$2,1,1,$A33))</f>
        <v>37.516100000000002</v>
      </c>
      <c r="AA33" cm="1">
        <f t="array" aca="1" ref="AA33" ca="1">INDIRECT(ADDRESS(AA$1,AA$2,1,1,$A33))</f>
        <v>8.7900000000000006E-2</v>
      </c>
      <c r="AB33" cm="1">
        <f t="array" aca="1" ref="AB33" ca="1">INDIRECT(ADDRESS(AB$1,AB$2,1,1,$A33))</f>
        <v>-63.449800000000003</v>
      </c>
      <c r="AC33" cm="1">
        <f t="array" aca="1" ref="AC33" ca="1">INDIRECT(ADDRESS(AC$1,AC$2,1,1,$A33))</f>
        <v>37.516100000000002</v>
      </c>
      <c r="AD33" cm="1">
        <f t="array" aca="1" ref="AD33" ca="1">INDIRECT(ADDRESS(AD$1,AD$2,1,1,$A33))</f>
        <v>7.0699999999999999E-2</v>
      </c>
      <c r="AE33" cm="1">
        <f t="array" aca="1" ref="AE33" ca="1">INDIRECT(ADDRESS(AE$1,AE$2,1,1,$A33))</f>
        <v>-62.4756</v>
      </c>
      <c r="AF33" cm="1">
        <f t="array" aca="1" ref="AF33" ca="1">INDIRECT(ADDRESS(AF$1,AF$2,1,1,$A33))</f>
        <v>-36.463900000000002</v>
      </c>
      <c r="AG33" cm="1">
        <f t="array" aca="1" ref="AG33" ca="1">INDIRECT(ADDRESS(AG$1,AG$2,1,1,$A33))</f>
        <v>8.8099999999999998E-2</v>
      </c>
      <c r="AH33" cm="1">
        <f t="array" aca="1" ref="AH33" ca="1">INDIRECT(ADDRESS(AH$1,AH$2,1,1,$A33))</f>
        <v>61.441099999999999</v>
      </c>
      <c r="AI33" cm="1">
        <f t="array" aca="1" ref="AI33" ca="1">INDIRECT(ADDRESS(AI$1,AI$2,1,1,$A33))</f>
        <v>-37.467399999999998</v>
      </c>
      <c r="AJ33" cm="1">
        <f t="array" aca="1" ref="AJ33" ca="1">INDIRECT(ADDRESS(AJ$1,AJ$2,1,1,$A33))</f>
        <v>7.1199999999999999E-2</v>
      </c>
      <c r="AK33" s="15" cm="1">
        <f t="array" aca="1" ref="AK33" ca="1">INDIRECT(ADDRESS(AK$1,AK$2,1,1,$A33))</f>
        <v>72.877700000000004</v>
      </c>
      <c r="AL33" s="15" cm="1">
        <f t="array" aca="1" ref="AL33" ca="1">INDIRECT(ADDRESS(AL$1,AL$2,1,1,$A33))</f>
        <v>73.711200000000005</v>
      </c>
      <c r="AM33" s="15" cm="1">
        <f t="array" aca="1" ref="AM33" ca="1">INDIRECT(ADDRESS(AM$1,AM$2,1,1,$A33))</f>
        <v>72.338200000000001</v>
      </c>
      <c r="AN33" s="15" cm="1">
        <f t="array" aca="1" ref="AN33" ca="1">INDIRECT(ADDRESS(AN$1,AN$2,1,1,$A33))</f>
        <v>71.963999999999999</v>
      </c>
      <c r="AO33" s="15" cm="1">
        <f t="array" aca="1" ref="AO33" ca="1">INDIRECT(ADDRESS(AO$1,AO$2,1,1,$A33))</f>
        <v>125.9294</v>
      </c>
      <c r="AP33" s="15" cm="1">
        <f t="array" aca="1" ref="AP33" ca="1">INDIRECT(ADDRESS(AP$1,AP$2,1,1,$A33))</f>
        <v>145.21299999999999</v>
      </c>
      <c r="AQ33" s="15" cm="1">
        <f t="array" aca="1" ref="AQ33" ca="1">INDIRECT(ADDRESS(AQ$1,AQ$2,1,1,$A33))</f>
        <v>74.990700000000004</v>
      </c>
      <c r="AR33" s="15" cm="1">
        <f t="array" aca="1" ref="AR33" ca="1">INDIRECT(ADDRESS(AR$1,AR$2,1,1,$A33))</f>
        <v>73.9863</v>
      </c>
      <c r="AS33" s="15" cm="1">
        <f t="array" aca="1" ref="AS33" ca="1">INDIRECT(ADDRESS(AS$1,AS$2,1,1,$A33))</f>
        <v>145.67179999999999</v>
      </c>
      <c r="AT33" s="15" cm="1">
        <f t="array" aca="1" ref="AT33" ca="1">INDIRECT(ADDRESS(AT$1,AT$2,1,1,$A33))</f>
        <v>123.9207</v>
      </c>
      <c r="AV33" s="15">
        <f t="shared" ca="1" si="10"/>
        <v>3.9459406352193582E-5</v>
      </c>
      <c r="AW33" s="15">
        <f t="shared" ca="1" si="11"/>
        <v>7.6494485199418705E-6</v>
      </c>
      <c r="AX33" s="15">
        <f t="shared" ca="1" si="12"/>
        <v>-6.3458421507789353E-5</v>
      </c>
      <c r="AY33" s="15">
        <f t="shared" ca="1" si="13"/>
        <v>-1.8102173811485045E-5</v>
      </c>
      <c r="AZ33" s="15">
        <f t="shared" ca="1" si="14"/>
        <v>9.8825372646160758E-5</v>
      </c>
      <c r="BA33" s="15">
        <f t="shared" ca="1" si="15"/>
        <v>-7.0484390448655176E-6</v>
      </c>
      <c r="BB33" s="15">
        <f t="shared" ca="1" si="16"/>
        <v>8.4063095329156567E-6</v>
      </c>
      <c r="BC33" s="15">
        <f t="shared" ca="1" si="17"/>
        <v>-1.1610728283528715E-4</v>
      </c>
      <c r="BD33" s="15">
        <f t="shared" ca="1" si="18"/>
        <v>3.8236403554492426E-5</v>
      </c>
      <c r="BE33" s="15">
        <f t="shared" ca="1" si="19"/>
        <v>-6.4348635291366918E-5</v>
      </c>
    </row>
    <row r="34" spans="1:57" x14ac:dyDescent="0.25">
      <c r="A34" t="s">
        <v>75</v>
      </c>
      <c r="B34" t="str" cm="1">
        <f t="array" aca="1" ref="B34" ca="1">LEFT(INDIRECT(ADDRESS(B$1,B$2,1,1,$A34)),FIND("-",INDIRECT(ADDRESS(B$1,B$2,1,1,$A34)))-1)</f>
        <v>P509</v>
      </c>
      <c r="C34" t="str" cm="1">
        <f t="array" aca="1" ref="C34" ca="1">RIGHT(INDIRECT(ADDRESS(B$1,B$2,1,1,$A34)),LEN(INDIRECT(ADDRESS(B$1,B$2,1,1,$A34)))-FIND("-",INDIRECT(ADDRESS(B$1,B$2,1,1,$A34))))</f>
        <v>south</v>
      </c>
      <c r="D34" s="10" cm="1">
        <f t="array" aca="1" ref="D34" ca="1">DATE(MID(INDIRECT(ADDRESS(D$1,D$2,1,1,$A34)),1,4),MID(INDIRECT(ADDRESS(D$1,D$2,1,1,$A34)),5,2),MID(INDIRECT(ADDRESS(D$1,D$2,1,1,$A34)),7,2))+TIME(MID(INDIRECT(ADDRESS(D$1,D$2,1,1,$A34)),10,2),MID(INDIRECT(ADDRESS(D$1,D$2,1,1,$A34)),12,2),0)</f>
        <v>44217.657638888886</v>
      </c>
      <c r="E34" cm="1">
        <f t="array" aca="1" ref="E34" ca="1">INDIRECT(ADDRESS(E$1,E$2,1,1,$A34))</f>
        <v>0</v>
      </c>
      <c r="F34" s="11" cm="1">
        <f t="array" aca="1" ref="F34" ca="1">VALUE(SUBSTITUTE(INDIRECT(ADDRESS(F$1,F$2,1,1,$A34)),"┬░C",""))</f>
        <v>20.100000000000001</v>
      </c>
      <c r="G34" s="12" cm="1">
        <f t="array" aca="1" ref="G34" ca="1">INDIRECT(ADDRESS(G$1,G$2,1,1,$A34))</f>
        <v>25.3978</v>
      </c>
      <c r="H34" cm="1">
        <f t="array" aca="1" ref="H34" ca="1">INDIRECT(ADDRESS(H$1,H$2,1,1,$A34))</f>
        <v>25.4023</v>
      </c>
      <c r="I34" cm="1">
        <f t="array" aca="1" ref="I34" ca="1">INDIRECT(ADDRESS(I$1,I$2,1,1,$A34))</f>
        <v>25.402100000000001</v>
      </c>
      <c r="J34" cm="1">
        <f t="array" aca="1" ref="J34" ca="1">INDIRECT(ADDRESS(J$1,J$2,1,1,$A34))</f>
        <v>25.403099999999998</v>
      </c>
      <c r="K34" s="13" cm="1">
        <f t="array" aca="1" ref="K34" ca="1">INDIRECT(ADDRESS(K$1,K$2,1,1,$A34))</f>
        <v>25.401399999999999</v>
      </c>
      <c r="L34" s="14" cm="1">
        <f t="array" aca="1" ref="L34" ca="1">SQRT(SUMSQ(Y34:AA34-V34:X34))</f>
        <v>72.877900948984532</v>
      </c>
      <c r="M34" s="15" cm="1">
        <f t="array" aca="1" ref="M34" ca="1">SQRT(SUMSQ(AB34:AD34-V34:X34))</f>
        <v>73.711862187032011</v>
      </c>
      <c r="N34" s="15" cm="1">
        <f t="array" aca="1" ref="N34" ca="1">SQRT(SUMSQ(AE34:AG34-V34:X34))</f>
        <v>72.339112915973757</v>
      </c>
      <c r="O34" s="15" cm="1">
        <f t="array" aca="1" ref="O34" ca="1">SQRT(SUMSQ(AH34:AJ34-V34:X34))</f>
        <v>71.963321219285035</v>
      </c>
      <c r="P34" s="15" cm="1">
        <f t="array" aca="1" ref="P34" ca="1">SQRT(SUMSQ(AB34:AD34-Y34:AA34))</f>
        <v>125.93000110732153</v>
      </c>
      <c r="Q34" s="15" cm="1">
        <f t="array" aca="1" ref="Q34" ca="1">SQRT(SUMSQ(AE34:AG34-Y34:AA34))</f>
        <v>145.21409058951545</v>
      </c>
      <c r="R34" s="15" cm="1">
        <f t="array" aca="1" ref="R34" ca="1">SQRT(SUMSQ(AH34:AJ34-Y34:AA34))</f>
        <v>74.991306666172989</v>
      </c>
      <c r="S34" s="15" cm="1">
        <f t="array" aca="1" ref="S34" ca="1">SQRT(SUMSQ(AE34:AG34-AB34:AD34))</f>
        <v>73.986509400768455</v>
      </c>
      <c r="T34" s="15" cm="1">
        <f t="array" aca="1" ref="T34" ca="1">SQRT(SUMSQ(AH34:AJ34-AB34:AD34))</f>
        <v>145.67172767325167</v>
      </c>
      <c r="U34" s="16" cm="1">
        <f t="array" aca="1" ref="U34" ca="1">SQRT(SUMSQ(AH34:AJ34-AE34:AG34))</f>
        <v>123.92086832813915</v>
      </c>
      <c r="V34" cm="1">
        <f t="array" aca="1" ref="V34" ca="1">INDIRECT(ADDRESS(V$1,V$2,1,1,$A34))</f>
        <v>0</v>
      </c>
      <c r="W34" cm="1">
        <f t="array" aca="1" ref="W34" ca="1">INDIRECT(ADDRESS(W$1,W$2,1,1,$A34))</f>
        <v>0</v>
      </c>
      <c r="X34" cm="1">
        <f t="array" aca="1" ref="X34" ca="1">INDIRECT(ADDRESS(X$1,X$2,1,1,$A34))</f>
        <v>0</v>
      </c>
      <c r="Y34" cm="1">
        <f t="array" aca="1" ref="Y34" ca="1">INDIRECT(ADDRESS(Y$1,Y$2,1,1,$A34))</f>
        <v>62.479599999999998</v>
      </c>
      <c r="Z34" cm="1">
        <f t="array" aca="1" ref="Z34" ca="1">INDIRECT(ADDRESS(Z$1,Z$2,1,1,$A34))</f>
        <v>37.516399999999997</v>
      </c>
      <c r="AA34" cm="1">
        <f t="array" aca="1" ref="AA34" ca="1">INDIRECT(ADDRESS(AA$1,AA$2,1,1,$A34))</f>
        <v>8.8099999999999998E-2</v>
      </c>
      <c r="AB34" cm="1">
        <f t="array" aca="1" ref="AB34" ca="1">INDIRECT(ADDRESS(AB$1,AB$2,1,1,$A34))</f>
        <v>-63.450400000000002</v>
      </c>
      <c r="AC34" cm="1">
        <f t="array" aca="1" ref="AC34" ca="1">INDIRECT(ADDRESS(AC$1,AC$2,1,1,$A34))</f>
        <v>37.516399999999997</v>
      </c>
      <c r="AD34" cm="1">
        <f t="array" aca="1" ref="AD34" ca="1">INDIRECT(ADDRESS(AD$1,AD$2,1,1,$A34))</f>
        <v>7.1400000000000005E-2</v>
      </c>
      <c r="AE34" cm="1">
        <f t="array" aca="1" ref="AE34" ca="1">INDIRECT(ADDRESS(AE$1,AE$2,1,1,$A34))</f>
        <v>-62.476700000000001</v>
      </c>
      <c r="AF34" cm="1">
        <f t="array" aca="1" ref="AF34" ca="1">INDIRECT(ADDRESS(AF$1,AF$2,1,1,$A34))</f>
        <v>-36.463700000000003</v>
      </c>
      <c r="AG34" cm="1">
        <f t="array" aca="1" ref="AG34" ca="1">INDIRECT(ADDRESS(AG$1,AG$2,1,1,$A34))</f>
        <v>8.8300000000000003E-2</v>
      </c>
      <c r="AH34" cm="1">
        <f t="array" aca="1" ref="AH34" ca="1">INDIRECT(ADDRESS(AH$1,AH$2,1,1,$A34))</f>
        <v>61.440100000000001</v>
      </c>
      <c r="AI34" cm="1">
        <f t="array" aca="1" ref="AI34" ca="1">INDIRECT(ADDRESS(AI$1,AI$2,1,1,$A34))</f>
        <v>-37.467700000000001</v>
      </c>
      <c r="AJ34" cm="1">
        <f t="array" aca="1" ref="AJ34" ca="1">INDIRECT(ADDRESS(AJ$1,AJ$2,1,1,$A34))</f>
        <v>7.1900000000000006E-2</v>
      </c>
      <c r="AK34" s="15" cm="1">
        <f t="array" aca="1" ref="AK34" ca="1">INDIRECT(ADDRESS(AK$1,AK$2,1,1,$A34))</f>
        <v>72.877899999999997</v>
      </c>
      <c r="AL34" s="15" cm="1">
        <f t="array" aca="1" ref="AL34" ca="1">INDIRECT(ADDRESS(AL$1,AL$2,1,1,$A34))</f>
        <v>73.711799999999997</v>
      </c>
      <c r="AM34" s="15" cm="1">
        <f t="array" aca="1" ref="AM34" ca="1">INDIRECT(ADDRESS(AM$1,AM$2,1,1,$A34))</f>
        <v>72.339100000000002</v>
      </c>
      <c r="AN34" s="15" cm="1">
        <f t="array" aca="1" ref="AN34" ca="1">INDIRECT(ADDRESS(AN$1,AN$2,1,1,$A34))</f>
        <v>71.963300000000004</v>
      </c>
      <c r="AO34" s="15" cm="1">
        <f t="array" aca="1" ref="AO34" ca="1">INDIRECT(ADDRESS(AO$1,AO$2,1,1,$A34))</f>
        <v>125.93</v>
      </c>
      <c r="AP34" s="15" cm="1">
        <f t="array" aca="1" ref="AP34" ca="1">INDIRECT(ADDRESS(AP$1,AP$2,1,1,$A34))</f>
        <v>145.2141</v>
      </c>
      <c r="AQ34" s="15" cm="1">
        <f t="array" aca="1" ref="AQ34" ca="1">INDIRECT(ADDRESS(AQ$1,AQ$2,1,1,$A34))</f>
        <v>74.991299999999995</v>
      </c>
      <c r="AR34" s="15" cm="1">
        <f t="array" aca="1" ref="AR34" ca="1">INDIRECT(ADDRESS(AR$1,AR$2,1,1,$A34))</f>
        <v>73.986400000000003</v>
      </c>
      <c r="AS34" s="15" cm="1">
        <f t="array" aca="1" ref="AS34" ca="1">INDIRECT(ADDRESS(AS$1,AS$2,1,1,$A34))</f>
        <v>145.67169999999999</v>
      </c>
      <c r="AT34" s="15" cm="1">
        <f t="array" aca="1" ref="AT34" ca="1">INDIRECT(ADDRESS(AT$1,AT$2,1,1,$A34))</f>
        <v>123.9209</v>
      </c>
      <c r="AV34" s="15">
        <f t="shared" ca="1" si="10"/>
        <v>-9.4898453539826733E-7</v>
      </c>
      <c r="AW34" s="15">
        <f t="shared" ca="1" si="11"/>
        <v>-6.2187032014549004E-5</v>
      </c>
      <c r="AX34" s="15">
        <f t="shared" ca="1" si="12"/>
        <v>-1.2915973755411869E-5</v>
      </c>
      <c r="AY34" s="15">
        <f t="shared" ca="1" si="13"/>
        <v>-2.1219285031293111E-5</v>
      </c>
      <c r="AZ34" s="15">
        <f t="shared" ca="1" si="14"/>
        <v>-1.1073215233636802E-6</v>
      </c>
      <c r="BA34" s="15">
        <f t="shared" ca="1" si="15"/>
        <v>9.4104845516085334E-6</v>
      </c>
      <c r="BB34" s="15">
        <f t="shared" ca="1" si="16"/>
        <v>-6.6661729931638547E-6</v>
      </c>
      <c r="BC34" s="15">
        <f t="shared" ca="1" si="17"/>
        <v>-1.0940076845145086E-4</v>
      </c>
      <c r="BD34" s="15">
        <f t="shared" ca="1" si="18"/>
        <v>-2.7673251679516397E-5</v>
      </c>
      <c r="BE34" s="15">
        <f t="shared" ca="1" si="19"/>
        <v>3.1671860853066391E-5</v>
      </c>
    </row>
    <row r="35" spans="1:57" x14ac:dyDescent="0.25">
      <c r="A35" t="s">
        <v>77</v>
      </c>
      <c r="B35" t="str" cm="1">
        <f t="array" aca="1" ref="B35" ca="1">LEFT(INDIRECT(ADDRESS(B$1,B$2,1,1,$A35)),FIND("-",INDIRECT(ADDRESS(B$1,B$2,1,1,$A35)))-1)</f>
        <v>P509</v>
      </c>
      <c r="C35" t="str" cm="1">
        <f t="array" aca="1" ref="C35" ca="1">RIGHT(INDIRECT(ADDRESS(B$1,B$2,1,1,$A35)),LEN(INDIRECT(ADDRESS(B$1,B$2,1,1,$A35)))-FIND("-",INDIRECT(ADDRESS(B$1,B$2,1,1,$A35))))</f>
        <v>south</v>
      </c>
      <c r="D35" s="10" cm="1">
        <f t="array" aca="1" ref="D35" ca="1">DATE(MID(INDIRECT(ADDRESS(D$1,D$2,1,1,$A35)),1,4),MID(INDIRECT(ADDRESS(D$1,D$2,1,1,$A35)),5,2),MID(INDIRECT(ADDRESS(D$1,D$2,1,1,$A35)),7,2))+TIME(MID(INDIRECT(ADDRESS(D$1,D$2,1,1,$A35)),10,2),MID(INDIRECT(ADDRESS(D$1,D$2,1,1,$A35)),12,2),0)</f>
        <v>44217.659722222219</v>
      </c>
      <c r="E35" cm="1">
        <f t="array" aca="1" ref="E35" ca="1">INDIRECT(ADDRESS(E$1,E$2,1,1,$A35))</f>
        <v>0</v>
      </c>
      <c r="F35" s="11" cm="1">
        <f t="array" aca="1" ref="F35" ca="1">VALUE(SUBSTITUTE(INDIRECT(ADDRESS(F$1,F$2,1,1,$A35)),"┬░C",""))</f>
        <v>20.100000000000001</v>
      </c>
      <c r="G35" s="12" cm="1">
        <f t="array" aca="1" ref="G35" ca="1">INDIRECT(ADDRESS(G$1,G$2,1,1,$A35))</f>
        <v>25.398399999999999</v>
      </c>
      <c r="H35" cm="1">
        <f t="array" aca="1" ref="H35" ca="1">INDIRECT(ADDRESS(H$1,H$2,1,1,$A35))</f>
        <v>25.402200000000001</v>
      </c>
      <c r="I35" cm="1">
        <f t="array" aca="1" ref="I35" ca="1">INDIRECT(ADDRESS(I$1,I$2,1,1,$A35))</f>
        <v>25.401700000000002</v>
      </c>
      <c r="J35" cm="1">
        <f t="array" aca="1" ref="J35" ca="1">INDIRECT(ADDRESS(J$1,J$2,1,1,$A35))</f>
        <v>25.403300000000002</v>
      </c>
      <c r="K35" s="13" cm="1">
        <f t="array" aca="1" ref="K35" ca="1">INDIRECT(ADDRESS(K$1,K$2,1,1,$A35))</f>
        <v>25.402100000000001</v>
      </c>
      <c r="L35" s="14" cm="1">
        <f t="array" aca="1" ref="L35" ca="1">SQRT(SUMSQ(Y35:AA35-V35:X35))</f>
        <v>72.878055948893149</v>
      </c>
      <c r="M35" s="15" cm="1">
        <f t="array" aca="1" ref="M35" ca="1">SQRT(SUMSQ(AB35:AD35-V35:X35))</f>
        <v>73.711666616418327</v>
      </c>
      <c r="N35" s="15" cm="1">
        <f t="array" aca="1" ref="N35" ca="1">SQRT(SUMSQ(AE35:AG35-V35:X35))</f>
        <v>72.338472882277514</v>
      </c>
      <c r="O35" s="15" cm="1">
        <f t="array" aca="1" ref="O35" ca="1">SQRT(SUMSQ(AH35:AJ35-V35:X35))</f>
        <v>71.963672802115937</v>
      </c>
      <c r="P35" s="15" cm="1">
        <f t="array" aca="1" ref="P35" ca="1">SQRT(SUMSQ(AB35:AD35-Y35:AA35))</f>
        <v>125.92900117463014</v>
      </c>
      <c r="Q35" s="15" cm="1">
        <f t="array" aca="1" ref="Q35" ca="1">SQRT(SUMSQ(AE35:AG35-Y35:AA35))</f>
        <v>145.21360255888564</v>
      </c>
      <c r="R35" s="15" cm="1">
        <f t="array" aca="1" ref="R35" ca="1">SQRT(SUMSQ(AH35:AJ35-Y35:AA35))</f>
        <v>74.991290173859539</v>
      </c>
      <c r="S35" s="15" cm="1">
        <f t="array" aca="1" ref="S35" ca="1">SQRT(SUMSQ(AE35:AG35-AB35:AD35))</f>
        <v>73.987410778388508</v>
      </c>
      <c r="T35" s="15" cm="1">
        <f t="array" aca="1" ref="T35" ca="1">SQRT(SUMSQ(AH35:AJ35-AB35:AD35))</f>
        <v>145.6718991413924</v>
      </c>
      <c r="U35" s="16" cm="1">
        <f t="array" aca="1" ref="U35" ca="1">SQRT(SUMSQ(AH35:AJ35-AE35:AG35))</f>
        <v>123.92096113099672</v>
      </c>
      <c r="V35" cm="1">
        <f t="array" aca="1" ref="V35" ca="1">INDIRECT(ADDRESS(V$1,V$2,1,1,$A35))</f>
        <v>0</v>
      </c>
      <c r="W35" cm="1">
        <f t="array" aca="1" ref="W35" ca="1">INDIRECT(ADDRESS(W$1,W$2,1,1,$A35))</f>
        <v>0</v>
      </c>
      <c r="X35" cm="1">
        <f t="array" aca="1" ref="X35" ca="1">INDIRECT(ADDRESS(X$1,X$2,1,1,$A35))</f>
        <v>0</v>
      </c>
      <c r="Y35" cm="1">
        <f t="array" aca="1" ref="Y35" ca="1">INDIRECT(ADDRESS(Y$1,Y$2,1,1,$A35))</f>
        <v>62.479300000000002</v>
      </c>
      <c r="Z35" cm="1">
        <f t="array" aca="1" ref="Z35" ca="1">INDIRECT(ADDRESS(Z$1,Z$2,1,1,$A35))</f>
        <v>37.517200000000003</v>
      </c>
      <c r="AA35" cm="1">
        <f t="array" aca="1" ref="AA35" ca="1">INDIRECT(ADDRESS(AA$1,AA$2,1,1,$A35))</f>
        <v>8.8400000000000006E-2</v>
      </c>
      <c r="AB35" cm="1">
        <f t="array" aca="1" ref="AB35" ca="1">INDIRECT(ADDRESS(AB$1,AB$2,1,1,$A35))</f>
        <v>-63.4497</v>
      </c>
      <c r="AC35" cm="1">
        <f t="array" aca="1" ref="AC35" ca="1">INDIRECT(ADDRESS(AC$1,AC$2,1,1,$A35))</f>
        <v>37.517200000000003</v>
      </c>
      <c r="AD35" cm="1">
        <f t="array" aca="1" ref="AD35" ca="1">INDIRECT(ADDRESS(AD$1,AD$2,1,1,$A35))</f>
        <v>7.1199999999999999E-2</v>
      </c>
      <c r="AE35" cm="1">
        <f t="array" aca="1" ref="AE35" ca="1">INDIRECT(ADDRESS(AE$1,AE$2,1,1,$A35))</f>
        <v>-62.475900000000003</v>
      </c>
      <c r="AF35" cm="1">
        <f t="array" aca="1" ref="AF35" ca="1">INDIRECT(ADDRESS(AF$1,AF$2,1,1,$A35))</f>
        <v>-36.463799999999999</v>
      </c>
      <c r="AG35" cm="1">
        <f t="array" aca="1" ref="AG35" ca="1">INDIRECT(ADDRESS(AG$1,AG$2,1,1,$A35))</f>
        <v>8.8700000000000001E-2</v>
      </c>
      <c r="AH35" cm="1">
        <f t="array" aca="1" ref="AH35" ca="1">INDIRECT(ADDRESS(AH$1,AH$2,1,1,$A35))</f>
        <v>61.441000000000003</v>
      </c>
      <c r="AI35" cm="1">
        <f t="array" aca="1" ref="AI35" ca="1">INDIRECT(ADDRESS(AI$1,AI$2,1,1,$A35))</f>
        <v>-37.466900000000003</v>
      </c>
      <c r="AJ35" cm="1">
        <f t="array" aca="1" ref="AJ35" ca="1">INDIRECT(ADDRESS(AJ$1,AJ$2,1,1,$A35))</f>
        <v>7.1599999999999997E-2</v>
      </c>
      <c r="AK35" s="15" cm="1">
        <f t="array" aca="1" ref="AK35" ca="1">INDIRECT(ADDRESS(AK$1,AK$2,1,1,$A35))</f>
        <v>72.878</v>
      </c>
      <c r="AL35" s="15" cm="1">
        <f t="array" aca="1" ref="AL35" ca="1">INDIRECT(ADDRESS(AL$1,AL$2,1,1,$A35))</f>
        <v>73.711699999999993</v>
      </c>
      <c r="AM35" s="15" cm="1">
        <f t="array" aca="1" ref="AM35" ca="1">INDIRECT(ADDRESS(AM$1,AM$2,1,1,$A35))</f>
        <v>72.338399999999993</v>
      </c>
      <c r="AN35" s="15" cm="1">
        <f t="array" aca="1" ref="AN35" ca="1">INDIRECT(ADDRESS(AN$1,AN$2,1,1,$A35))</f>
        <v>71.963700000000003</v>
      </c>
      <c r="AO35" s="15" cm="1">
        <f t="array" aca="1" ref="AO35" ca="1">INDIRECT(ADDRESS(AO$1,AO$2,1,1,$A35))</f>
        <v>125.929</v>
      </c>
      <c r="AP35" s="15" cm="1">
        <f t="array" aca="1" ref="AP35" ca="1">INDIRECT(ADDRESS(AP$1,AP$2,1,1,$A35))</f>
        <v>145.21360000000001</v>
      </c>
      <c r="AQ35" s="15" cm="1">
        <f t="array" aca="1" ref="AQ35" ca="1">INDIRECT(ADDRESS(AQ$1,AQ$2,1,1,$A35))</f>
        <v>74.991299999999995</v>
      </c>
      <c r="AR35" s="15" cm="1">
        <f t="array" aca="1" ref="AR35" ca="1">INDIRECT(ADDRESS(AR$1,AR$2,1,1,$A35))</f>
        <v>73.987399999999994</v>
      </c>
      <c r="AS35" s="15" cm="1">
        <f t="array" aca="1" ref="AS35" ca="1">INDIRECT(ADDRESS(AS$1,AS$2,1,1,$A35))</f>
        <v>145.672</v>
      </c>
      <c r="AT35" s="15" cm="1">
        <f t="array" aca="1" ref="AT35" ca="1">INDIRECT(ADDRESS(AT$1,AT$2,1,1,$A35))</f>
        <v>123.92100000000001</v>
      </c>
      <c r="AV35" s="15">
        <f t="shared" ca="1" si="10"/>
        <v>-5.594889314863849E-5</v>
      </c>
      <c r="AW35" s="15">
        <f t="shared" ca="1" si="11"/>
        <v>3.3383581666157625E-5</v>
      </c>
      <c r="AX35" s="15">
        <f t="shared" ca="1" si="12"/>
        <v>-7.2882277521557626E-5</v>
      </c>
      <c r="AY35" s="15">
        <f t="shared" ca="1" si="13"/>
        <v>2.7197884065799371E-5</v>
      </c>
      <c r="AZ35" s="15">
        <f t="shared" ca="1" si="14"/>
        <v>-1.1746301424864214E-6</v>
      </c>
      <c r="BA35" s="15">
        <f t="shared" ca="1" si="15"/>
        <v>-2.558885626058327E-6</v>
      </c>
      <c r="BB35" s="15">
        <f t="shared" ca="1" si="16"/>
        <v>9.8261404559707444E-6</v>
      </c>
      <c r="BC35" s="15">
        <f t="shared" ca="1" si="17"/>
        <v>-1.0778388514154358E-5</v>
      </c>
      <c r="BD35" s="15">
        <f t="shared" ca="1" si="18"/>
        <v>1.008586075954554E-4</v>
      </c>
      <c r="BE35" s="15">
        <f t="shared" ca="1" si="19"/>
        <v>3.8869003290642468E-5</v>
      </c>
    </row>
    <row r="36" spans="1:57" x14ac:dyDescent="0.25">
      <c r="A36" t="s">
        <v>79</v>
      </c>
      <c r="B36" t="str" cm="1">
        <f t="array" aca="1" ref="B36" ca="1">LEFT(INDIRECT(ADDRESS(B$1,B$2,1,1,$A36)),FIND("-",INDIRECT(ADDRESS(B$1,B$2,1,1,$A36)))-1)</f>
        <v>P509</v>
      </c>
      <c r="C36" t="str" cm="1">
        <f t="array" aca="1" ref="C36" ca="1">RIGHT(INDIRECT(ADDRESS(B$1,B$2,1,1,$A36)),LEN(INDIRECT(ADDRESS(B$1,B$2,1,1,$A36)))-FIND("-",INDIRECT(ADDRESS(B$1,B$2,1,1,$A36))))</f>
        <v>south</v>
      </c>
      <c r="D36" s="10" cm="1">
        <f t="array" aca="1" ref="D36" ca="1">DATE(MID(INDIRECT(ADDRESS(D$1,D$2,1,1,$A36)),1,4),MID(INDIRECT(ADDRESS(D$1,D$2,1,1,$A36)),5,2),MID(INDIRECT(ADDRESS(D$1,D$2,1,1,$A36)),7,2))+TIME(MID(INDIRECT(ADDRESS(D$1,D$2,1,1,$A36)),10,2),MID(INDIRECT(ADDRESS(D$1,D$2,1,1,$A36)),12,2),0)</f>
        <v>44217.662499999999</v>
      </c>
      <c r="E36" cm="1">
        <f t="array" aca="1" ref="E36" ca="1">INDIRECT(ADDRESS(E$1,E$2,1,1,$A36))</f>
        <v>0</v>
      </c>
      <c r="F36" s="11" cm="1">
        <f t="array" aca="1" ref="F36" ca="1">VALUE(SUBSTITUTE(INDIRECT(ADDRESS(F$1,F$2,1,1,$A36)),"┬░C",""))</f>
        <v>20.100000000000001</v>
      </c>
      <c r="G36" s="12" cm="1">
        <f t="array" aca="1" ref="G36" ca="1">INDIRECT(ADDRESS(G$1,G$2,1,1,$A36))</f>
        <v>25.398399999999999</v>
      </c>
      <c r="H36" cm="1">
        <f t="array" aca="1" ref="H36" ca="1">INDIRECT(ADDRESS(H$1,H$2,1,1,$A36))</f>
        <v>25.402100000000001</v>
      </c>
      <c r="I36" cm="1">
        <f t="array" aca="1" ref="I36" ca="1">INDIRECT(ADDRESS(I$1,I$2,1,1,$A36))</f>
        <v>25.402100000000001</v>
      </c>
      <c r="J36" cm="1">
        <f t="array" aca="1" ref="J36" ca="1">INDIRECT(ADDRESS(J$1,J$2,1,1,$A36))</f>
        <v>25.4039</v>
      </c>
      <c r="K36" s="13" cm="1">
        <f t="array" aca="1" ref="K36" ca="1">INDIRECT(ADDRESS(K$1,K$2,1,1,$A36))</f>
        <v>25.401599999999998</v>
      </c>
      <c r="L36" s="14" cm="1">
        <f t="array" aca="1" ref="L36" ca="1">SQRT(SUMSQ(Y36:AA36-V36:X36))</f>
        <v>72.87776410195363</v>
      </c>
      <c r="M36" s="15" cm="1">
        <f t="array" aca="1" ref="M36" ca="1">SQRT(SUMSQ(AB36:AD36-V36:X36))</f>
        <v>73.711037067389029</v>
      </c>
      <c r="N36" s="15" cm="1">
        <f t="array" aca="1" ref="N36" ca="1">SQRT(SUMSQ(AE36:AG36-V36:X36))</f>
        <v>72.338429417841255</v>
      </c>
      <c r="O36" s="15" cm="1">
        <f t="array" aca="1" ref="O36" ca="1">SQRT(SUMSQ(AH36:AJ36-V36:X36))</f>
        <v>71.963781817939505</v>
      </c>
      <c r="P36" s="15" cm="1">
        <f t="array" aca="1" ref="P36" ca="1">SQRT(SUMSQ(AB36:AD36-Y36:AA36))</f>
        <v>125.92900108096626</v>
      </c>
      <c r="Q36" s="15" cm="1">
        <f t="array" aca="1" ref="Q36" ca="1">SQRT(SUMSQ(AE36:AG36-Y36:AA36))</f>
        <v>145.2132686181948</v>
      </c>
      <c r="R36" s="15" cm="1">
        <f t="array" aca="1" ref="R36" ca="1">SQRT(SUMSQ(AH36:AJ36-Y36:AA36))</f>
        <v>74.991096963973007</v>
      </c>
      <c r="S36" s="15" cm="1">
        <f t="array" aca="1" ref="S36" ca="1">SQRT(SUMSQ(AE36:AG36-AB36:AD36))</f>
        <v>73.98590414416789</v>
      </c>
      <c r="T36" s="15" cm="1">
        <f t="array" aca="1" ref="T36" ca="1">SQRT(SUMSQ(AH36:AJ36-AB36:AD36))</f>
        <v>145.671367520903</v>
      </c>
      <c r="U36" s="16" cm="1">
        <f t="array" aca="1" ref="U36" ca="1">SQRT(SUMSQ(AH36:AJ36-AE36:AG36))</f>
        <v>123.92097155308298</v>
      </c>
      <c r="V36" cm="1">
        <f t="array" aca="1" ref="V36" ca="1">INDIRECT(ADDRESS(V$1,V$2,1,1,$A36))</f>
        <v>0</v>
      </c>
      <c r="W36" cm="1">
        <f t="array" aca="1" ref="W36" ca="1">INDIRECT(ADDRESS(W$1,W$2,1,1,$A36))</f>
        <v>0</v>
      </c>
      <c r="X36" cm="1">
        <f t="array" aca="1" ref="X36" ca="1">INDIRECT(ADDRESS(X$1,X$2,1,1,$A36))</f>
        <v>0</v>
      </c>
      <c r="Y36" cm="1">
        <f t="array" aca="1" ref="Y36" ca="1">INDIRECT(ADDRESS(Y$1,Y$2,1,1,$A36))</f>
        <v>62.479500000000002</v>
      </c>
      <c r="Z36" cm="1">
        <f t="array" aca="1" ref="Z36" ca="1">INDIRECT(ADDRESS(Z$1,Z$2,1,1,$A36))</f>
        <v>37.516300000000001</v>
      </c>
      <c r="AA36" cm="1">
        <f t="array" aca="1" ref="AA36" ca="1">INDIRECT(ADDRESS(AA$1,AA$2,1,1,$A36))</f>
        <v>8.8400000000000006E-2</v>
      </c>
      <c r="AB36" cm="1">
        <f t="array" aca="1" ref="AB36" ca="1">INDIRECT(ADDRESS(AB$1,AB$2,1,1,$A36))</f>
        <v>-63.4495</v>
      </c>
      <c r="AC36" cm="1">
        <f t="array" aca="1" ref="AC36" ca="1">INDIRECT(ADDRESS(AC$1,AC$2,1,1,$A36))</f>
        <v>37.516300000000001</v>
      </c>
      <c r="AD36" cm="1">
        <f t="array" aca="1" ref="AD36" ca="1">INDIRECT(ADDRESS(AD$1,AD$2,1,1,$A36))</f>
        <v>7.1900000000000006E-2</v>
      </c>
      <c r="AE36" cm="1">
        <f t="array" aca="1" ref="AE36" ca="1">INDIRECT(ADDRESS(AE$1,AE$2,1,1,$A36))</f>
        <v>-62.476199999999999</v>
      </c>
      <c r="AF36" cm="1">
        <f t="array" aca="1" ref="AF36" ca="1">INDIRECT(ADDRESS(AF$1,AF$2,1,1,$A36))</f>
        <v>-36.463200000000001</v>
      </c>
      <c r="AG36" cm="1">
        <f t="array" aca="1" ref="AG36" ca="1">INDIRECT(ADDRESS(AG$1,AG$2,1,1,$A36))</f>
        <v>8.8599999999999998E-2</v>
      </c>
      <c r="AH36" cm="1">
        <f t="array" aca="1" ref="AH36" ca="1">INDIRECT(ADDRESS(AH$1,AH$2,1,1,$A36))</f>
        <v>61.4407</v>
      </c>
      <c r="AI36" cm="1">
        <f t="array" aca="1" ref="AI36" ca="1">INDIRECT(ADDRESS(AI$1,AI$2,1,1,$A36))</f>
        <v>-37.467599999999997</v>
      </c>
      <c r="AJ36" cm="1">
        <f t="array" aca="1" ref="AJ36" ca="1">INDIRECT(ADDRESS(AJ$1,AJ$2,1,1,$A36))</f>
        <v>7.2300000000000003E-2</v>
      </c>
      <c r="AK36" s="15" cm="1">
        <f t="array" aca="1" ref="AK36" ca="1">INDIRECT(ADDRESS(AK$1,AK$2,1,1,$A36))</f>
        <v>72.877799999999993</v>
      </c>
      <c r="AL36" s="15" cm="1">
        <f t="array" aca="1" ref="AL36" ca="1">INDIRECT(ADDRESS(AL$1,AL$2,1,1,$A36))</f>
        <v>73.711100000000002</v>
      </c>
      <c r="AM36" s="15" cm="1">
        <f t="array" aca="1" ref="AM36" ca="1">INDIRECT(ADDRESS(AM$1,AM$2,1,1,$A36))</f>
        <v>72.338399999999993</v>
      </c>
      <c r="AN36" s="15" cm="1">
        <f t="array" aca="1" ref="AN36" ca="1">INDIRECT(ADDRESS(AN$1,AN$2,1,1,$A36))</f>
        <v>71.963800000000006</v>
      </c>
      <c r="AO36" s="15" cm="1">
        <f t="array" aca="1" ref="AO36" ca="1">INDIRECT(ADDRESS(AO$1,AO$2,1,1,$A36))</f>
        <v>125.929</v>
      </c>
      <c r="AP36" s="15" cm="1">
        <f t="array" aca="1" ref="AP36" ca="1">INDIRECT(ADDRESS(AP$1,AP$2,1,1,$A36))</f>
        <v>145.2133</v>
      </c>
      <c r="AQ36" s="15" cm="1">
        <f t="array" aca="1" ref="AQ36" ca="1">INDIRECT(ADDRESS(AQ$1,AQ$2,1,1,$A36))</f>
        <v>74.991200000000006</v>
      </c>
      <c r="AR36" s="15" cm="1">
        <f t="array" aca="1" ref="AR36" ca="1">INDIRECT(ADDRESS(AR$1,AR$2,1,1,$A36))</f>
        <v>73.985900000000001</v>
      </c>
      <c r="AS36" s="15" cm="1">
        <f t="array" aca="1" ref="AS36" ca="1">INDIRECT(ADDRESS(AS$1,AS$2,1,1,$A36))</f>
        <v>145.67140000000001</v>
      </c>
      <c r="AT36" s="15" cm="1">
        <f t="array" aca="1" ref="AT36" ca="1">INDIRECT(ADDRESS(AT$1,AT$2,1,1,$A36))</f>
        <v>123.92100000000001</v>
      </c>
      <c r="AV36" s="15">
        <f t="shared" ca="1" si="10"/>
        <v>3.5898046363058711E-5</v>
      </c>
      <c r="AW36" s="15">
        <f t="shared" ca="1" si="11"/>
        <v>6.2932610973120973E-5</v>
      </c>
      <c r="AX36" s="15">
        <f t="shared" ca="1" si="12"/>
        <v>-2.9417841261647482E-5</v>
      </c>
      <c r="AY36" s="15">
        <f t="shared" ca="1" si="13"/>
        <v>1.8182060500748776E-5</v>
      </c>
      <c r="AZ36" s="15">
        <f t="shared" ca="1" si="14"/>
        <v>-1.0809662569499778E-6</v>
      </c>
      <c r="BA36" s="15">
        <f t="shared" ca="1" si="15"/>
        <v>3.1381805200680901E-5</v>
      </c>
      <c r="BB36" s="15">
        <f t="shared" ca="1" si="16"/>
        <v>1.03036026999348E-4</v>
      </c>
      <c r="BC36" s="15">
        <f t="shared" ca="1" si="17"/>
        <v>-4.1441678888531897E-6</v>
      </c>
      <c r="BD36" s="15">
        <f t="shared" ca="1" si="18"/>
        <v>3.2479097001214541E-5</v>
      </c>
      <c r="BE36" s="15">
        <f t="shared" ca="1" si="19"/>
        <v>2.844691702819091E-5</v>
      </c>
    </row>
    <row r="37" spans="1:57" x14ac:dyDescent="0.25">
      <c r="A37" t="s">
        <v>51</v>
      </c>
      <c r="B37" t="str" cm="1">
        <f t="array" aca="1" ref="B37" ca="1">LEFT(INDIRECT(ADDRESS(B$1,B$2,1,1,$A37)),FIND("-",INDIRECT(ADDRESS(B$1,B$2,1,1,$A37)))-1)</f>
        <v>P509</v>
      </c>
      <c r="C37" t="str" cm="1">
        <f t="array" aca="1" ref="C37" ca="1">RIGHT(INDIRECT(ADDRESS(B$1,B$2,1,1,$A37)),LEN(INDIRECT(ADDRESS(B$1,B$2,1,1,$A37)))-FIND("-",INDIRECT(ADDRESS(B$1,B$2,1,1,$A37))))</f>
        <v>east</v>
      </c>
      <c r="D37" s="10" cm="1">
        <f t="array" aca="1" ref="D37" ca="1">DATE(MID(INDIRECT(ADDRESS(D$1,D$2,1,1,$A37)),1,4),MID(INDIRECT(ADDRESS(D$1,D$2,1,1,$A37)),5,2),MID(INDIRECT(ADDRESS(D$1,D$2,1,1,$A37)),7,2))+TIME(MID(INDIRECT(ADDRESS(D$1,D$2,1,1,$A37)),10,2),MID(INDIRECT(ADDRESS(D$1,D$2,1,1,$A37)),12,2),0)</f>
        <v>44217.668055555558</v>
      </c>
      <c r="E37" cm="1">
        <f t="array" aca="1" ref="E37" ca="1">INDIRECT(ADDRESS(E$1,E$2,1,1,$A37))</f>
        <v>0</v>
      </c>
      <c r="F37" s="11" cm="1">
        <f t="array" aca="1" ref="F37" ca="1">VALUE(SUBSTITUTE(INDIRECT(ADDRESS(F$1,F$2,1,1,$A37)),"┬░C",""))</f>
        <v>20.100000000000001</v>
      </c>
      <c r="G37" s="12" cm="1">
        <f t="array" aca="1" ref="G37" ca="1">INDIRECT(ADDRESS(G$1,G$2,1,1,$A37))</f>
        <v>25.397500000000001</v>
      </c>
      <c r="H37" cm="1">
        <f t="array" aca="1" ref="H37" ca="1">INDIRECT(ADDRESS(H$1,H$2,1,1,$A37))</f>
        <v>25.401900000000001</v>
      </c>
      <c r="I37" cm="1">
        <f t="array" aca="1" ref="I37" ca="1">INDIRECT(ADDRESS(I$1,I$2,1,1,$A37))</f>
        <v>25.401800000000001</v>
      </c>
      <c r="J37" cm="1">
        <f t="array" aca="1" ref="J37" ca="1">INDIRECT(ADDRESS(J$1,J$2,1,1,$A37))</f>
        <v>25.403300000000002</v>
      </c>
      <c r="K37" s="13" cm="1">
        <f t="array" aca="1" ref="K37" ca="1">INDIRECT(ADDRESS(K$1,K$2,1,1,$A37))</f>
        <v>25.400600000000001</v>
      </c>
      <c r="L37" s="14" cm="1">
        <f t="array" aca="1" ref="L37" ca="1">SQRT(SUMSQ(Y37:AA37-V37:X37))</f>
        <v>72.877764300505277</v>
      </c>
      <c r="M37" s="15" cm="1">
        <f t="array" aca="1" ref="M37" ca="1">SQRT(SUMSQ(AB37:AD37-V37:X37))</f>
        <v>73.713357833841769</v>
      </c>
      <c r="N37" s="15" cm="1">
        <f t="array" aca="1" ref="N37" ca="1">SQRT(SUMSQ(AE37:AG37-V37:X37))</f>
        <v>72.33950858396814</v>
      </c>
      <c r="O37" s="15" cm="1">
        <f t="array" aca="1" ref="O37" ca="1">SQRT(SUMSQ(AH37:AJ37-V37:X37))</f>
        <v>71.962280844481299</v>
      </c>
      <c r="P37" s="15" cm="1">
        <f t="array" aca="1" ref="P37" ca="1">SQRT(SUMSQ(AB37:AD37-Y37:AA37))</f>
        <v>125.93110102917389</v>
      </c>
      <c r="Q37" s="15" cm="1">
        <f t="array" aca="1" ref="Q37" ca="1">SQRT(SUMSQ(AE37:AG37-Y37:AA37))</f>
        <v>145.2143273391782</v>
      </c>
      <c r="R37" s="15" cm="1">
        <f t="array" aca="1" ref="R37" ca="1">SQRT(SUMSQ(AH37:AJ37-Y37:AA37))</f>
        <v>74.989701149024455</v>
      </c>
      <c r="S37" s="15" cm="1">
        <f t="array" aca="1" ref="S37" ca="1">SQRT(SUMSQ(AE37:AG37-AB37:AD37))</f>
        <v>73.984605483100339</v>
      </c>
      <c r="T37" s="15" cm="1">
        <f t="array" aca="1" ref="T37" ca="1">SQRT(SUMSQ(AH37:AJ37-AB37:AD37))</f>
        <v>145.6721901067599</v>
      </c>
      <c r="U37" s="16" cm="1">
        <f t="array" aca="1" ref="U37" ca="1">SQRT(SUMSQ(AH37:AJ37-AE37:AG37))</f>
        <v>123.92267062200523</v>
      </c>
      <c r="V37" cm="1">
        <f t="array" aca="1" ref="V37" ca="1">INDIRECT(ADDRESS(V$1,V$2,1,1,$A37))</f>
        <v>0</v>
      </c>
      <c r="W37" cm="1">
        <f t="array" aca="1" ref="W37" ca="1">INDIRECT(ADDRESS(W$1,W$2,1,1,$A37))</f>
        <v>0</v>
      </c>
      <c r="X37" cm="1">
        <f t="array" aca="1" ref="X37" ca="1">INDIRECT(ADDRESS(X$1,X$2,1,1,$A37))</f>
        <v>0</v>
      </c>
      <c r="Y37" cm="1">
        <f t="array" aca="1" ref="Y37" ca="1">INDIRECT(ADDRESS(Y$1,Y$2,1,1,$A37))</f>
        <v>62.479199999999999</v>
      </c>
      <c r="Z37" cm="1">
        <f t="array" aca="1" ref="Z37" ca="1">INDIRECT(ADDRESS(Z$1,Z$2,1,1,$A37))</f>
        <v>37.516800000000003</v>
      </c>
      <c r="AA37" cm="1">
        <f t="array" aca="1" ref="AA37" ca="1">INDIRECT(ADDRESS(AA$1,AA$2,1,1,$A37))</f>
        <v>8.8400000000000006E-2</v>
      </c>
      <c r="AB37" cm="1">
        <f t="array" aca="1" ref="AB37" ca="1">INDIRECT(ADDRESS(AB$1,AB$2,1,1,$A37))</f>
        <v>-63.451900000000002</v>
      </c>
      <c r="AC37" cm="1">
        <f t="array" aca="1" ref="AC37" ca="1">INDIRECT(ADDRESS(AC$1,AC$2,1,1,$A37))</f>
        <v>37.516800000000003</v>
      </c>
      <c r="AD37" cm="1">
        <f t="array" aca="1" ref="AD37" ca="1">INDIRECT(ADDRESS(AD$1,AD$2,1,1,$A37))</f>
        <v>7.2300000000000003E-2</v>
      </c>
      <c r="AE37" cm="1">
        <f t="array" aca="1" ref="AE37" ca="1">INDIRECT(ADDRESS(AE$1,AE$2,1,1,$A37))</f>
        <v>-62.478499999999997</v>
      </c>
      <c r="AF37" cm="1">
        <f t="array" aca="1" ref="AF37" ca="1">INDIRECT(ADDRESS(AF$1,AF$2,1,1,$A37))</f>
        <v>-36.461399999999998</v>
      </c>
      <c r="AG37" cm="1">
        <f t="array" aca="1" ref="AG37" ca="1">INDIRECT(ADDRESS(AG$1,AG$2,1,1,$A37))</f>
        <v>8.8599999999999998E-2</v>
      </c>
      <c r="AH37" cm="1">
        <f t="array" aca="1" ref="AH37" ca="1">INDIRECT(ADDRESS(AH$1,AH$2,1,1,$A37))</f>
        <v>61.440100000000001</v>
      </c>
      <c r="AI37" cm="1">
        <f t="array" aca="1" ref="AI37" ca="1">INDIRECT(ADDRESS(AI$1,AI$2,1,1,$A37))</f>
        <v>-37.465699999999998</v>
      </c>
      <c r="AJ37" cm="1">
        <f t="array" aca="1" ref="AJ37" ca="1">INDIRECT(ADDRESS(AJ$1,AJ$2,1,1,$A37))</f>
        <v>7.2800000000000004E-2</v>
      </c>
      <c r="AK37" s="15" cm="1">
        <f t="array" aca="1" ref="AK37" ca="1">INDIRECT(ADDRESS(AK$1,AK$2,1,1,$A37))</f>
        <v>72.877799999999993</v>
      </c>
      <c r="AL37" s="15" cm="1">
        <f t="array" aca="1" ref="AL37" ca="1">INDIRECT(ADDRESS(AL$1,AL$2,1,1,$A37))</f>
        <v>73.713300000000004</v>
      </c>
      <c r="AM37" s="15" cm="1">
        <f t="array" aca="1" ref="AM37" ca="1">INDIRECT(ADDRESS(AM$1,AM$2,1,1,$A37))</f>
        <v>72.339500000000001</v>
      </c>
      <c r="AN37" s="15" cm="1">
        <f t="array" aca="1" ref="AN37" ca="1">INDIRECT(ADDRESS(AN$1,AN$2,1,1,$A37))</f>
        <v>71.962299999999999</v>
      </c>
      <c r="AO37" s="15" cm="1">
        <f t="array" aca="1" ref="AO37" ca="1">INDIRECT(ADDRESS(AO$1,AO$2,1,1,$A37))</f>
        <v>125.9311</v>
      </c>
      <c r="AP37" s="15" cm="1">
        <f t="array" aca="1" ref="AP37" ca="1">INDIRECT(ADDRESS(AP$1,AP$2,1,1,$A37))</f>
        <v>145.21440000000001</v>
      </c>
      <c r="AQ37" s="15" cm="1">
        <f t="array" aca="1" ref="AQ37" ca="1">INDIRECT(ADDRESS(AQ$1,AQ$2,1,1,$A37))</f>
        <v>74.989699999999999</v>
      </c>
      <c r="AR37" s="15" cm="1">
        <f t="array" aca="1" ref="AR37" ca="1">INDIRECT(ADDRESS(AR$1,AR$2,1,1,$A37))</f>
        <v>73.984499999999997</v>
      </c>
      <c r="AS37" s="15" cm="1">
        <f t="array" aca="1" ref="AS37" ca="1">INDIRECT(ADDRESS(AS$1,AS$2,1,1,$A37))</f>
        <v>145.6722</v>
      </c>
      <c r="AT37" s="15" cm="1">
        <f t="array" aca="1" ref="AT37" ca="1">INDIRECT(ADDRESS(AT$1,AT$2,1,1,$A37))</f>
        <v>123.92270000000001</v>
      </c>
      <c r="AV37" s="15">
        <f t="shared" ca="1" si="10"/>
        <v>3.569949471682321E-5</v>
      </c>
      <c r="AW37" s="15">
        <f t="shared" ca="1" si="11"/>
        <v>-5.7833841765386751E-5</v>
      </c>
      <c r="AX37" s="15">
        <f t="shared" ca="1" si="12"/>
        <v>-8.5839681389643374E-6</v>
      </c>
      <c r="AY37" s="15">
        <f t="shared" ca="1" si="13"/>
        <v>1.9155518700131324E-5</v>
      </c>
      <c r="AZ37" s="15">
        <f t="shared" ca="1" si="14"/>
        <v>-1.0291738874457224E-6</v>
      </c>
      <c r="BA37" s="15">
        <f t="shared" ca="1" si="15"/>
        <v>7.2660821814451992E-5</v>
      </c>
      <c r="BB37" s="15">
        <f t="shared" ca="1" si="16"/>
        <v>-1.1490244560263818E-6</v>
      </c>
      <c r="BC37" s="15">
        <f t="shared" ca="1" si="17"/>
        <v>-1.0548310034153019E-4</v>
      </c>
      <c r="BD37" s="15">
        <f t="shared" ca="1" si="18"/>
        <v>9.8932401044748985E-6</v>
      </c>
      <c r="BE37" s="15">
        <f t="shared" ca="1" si="19"/>
        <v>2.9377994778201355E-5</v>
      </c>
    </row>
    <row r="38" spans="1:57" x14ac:dyDescent="0.25">
      <c r="A38" t="s">
        <v>53</v>
      </c>
      <c r="B38" t="str" cm="1">
        <f t="array" aca="1" ref="B38" ca="1">LEFT(INDIRECT(ADDRESS(B$1,B$2,1,1,$A38)),FIND("-",INDIRECT(ADDRESS(B$1,B$2,1,1,$A38)))-1)</f>
        <v>P509</v>
      </c>
      <c r="C38" t="str" cm="1">
        <f t="array" aca="1" ref="C38" ca="1">RIGHT(INDIRECT(ADDRESS(B$1,B$2,1,1,$A38)),LEN(INDIRECT(ADDRESS(B$1,B$2,1,1,$A38)))-FIND("-",INDIRECT(ADDRESS(B$1,B$2,1,1,$A38))))</f>
        <v>east</v>
      </c>
      <c r="D38" s="10" cm="1">
        <f t="array" aca="1" ref="D38" ca="1">DATE(MID(INDIRECT(ADDRESS(D$1,D$2,1,1,$A38)),1,4),MID(INDIRECT(ADDRESS(D$1,D$2,1,1,$A38)),5,2),MID(INDIRECT(ADDRESS(D$1,D$2,1,1,$A38)),7,2))+TIME(MID(INDIRECT(ADDRESS(D$1,D$2,1,1,$A38)),10,2),MID(INDIRECT(ADDRESS(D$1,D$2,1,1,$A38)),12,2),0)</f>
        <v>44217.670138888891</v>
      </c>
      <c r="E38" cm="1">
        <f t="array" aca="1" ref="E38" ca="1">INDIRECT(ADDRESS(E$1,E$2,1,1,$A38))</f>
        <v>0</v>
      </c>
      <c r="F38" s="11" cm="1">
        <f t="array" aca="1" ref="F38" ca="1">VALUE(SUBSTITUTE(INDIRECT(ADDRESS(F$1,F$2,1,1,$A38)),"┬░C",""))</f>
        <v>20.100000000000001</v>
      </c>
      <c r="G38" s="12" cm="1">
        <f t="array" aca="1" ref="G38" ca="1">INDIRECT(ADDRESS(G$1,G$2,1,1,$A38))</f>
        <v>25.3978</v>
      </c>
      <c r="H38" cm="1">
        <f t="array" aca="1" ref="H38" ca="1">INDIRECT(ADDRESS(H$1,H$2,1,1,$A38))</f>
        <v>25.401900000000001</v>
      </c>
      <c r="I38" cm="1">
        <f t="array" aca="1" ref="I38" ca="1">INDIRECT(ADDRESS(I$1,I$2,1,1,$A38))</f>
        <v>25.402100000000001</v>
      </c>
      <c r="J38" cm="1">
        <f t="array" aca="1" ref="J38" ca="1">INDIRECT(ADDRESS(J$1,J$2,1,1,$A38))</f>
        <v>25.403400000000001</v>
      </c>
      <c r="K38" s="13" cm="1">
        <f t="array" aca="1" ref="K38" ca="1">INDIRECT(ADDRESS(K$1,K$2,1,1,$A38))</f>
        <v>25.401499999999999</v>
      </c>
      <c r="L38" s="14" cm="1">
        <f t="array" aca="1" ref="L38" ca="1">SQRT(SUMSQ(Y38:AA38-V38:X38))</f>
        <v>72.878723969688167</v>
      </c>
      <c r="M38" s="15" cm="1">
        <f t="array" aca="1" ref="M38" ca="1">SQRT(SUMSQ(AB38:AD38-V38:X38))</f>
        <v>73.712597571989008</v>
      </c>
      <c r="N38" s="15" cm="1">
        <f t="array" aca="1" ref="N38" ca="1">SQRT(SUMSQ(AE38:AG38-V38:X38))</f>
        <v>72.339760112264671</v>
      </c>
      <c r="O38" s="15" cm="1">
        <f t="array" aca="1" ref="O38" ca="1">SQRT(SUMSQ(AH38:AJ38-V38:X38))</f>
        <v>71.962364820022415</v>
      </c>
      <c r="P38" s="15" cm="1">
        <f t="array" aca="1" ref="P38" ca="1">SQRT(SUMSQ(AB38:AD38-Y38:AA38))</f>
        <v>125.93110113399311</v>
      </c>
      <c r="Q38" s="15" cm="1">
        <f t="array" aca="1" ref="Q38" ca="1">SQRT(SUMSQ(AE38:AG38-Y38:AA38))</f>
        <v>145.21554445371888</v>
      </c>
      <c r="R38" s="15" cm="1">
        <f t="array" aca="1" ref="R38" ca="1">SQRT(SUMSQ(AH38:AJ38-Y38:AA38))</f>
        <v>74.98991379872362</v>
      </c>
      <c r="S38" s="15" cm="1">
        <f t="array" aca="1" ref="S38" ca="1">SQRT(SUMSQ(AE38:AG38-AB38:AD38))</f>
        <v>73.985292476342906</v>
      </c>
      <c r="T38" s="15" cm="1">
        <f t="array" aca="1" ref="T38" ca="1">SQRT(SUMSQ(AH38:AJ38-AB38:AD38))</f>
        <v>145.6715214400536</v>
      </c>
      <c r="U38" s="16" cm="1">
        <f t="array" aca="1" ref="U38" ca="1">SQRT(SUMSQ(AH38:AJ38-AE38:AG38))</f>
        <v>123.92276669914209</v>
      </c>
      <c r="V38" cm="1">
        <f t="array" aca="1" ref="V38" ca="1">INDIRECT(ADDRESS(V$1,V$2,1,1,$A38))</f>
        <v>0</v>
      </c>
      <c r="W38" cm="1">
        <f t="array" aca="1" ref="W38" ca="1">INDIRECT(ADDRESS(W$1,W$2,1,1,$A38))</f>
        <v>0</v>
      </c>
      <c r="X38" cm="1">
        <f t="array" aca="1" ref="X38" ca="1">INDIRECT(ADDRESS(X$1,X$2,1,1,$A38))</f>
        <v>0</v>
      </c>
      <c r="Y38" cm="1">
        <f t="array" aca="1" ref="Y38" ca="1">INDIRECT(ADDRESS(Y$1,Y$2,1,1,$A38))</f>
        <v>62.480200000000004</v>
      </c>
      <c r="Z38" cm="1">
        <f t="array" aca="1" ref="Z38" ca="1">INDIRECT(ADDRESS(Z$1,Z$2,1,1,$A38))</f>
        <v>37.517000000000003</v>
      </c>
      <c r="AA38" cm="1">
        <f t="array" aca="1" ref="AA38" ca="1">INDIRECT(ADDRESS(AA$1,AA$2,1,1,$A38))</f>
        <v>8.7900000000000006E-2</v>
      </c>
      <c r="AB38" cm="1">
        <f t="array" aca="1" ref="AB38" ca="1">INDIRECT(ADDRESS(AB$1,AB$2,1,1,$A38))</f>
        <v>-63.450899999999997</v>
      </c>
      <c r="AC38" cm="1">
        <f t="array" aca="1" ref="AC38" ca="1">INDIRECT(ADDRESS(AC$1,AC$2,1,1,$A38))</f>
        <v>37.517000000000003</v>
      </c>
      <c r="AD38" cm="1">
        <f t="array" aca="1" ref="AD38" ca="1">INDIRECT(ADDRESS(AD$1,AD$2,1,1,$A38))</f>
        <v>7.0999999999999994E-2</v>
      </c>
      <c r="AE38" cm="1">
        <f t="array" aca="1" ref="AE38" ca="1">INDIRECT(ADDRESS(AE$1,AE$2,1,1,$A38))</f>
        <v>-62.478499999999997</v>
      </c>
      <c r="AF38" cm="1">
        <f t="array" aca="1" ref="AF38" ca="1">INDIRECT(ADDRESS(AF$1,AF$2,1,1,$A38))</f>
        <v>-36.4619</v>
      </c>
      <c r="AG38" cm="1">
        <f t="array" aca="1" ref="AG38" ca="1">INDIRECT(ADDRESS(AG$1,AG$2,1,1,$A38))</f>
        <v>8.8200000000000001E-2</v>
      </c>
      <c r="AH38" cm="1">
        <f t="array" aca="1" ref="AH38" ca="1">INDIRECT(ADDRESS(AH$1,AH$2,1,1,$A38))</f>
        <v>61.440199999999997</v>
      </c>
      <c r="AI38" cm="1">
        <f t="array" aca="1" ref="AI38" ca="1">INDIRECT(ADDRESS(AI$1,AI$2,1,1,$A38))</f>
        <v>-37.465699999999998</v>
      </c>
      <c r="AJ38" cm="1">
        <f t="array" aca="1" ref="AJ38" ca="1">INDIRECT(ADDRESS(AJ$1,AJ$2,1,1,$A38))</f>
        <v>7.1400000000000005E-2</v>
      </c>
      <c r="AK38" s="15" cm="1">
        <f t="array" aca="1" ref="AK38" ca="1">INDIRECT(ADDRESS(AK$1,AK$2,1,1,$A38))</f>
        <v>72.878699999999995</v>
      </c>
      <c r="AL38" s="15" cm="1">
        <f t="array" aca="1" ref="AL38" ca="1">INDIRECT(ADDRESS(AL$1,AL$2,1,1,$A38))</f>
        <v>73.712599999999995</v>
      </c>
      <c r="AM38" s="15" cm="1">
        <f t="array" aca="1" ref="AM38" ca="1">INDIRECT(ADDRESS(AM$1,AM$2,1,1,$A38))</f>
        <v>72.339699999999993</v>
      </c>
      <c r="AN38" s="15" cm="1">
        <f t="array" aca="1" ref="AN38" ca="1">INDIRECT(ADDRESS(AN$1,AN$2,1,1,$A38))</f>
        <v>71.962400000000002</v>
      </c>
      <c r="AO38" s="15" cm="1">
        <f t="array" aca="1" ref="AO38" ca="1">INDIRECT(ADDRESS(AO$1,AO$2,1,1,$A38))</f>
        <v>125.9311</v>
      </c>
      <c r="AP38" s="15" cm="1">
        <f t="array" aca="1" ref="AP38" ca="1">INDIRECT(ADDRESS(AP$1,AP$2,1,1,$A38))</f>
        <v>145.21549999999999</v>
      </c>
      <c r="AQ38" s="15" cm="1">
        <f t="array" aca="1" ref="AQ38" ca="1">INDIRECT(ADDRESS(AQ$1,AQ$2,1,1,$A38))</f>
        <v>74.989900000000006</v>
      </c>
      <c r="AR38" s="15" cm="1">
        <f t="array" aca="1" ref="AR38" ca="1">INDIRECT(ADDRESS(AR$1,AR$2,1,1,$A38))</f>
        <v>73.985200000000006</v>
      </c>
      <c r="AS38" s="15" cm="1">
        <f t="array" aca="1" ref="AS38" ca="1">INDIRECT(ADDRESS(AS$1,AS$2,1,1,$A38))</f>
        <v>145.67150000000001</v>
      </c>
      <c r="AT38" s="15" cm="1">
        <f t="array" aca="1" ref="AT38" ca="1">INDIRECT(ADDRESS(AT$1,AT$2,1,1,$A38))</f>
        <v>123.9228</v>
      </c>
      <c r="AV38" s="15">
        <f t="shared" ca="1" si="10"/>
        <v>-2.3969688172087444E-5</v>
      </c>
      <c r="AW38" s="15">
        <f t="shared" ca="1" si="11"/>
        <v>2.4280109869323496E-6</v>
      </c>
      <c r="AX38" s="15">
        <f t="shared" ca="1" si="12"/>
        <v>-6.0112264677059102E-5</v>
      </c>
      <c r="AY38" s="15">
        <f t="shared" ca="1" si="13"/>
        <v>3.5179977587063149E-5</v>
      </c>
      <c r="AZ38" s="15">
        <f t="shared" ca="1" si="14"/>
        <v>-1.1339931091924882E-6</v>
      </c>
      <c r="BA38" s="15">
        <f t="shared" ca="1" si="15"/>
        <v>-4.4453718885506532E-5</v>
      </c>
      <c r="BB38" s="15">
        <f t="shared" ca="1" si="16"/>
        <v>-1.3798723614399933E-5</v>
      </c>
      <c r="BC38" s="15">
        <f t="shared" ca="1" si="17"/>
        <v>-9.2476342899772135E-5</v>
      </c>
      <c r="BD38" s="15">
        <f t="shared" ca="1" si="18"/>
        <v>-2.1440053586729846E-5</v>
      </c>
      <c r="BE38" s="15">
        <f t="shared" ca="1" si="19"/>
        <v>3.3300857907647696E-5</v>
      </c>
    </row>
    <row r="39" spans="1:57" x14ac:dyDescent="0.25">
      <c r="A39" t="s">
        <v>55</v>
      </c>
      <c r="B39" t="str" cm="1">
        <f t="array" aca="1" ref="B39" ca="1">LEFT(INDIRECT(ADDRESS(B$1,B$2,1,1,$A39)),FIND("-",INDIRECT(ADDRESS(B$1,B$2,1,1,$A39)))-1)</f>
        <v>P509</v>
      </c>
      <c r="C39" t="str" cm="1">
        <f t="array" aca="1" ref="C39" ca="1">RIGHT(INDIRECT(ADDRESS(B$1,B$2,1,1,$A39)),LEN(INDIRECT(ADDRESS(B$1,B$2,1,1,$A39)))-FIND("-",INDIRECT(ADDRESS(B$1,B$2,1,1,$A39))))</f>
        <v>east</v>
      </c>
      <c r="D39" s="10" cm="1">
        <f t="array" aca="1" ref="D39" ca="1">DATE(MID(INDIRECT(ADDRESS(D$1,D$2,1,1,$A39)),1,4),MID(INDIRECT(ADDRESS(D$1,D$2,1,1,$A39)),5,2),MID(INDIRECT(ADDRESS(D$1,D$2,1,1,$A39)),7,2))+TIME(MID(INDIRECT(ADDRESS(D$1,D$2,1,1,$A39)),10,2),MID(INDIRECT(ADDRESS(D$1,D$2,1,1,$A39)),12,2),0)</f>
        <v>44217.67291666667</v>
      </c>
      <c r="E39" cm="1">
        <f t="array" aca="1" ref="E39" ca="1">INDIRECT(ADDRESS(E$1,E$2,1,1,$A39))</f>
        <v>0</v>
      </c>
      <c r="F39" s="11" cm="1">
        <f t="array" aca="1" ref="F39" ca="1">VALUE(SUBSTITUTE(INDIRECT(ADDRESS(F$1,F$2,1,1,$A39)),"┬░C",""))</f>
        <v>20.100000000000001</v>
      </c>
      <c r="G39" s="12" cm="1">
        <f t="array" aca="1" ref="G39" ca="1">INDIRECT(ADDRESS(G$1,G$2,1,1,$A39))</f>
        <v>25.397600000000001</v>
      </c>
      <c r="H39" cm="1">
        <f t="array" aca="1" ref="H39" ca="1">INDIRECT(ADDRESS(H$1,H$2,1,1,$A39))</f>
        <v>25.401499999999999</v>
      </c>
      <c r="I39" cm="1">
        <f t="array" aca="1" ref="I39" ca="1">INDIRECT(ADDRESS(I$1,I$2,1,1,$A39))</f>
        <v>25.4011</v>
      </c>
      <c r="J39" cm="1">
        <f t="array" aca="1" ref="J39" ca="1">INDIRECT(ADDRESS(J$1,J$2,1,1,$A39))</f>
        <v>25.403099999999998</v>
      </c>
      <c r="K39" s="13" cm="1">
        <f t="array" aca="1" ref="K39" ca="1">INDIRECT(ADDRESS(K$1,K$2,1,1,$A39))</f>
        <v>25.401</v>
      </c>
      <c r="L39" s="14" cm="1">
        <f t="array" aca="1" ref="L39" ca="1">SQRT(SUMSQ(Y39:AA39-V39:X39))</f>
        <v>72.877970016322493</v>
      </c>
      <c r="M39" s="15" cm="1">
        <f t="array" aca="1" ref="M39" ca="1">SQRT(SUMSQ(AB39:AD39-V39:X39))</f>
        <v>73.712962621441292</v>
      </c>
      <c r="N39" s="15" cm="1">
        <f t="array" aca="1" ref="N39" ca="1">SQRT(SUMSQ(AE39:AG39-V39:X39))</f>
        <v>72.339573425684506</v>
      </c>
      <c r="O39" s="15" cm="1">
        <f t="array" aca="1" ref="O39" ca="1">SQRT(SUMSQ(AH39:AJ39-V39:X39))</f>
        <v>71.961972545852291</v>
      </c>
      <c r="P39" s="15" cm="1">
        <f t="array" aca="1" ref="P39" ca="1">SQRT(SUMSQ(AB39:AD39-Y39:AA39))</f>
        <v>125.93100102917472</v>
      </c>
      <c r="Q39" s="15" cm="1">
        <f t="array" aca="1" ref="Q39" ca="1">SQRT(SUMSQ(AE39:AG39-Y39:AA39))</f>
        <v>145.21460132855097</v>
      </c>
      <c r="R39" s="15" cm="1">
        <f t="array" aca="1" ref="R39" ca="1">SQRT(SUMSQ(AH39:AJ39-Y39:AA39))</f>
        <v>74.989509505463502</v>
      </c>
      <c r="S39" s="15" cm="1">
        <f t="array" aca="1" ref="S39" ca="1">SQRT(SUMSQ(AE39:AG39-AB39:AD39))</f>
        <v>73.984801519366115</v>
      </c>
      <c r="T39" s="15" cm="1">
        <f t="array" aca="1" ref="T39" ca="1">SQRT(SUMSQ(AH39:AJ39-AB39:AD39))</f>
        <v>145.67148701492684</v>
      </c>
      <c r="U39" s="16" cm="1">
        <f t="array" aca="1" ref="U39" ca="1">SQRT(SUMSQ(AH39:AJ39-AE39:AG39))</f>
        <v>123.92226740687082</v>
      </c>
      <c r="V39" cm="1">
        <f t="array" aca="1" ref="V39" ca="1">INDIRECT(ADDRESS(V$1,V$2,1,1,$A39))</f>
        <v>0</v>
      </c>
      <c r="W39" cm="1">
        <f t="array" aca="1" ref="W39" ca="1">INDIRECT(ADDRESS(W$1,W$2,1,1,$A39))</f>
        <v>0</v>
      </c>
      <c r="X39" cm="1">
        <f t="array" aca="1" ref="X39" ca="1">INDIRECT(ADDRESS(X$1,X$2,1,1,$A39))</f>
        <v>0</v>
      </c>
      <c r="Y39" cm="1">
        <f t="array" aca="1" ref="Y39" ca="1">INDIRECT(ADDRESS(Y$1,Y$2,1,1,$A39))</f>
        <v>62.479500000000002</v>
      </c>
      <c r="Z39" cm="1">
        <f t="array" aca="1" ref="Z39" ca="1">INDIRECT(ADDRESS(Z$1,Z$2,1,1,$A39))</f>
        <v>37.5167</v>
      </c>
      <c r="AA39" cm="1">
        <f t="array" aca="1" ref="AA39" ca="1">INDIRECT(ADDRESS(AA$1,AA$2,1,1,$A39))</f>
        <v>8.8400000000000006E-2</v>
      </c>
      <c r="AB39" cm="1">
        <f t="array" aca="1" ref="AB39" ca="1">INDIRECT(ADDRESS(AB$1,AB$2,1,1,$A39))</f>
        <v>-63.451500000000003</v>
      </c>
      <c r="AC39" cm="1">
        <f t="array" aca="1" ref="AC39" ca="1">INDIRECT(ADDRESS(AC$1,AC$2,1,1,$A39))</f>
        <v>37.5167</v>
      </c>
      <c r="AD39" cm="1">
        <f t="array" aca="1" ref="AD39" ca="1">INDIRECT(ADDRESS(AD$1,AD$2,1,1,$A39))</f>
        <v>7.2300000000000003E-2</v>
      </c>
      <c r="AE39" cm="1">
        <f t="array" aca="1" ref="AE39" ca="1">INDIRECT(ADDRESS(AE$1,AE$2,1,1,$A39))</f>
        <v>-62.478400000000001</v>
      </c>
      <c r="AF39" cm="1">
        <f t="array" aca="1" ref="AF39" ca="1">INDIRECT(ADDRESS(AF$1,AF$2,1,1,$A39))</f>
        <v>-36.4617</v>
      </c>
      <c r="AG39" cm="1">
        <f t="array" aca="1" ref="AG39" ca="1">INDIRECT(ADDRESS(AG$1,AG$2,1,1,$A39))</f>
        <v>8.8599999999999998E-2</v>
      </c>
      <c r="AH39" cm="1">
        <f t="array" aca="1" ref="AH39" ca="1">INDIRECT(ADDRESS(AH$1,AH$2,1,1,$A39))</f>
        <v>61.439799999999998</v>
      </c>
      <c r="AI39" cm="1">
        <f t="array" aca="1" ref="AI39" ca="1">INDIRECT(ADDRESS(AI$1,AI$2,1,1,$A39))</f>
        <v>-37.465600000000002</v>
      </c>
      <c r="AJ39" cm="1">
        <f t="array" aca="1" ref="AJ39" ca="1">INDIRECT(ADDRESS(AJ$1,AJ$2,1,1,$A39))</f>
        <v>7.2700000000000001E-2</v>
      </c>
      <c r="AK39" s="15" cm="1">
        <f t="array" aca="1" ref="AK39" ca="1">INDIRECT(ADDRESS(AK$1,AK$2,1,1,$A39))</f>
        <v>72.878</v>
      </c>
      <c r="AL39" s="15" cm="1">
        <f t="array" aca="1" ref="AL39" ca="1">INDIRECT(ADDRESS(AL$1,AL$2,1,1,$A39))</f>
        <v>73.712999999999994</v>
      </c>
      <c r="AM39" s="15" cm="1">
        <f t="array" aca="1" ref="AM39" ca="1">INDIRECT(ADDRESS(AM$1,AM$2,1,1,$A39))</f>
        <v>72.339600000000004</v>
      </c>
      <c r="AN39" s="15" cm="1">
        <f t="array" aca="1" ref="AN39" ca="1">INDIRECT(ADDRESS(AN$1,AN$2,1,1,$A39))</f>
        <v>71.962000000000003</v>
      </c>
      <c r="AO39" s="15" cm="1">
        <f t="array" aca="1" ref="AO39" ca="1">INDIRECT(ADDRESS(AO$1,AO$2,1,1,$A39))</f>
        <v>125.931</v>
      </c>
      <c r="AP39" s="15" cm="1">
        <f t="array" aca="1" ref="AP39" ca="1">INDIRECT(ADDRESS(AP$1,AP$2,1,1,$A39))</f>
        <v>145.21469999999999</v>
      </c>
      <c r="AQ39" s="15" cm="1">
        <f t="array" aca="1" ref="AQ39" ca="1">INDIRECT(ADDRESS(AQ$1,AQ$2,1,1,$A39))</f>
        <v>74.989599999999996</v>
      </c>
      <c r="AR39" s="15" cm="1">
        <f t="array" aca="1" ref="AR39" ca="1">INDIRECT(ADDRESS(AR$1,AR$2,1,1,$A39))</f>
        <v>73.984800000000007</v>
      </c>
      <c r="AS39" s="15" cm="1">
        <f t="array" aca="1" ref="AS39" ca="1">INDIRECT(ADDRESS(AS$1,AS$2,1,1,$A39))</f>
        <v>145.67150000000001</v>
      </c>
      <c r="AT39" s="15" cm="1">
        <f t="array" aca="1" ref="AT39" ca="1">INDIRECT(ADDRESS(AT$1,AT$2,1,1,$A39))</f>
        <v>123.92230000000001</v>
      </c>
      <c r="AV39" s="15">
        <f t="shared" ca="1" si="10"/>
        <v>2.9983677507061657E-5</v>
      </c>
      <c r="AW39" s="15">
        <f t="shared" ca="1" si="11"/>
        <v>3.7378558701561815E-5</v>
      </c>
      <c r="AX39" s="15">
        <f t="shared" ca="1" si="12"/>
        <v>2.6574315498351098E-5</v>
      </c>
      <c r="AY39" s="15">
        <f t="shared" ca="1" si="13"/>
        <v>2.7454147712546728E-5</v>
      </c>
      <c r="AZ39" s="15">
        <f t="shared" ca="1" si="14"/>
        <v>-1.0291747258861506E-6</v>
      </c>
      <c r="BA39" s="15">
        <f t="shared" ca="1" si="15"/>
        <v>9.8671449023868263E-5</v>
      </c>
      <c r="BB39" s="15">
        <f t="shared" ca="1" si="16"/>
        <v>9.0494536493679334E-5</v>
      </c>
      <c r="BC39" s="15">
        <f t="shared" ca="1" si="17"/>
        <v>-1.5193661084822452E-6</v>
      </c>
      <c r="BD39" s="15">
        <f t="shared" ca="1" si="18"/>
        <v>1.2985073169602401E-5</v>
      </c>
      <c r="BE39" s="15">
        <f t="shared" ca="1" si="19"/>
        <v>3.2593129191127446E-5</v>
      </c>
    </row>
    <row r="40" spans="1:57" x14ac:dyDescent="0.25">
      <c r="A40" t="s">
        <v>57</v>
      </c>
      <c r="B40" t="str" cm="1">
        <f t="array" aca="1" ref="B40" ca="1">LEFT(INDIRECT(ADDRESS(B$1,B$2,1,1,$A40)),FIND("-",INDIRECT(ADDRESS(B$1,B$2,1,1,$A40)))-1)</f>
        <v>P509</v>
      </c>
      <c r="C40" t="str" cm="1">
        <f t="array" aca="1" ref="C40" ca="1">RIGHT(INDIRECT(ADDRESS(B$1,B$2,1,1,$A40)),LEN(INDIRECT(ADDRESS(B$1,B$2,1,1,$A40)))-FIND("-",INDIRECT(ADDRESS(B$1,B$2,1,1,$A40))))</f>
        <v>east</v>
      </c>
      <c r="D40" s="10" cm="1">
        <f t="array" aca="1" ref="D40" ca="1">DATE(MID(INDIRECT(ADDRESS(D$1,D$2,1,1,$A40)),1,4),MID(INDIRECT(ADDRESS(D$1,D$2,1,1,$A40)),5,2),MID(INDIRECT(ADDRESS(D$1,D$2,1,1,$A40)),7,2))+TIME(MID(INDIRECT(ADDRESS(D$1,D$2,1,1,$A40)),10,2),MID(INDIRECT(ADDRESS(D$1,D$2,1,1,$A40)),12,2),0)</f>
        <v>44217.675000000003</v>
      </c>
      <c r="E40" cm="1">
        <f t="array" aca="1" ref="E40" ca="1">INDIRECT(ADDRESS(E$1,E$2,1,1,$A40))</f>
        <v>0</v>
      </c>
      <c r="F40" s="11" cm="1">
        <f t="array" aca="1" ref="F40" ca="1">VALUE(SUBSTITUTE(INDIRECT(ADDRESS(F$1,F$2,1,1,$A40)),"┬░C",""))</f>
        <v>20.100000000000001</v>
      </c>
      <c r="G40" s="12" cm="1">
        <f t="array" aca="1" ref="G40" ca="1">INDIRECT(ADDRESS(G$1,G$2,1,1,$A40))</f>
        <v>25.398099999999999</v>
      </c>
      <c r="H40" cm="1">
        <f t="array" aca="1" ref="H40" ca="1">INDIRECT(ADDRESS(H$1,H$2,1,1,$A40))</f>
        <v>25.401900000000001</v>
      </c>
      <c r="I40" cm="1">
        <f t="array" aca="1" ref="I40" ca="1">INDIRECT(ADDRESS(I$1,I$2,1,1,$A40))</f>
        <v>25.4023</v>
      </c>
      <c r="J40" cm="1">
        <f t="array" aca="1" ref="J40" ca="1">INDIRECT(ADDRESS(J$1,J$2,1,1,$A40))</f>
        <v>25.403700000000001</v>
      </c>
      <c r="K40" s="13" cm="1">
        <f t="array" aca="1" ref="K40" ca="1">INDIRECT(ADDRESS(K$1,K$2,1,1,$A40))</f>
        <v>25.4009</v>
      </c>
      <c r="L40" s="14" cm="1">
        <f t="array" aca="1" ref="L40" ca="1">SQRT(SUMSQ(Y40:AA40-V40:X40))</f>
        <v>72.87844930794013</v>
      </c>
      <c r="M40" s="15" cm="1">
        <f t="array" aca="1" ref="M40" ca="1">SQRT(SUMSQ(AB40:AD40-V40:X40))</f>
        <v>73.712323911405747</v>
      </c>
      <c r="N40" s="15" cm="1">
        <f t="array" aca="1" ref="N40" ca="1">SQRT(SUMSQ(AE40:AG40-V40:X40))</f>
        <v>72.340126747055123</v>
      </c>
      <c r="O40" s="15" cm="1">
        <f t="array" aca="1" ref="O40" ca="1">SQRT(SUMSQ(AH40:AJ40-V40:X40))</f>
        <v>71.962644183353902</v>
      </c>
      <c r="P40" s="15" cm="1">
        <f t="array" aca="1" ref="P40" ca="1">SQRT(SUMSQ(AB40:AD40-Y40:AA40))</f>
        <v>125.93070106788892</v>
      </c>
      <c r="Q40" s="15" cm="1">
        <f t="array" aca="1" ref="Q40" ca="1">SQRT(SUMSQ(AE40:AG40-Y40:AA40))</f>
        <v>145.21563393591614</v>
      </c>
      <c r="R40" s="15" cm="1">
        <f t="array" aca="1" ref="R40" ca="1">SQRT(SUMSQ(AH40:AJ40-Y40:AA40))</f>
        <v>74.990412255501042</v>
      </c>
      <c r="S40" s="15" cm="1">
        <f t="array" aca="1" ref="S40" ca="1">SQRT(SUMSQ(AE40:AG40-AB40:AD40))</f>
        <v>73.984781872220182</v>
      </c>
      <c r="T40" s="15" cm="1">
        <f t="array" aca="1" ref="T40" ca="1">SQRT(SUMSQ(AH40:AJ40-AB40:AD40))</f>
        <v>145.67152160611215</v>
      </c>
      <c r="U40" s="16" cm="1">
        <f t="array" aca="1" ref="U40" ca="1">SQRT(SUMSQ(AH40:AJ40-AE40:AG40))</f>
        <v>123.92327470705412</v>
      </c>
      <c r="V40" cm="1">
        <f t="array" aca="1" ref="V40" ca="1">INDIRECT(ADDRESS(V$1,V$2,1,1,$A40))</f>
        <v>0</v>
      </c>
      <c r="W40" cm="1">
        <f t="array" aca="1" ref="W40" ca="1">INDIRECT(ADDRESS(W$1,W$2,1,1,$A40))</f>
        <v>0</v>
      </c>
      <c r="X40" cm="1">
        <f t="array" aca="1" ref="X40" ca="1">INDIRECT(ADDRESS(X$1,X$2,1,1,$A40))</f>
        <v>0</v>
      </c>
      <c r="Y40" cm="1">
        <f t="array" aca="1" ref="Y40" ca="1">INDIRECT(ADDRESS(Y$1,Y$2,1,1,$A40))</f>
        <v>62.48</v>
      </c>
      <c r="Z40" cm="1">
        <f t="array" aca="1" ref="Z40" ca="1">INDIRECT(ADDRESS(Z$1,Z$2,1,1,$A40))</f>
        <v>37.516800000000003</v>
      </c>
      <c r="AA40" cm="1">
        <f t="array" aca="1" ref="AA40" ca="1">INDIRECT(ADDRESS(AA$1,AA$2,1,1,$A40))</f>
        <v>8.77E-2</v>
      </c>
      <c r="AB40" cm="1">
        <f t="array" aca="1" ref="AB40" ca="1">INDIRECT(ADDRESS(AB$1,AB$2,1,1,$A40))</f>
        <v>-63.450699999999998</v>
      </c>
      <c r="AC40" cm="1">
        <f t="array" aca="1" ref="AC40" ca="1">INDIRECT(ADDRESS(AC$1,AC$2,1,1,$A40))</f>
        <v>37.516800000000003</v>
      </c>
      <c r="AD40" cm="1">
        <f t="array" aca="1" ref="AD40" ca="1">INDIRECT(ADDRESS(AD$1,AD$2,1,1,$A40))</f>
        <v>7.1300000000000002E-2</v>
      </c>
      <c r="AE40" cm="1">
        <f t="array" aca="1" ref="AE40" ca="1">INDIRECT(ADDRESS(AE$1,AE$2,1,1,$A40))</f>
        <v>-62.479100000000003</v>
      </c>
      <c r="AF40" cm="1">
        <f t="array" aca="1" ref="AF40" ca="1">INDIRECT(ADDRESS(AF$1,AF$2,1,1,$A40))</f>
        <v>-36.461599999999997</v>
      </c>
      <c r="AG40" cm="1">
        <f t="array" aca="1" ref="AG40" ca="1">INDIRECT(ADDRESS(AG$1,AG$2,1,1,$A40))</f>
        <v>8.7900000000000006E-2</v>
      </c>
      <c r="AH40" cm="1">
        <f t="array" aca="1" ref="AH40" ca="1">INDIRECT(ADDRESS(AH$1,AH$2,1,1,$A40))</f>
        <v>61.440100000000001</v>
      </c>
      <c r="AI40" cm="1">
        <f t="array" aca="1" ref="AI40" ca="1">INDIRECT(ADDRESS(AI$1,AI$2,1,1,$A40))</f>
        <v>-37.4664</v>
      </c>
      <c r="AJ40" cm="1">
        <f t="array" aca="1" ref="AJ40" ca="1">INDIRECT(ADDRESS(AJ$1,AJ$2,1,1,$A40))</f>
        <v>7.17E-2</v>
      </c>
      <c r="AK40" s="15" cm="1">
        <f t="array" aca="1" ref="AK40" ca="1">INDIRECT(ADDRESS(AK$1,AK$2,1,1,$A40))</f>
        <v>72.878399999999999</v>
      </c>
      <c r="AL40" s="15" cm="1">
        <f t="array" aca="1" ref="AL40" ca="1">INDIRECT(ADDRESS(AL$1,AL$2,1,1,$A40))</f>
        <v>73.712299999999999</v>
      </c>
      <c r="AM40" s="15" cm="1">
        <f t="array" aca="1" ref="AM40" ca="1">INDIRECT(ADDRESS(AM$1,AM$2,1,1,$A40))</f>
        <v>72.340100000000007</v>
      </c>
      <c r="AN40" s="15" cm="1">
        <f t="array" aca="1" ref="AN40" ca="1">INDIRECT(ADDRESS(AN$1,AN$2,1,1,$A40))</f>
        <v>71.962599999999995</v>
      </c>
      <c r="AO40" s="15" cm="1">
        <f t="array" aca="1" ref="AO40" ca="1">INDIRECT(ADDRESS(AO$1,AO$2,1,1,$A40))</f>
        <v>125.9307</v>
      </c>
      <c r="AP40" s="15" cm="1">
        <f t="array" aca="1" ref="AP40" ca="1">INDIRECT(ADDRESS(AP$1,AP$2,1,1,$A40))</f>
        <v>145.21559999999999</v>
      </c>
      <c r="AQ40" s="15" cm="1">
        <f t="array" aca="1" ref="AQ40" ca="1">INDIRECT(ADDRESS(AQ$1,AQ$2,1,1,$A40))</f>
        <v>74.990399999999994</v>
      </c>
      <c r="AR40" s="15" cm="1">
        <f t="array" aca="1" ref="AR40" ca="1">INDIRECT(ADDRESS(AR$1,AR$2,1,1,$A40))</f>
        <v>73.984800000000007</v>
      </c>
      <c r="AS40" s="15" cm="1">
        <f t="array" aca="1" ref="AS40" ca="1">INDIRECT(ADDRESS(AS$1,AS$2,1,1,$A40))</f>
        <v>145.67150000000001</v>
      </c>
      <c r="AT40" s="15" cm="1">
        <f t="array" aca="1" ref="AT40" ca="1">INDIRECT(ADDRESS(AT$1,AT$2,1,1,$A40))</f>
        <v>123.9233</v>
      </c>
      <c r="AV40" s="15">
        <f t="shared" ca="1" si="10"/>
        <v>-4.9307940130915995E-5</v>
      </c>
      <c r="AW40" s="15">
        <f t="shared" ca="1" si="11"/>
        <v>-2.391140574786732E-5</v>
      </c>
      <c r="AX40" s="15">
        <f t="shared" ca="1" si="12"/>
        <v>-2.6747055116516094E-5</v>
      </c>
      <c r="AY40" s="15">
        <f t="shared" ca="1" si="13"/>
        <v>-4.4183353907101264E-5</v>
      </c>
      <c r="AZ40" s="15">
        <f t="shared" ca="1" si="14"/>
        <v>-1.0678889168502792E-6</v>
      </c>
      <c r="BA40" s="15">
        <f t="shared" ca="1" si="15"/>
        <v>-3.3935916150085177E-5</v>
      </c>
      <c r="BB40" s="15">
        <f t="shared" ca="1" si="16"/>
        <v>-1.2255501047775397E-5</v>
      </c>
      <c r="BC40" s="15">
        <f t="shared" ca="1" si="17"/>
        <v>1.8127779824794743E-5</v>
      </c>
      <c r="BD40" s="15">
        <f t="shared" ca="1" si="18"/>
        <v>-2.1606112142080747E-5</v>
      </c>
      <c r="BE40" s="15">
        <f t="shared" ca="1" si="19"/>
        <v>2.5292945878163664E-5</v>
      </c>
    </row>
    <row r="41" spans="1:57" x14ac:dyDescent="0.25">
      <c r="A41" t="s">
        <v>59</v>
      </c>
      <c r="B41" t="str" cm="1">
        <f t="array" aca="1" ref="B41" ca="1">LEFT(INDIRECT(ADDRESS(B$1,B$2,1,1,$A41)),FIND("-",INDIRECT(ADDRESS(B$1,B$2,1,1,$A41)))-1)</f>
        <v>P509</v>
      </c>
      <c r="C41" t="str" cm="1">
        <f t="array" aca="1" ref="C41" ca="1">RIGHT(INDIRECT(ADDRESS(B$1,B$2,1,1,$A41)),LEN(INDIRECT(ADDRESS(B$1,B$2,1,1,$A41)))-FIND("-",INDIRECT(ADDRESS(B$1,B$2,1,1,$A41))))</f>
        <v>east</v>
      </c>
      <c r="D41" s="10" cm="1">
        <f t="array" aca="1" ref="D41" ca="1">DATE(MID(INDIRECT(ADDRESS(D$1,D$2,1,1,$A41)),1,4),MID(INDIRECT(ADDRESS(D$1,D$2,1,1,$A41)),5,2),MID(INDIRECT(ADDRESS(D$1,D$2,1,1,$A41)),7,2))+TIME(MID(INDIRECT(ADDRESS(D$1,D$2,1,1,$A41)),10,2),MID(INDIRECT(ADDRESS(D$1,D$2,1,1,$A41)),12,2),0)</f>
        <v>44217.677083333336</v>
      </c>
      <c r="E41" cm="1">
        <f t="array" aca="1" ref="E41" ca="1">INDIRECT(ADDRESS(E$1,E$2,1,1,$A41))</f>
        <v>0</v>
      </c>
      <c r="F41" s="11" cm="1">
        <f t="array" aca="1" ref="F41" ca="1">VALUE(SUBSTITUTE(INDIRECT(ADDRESS(F$1,F$2,1,1,$A41)),"┬░C",""))</f>
        <v>20.100000000000001</v>
      </c>
      <c r="G41" s="12" cm="1">
        <f t="array" aca="1" ref="G41" ca="1">INDIRECT(ADDRESS(G$1,G$2,1,1,$A41))</f>
        <v>25.398</v>
      </c>
      <c r="H41" cm="1">
        <f t="array" aca="1" ref="H41" ca="1">INDIRECT(ADDRESS(H$1,H$2,1,1,$A41))</f>
        <v>25.401800000000001</v>
      </c>
      <c r="I41" cm="1">
        <f t="array" aca="1" ref="I41" ca="1">INDIRECT(ADDRESS(I$1,I$2,1,1,$A41))</f>
        <v>25.4023</v>
      </c>
      <c r="J41" cm="1">
        <f t="array" aca="1" ref="J41" ca="1">INDIRECT(ADDRESS(J$1,J$2,1,1,$A41))</f>
        <v>25.403300000000002</v>
      </c>
      <c r="K41" s="13" cm="1">
        <f t="array" aca="1" ref="K41" ca="1">INDIRECT(ADDRESS(K$1,K$2,1,1,$A41))</f>
        <v>25.401599999999998</v>
      </c>
      <c r="L41" s="14" cm="1">
        <f t="array" aca="1" ref="L41" ca="1">SQRT(SUMSQ(Y41:AA41-V41:X41))</f>
        <v>72.877952669514528</v>
      </c>
      <c r="M41" s="15" cm="1">
        <f t="array" aca="1" ref="M41" ca="1">SQRT(SUMSQ(AB41:AD41-V41:X41))</f>
        <v>73.712774555161062</v>
      </c>
      <c r="N41" s="15" cm="1">
        <f t="array" aca="1" ref="N41" ca="1">SQRT(SUMSQ(AE41:AG41-V41:X41))</f>
        <v>72.339674110545999</v>
      </c>
      <c r="O41" s="15" cm="1">
        <f t="array" aca="1" ref="O41" ca="1">SQRT(SUMSQ(AH41:AJ41-V41:X41))</f>
        <v>71.962266075840063</v>
      </c>
      <c r="P41" s="15" cm="1">
        <f t="array" aca="1" ref="P41" ca="1">SQRT(SUMSQ(AB41:AD41-Y41:AA41))</f>
        <v>125.93100104199918</v>
      </c>
      <c r="Q41" s="15" cm="1">
        <f t="array" aca="1" ref="Q41" ca="1">SQRT(SUMSQ(AE41:AG41-Y41:AA41))</f>
        <v>145.21468737906645</v>
      </c>
      <c r="R41" s="15" cm="1">
        <f t="array" aca="1" ref="R41" ca="1">SQRT(SUMSQ(AH41:AJ41-Y41:AA41))</f>
        <v>74.989709486235512</v>
      </c>
      <c r="S41" s="15" cm="1">
        <f t="array" aca="1" ref="S41" ca="1">SQRT(SUMSQ(AE41:AG41-AB41:AD41))</f>
        <v>73.984800226262692</v>
      </c>
      <c r="T41" s="15" cm="1">
        <f t="array" aca="1" ref="T41" ca="1">SQRT(SUMSQ(AH41:AJ41-AB41:AD41))</f>
        <v>145.6715899624563</v>
      </c>
      <c r="U41" s="16" cm="1">
        <f t="array" aca="1" ref="U41" ca="1">SQRT(SUMSQ(AH41:AJ41-AE41:AG41))</f>
        <v>123.9223690239579</v>
      </c>
      <c r="V41" cm="1">
        <f t="array" aca="1" ref="V41" ca="1">INDIRECT(ADDRESS(V$1,V$2,1,1,$A41))</f>
        <v>0</v>
      </c>
      <c r="W41" cm="1">
        <f t="array" aca="1" ref="W41" ca="1">INDIRECT(ADDRESS(W$1,W$2,1,1,$A41))</f>
        <v>0</v>
      </c>
      <c r="X41" cm="1">
        <f t="array" aca="1" ref="X41" ca="1">INDIRECT(ADDRESS(X$1,X$2,1,1,$A41))</f>
        <v>0</v>
      </c>
      <c r="Y41" cm="1">
        <f t="array" aca="1" ref="Y41" ca="1">INDIRECT(ADDRESS(Y$1,Y$2,1,1,$A41))</f>
        <v>62.479599999999998</v>
      </c>
      <c r="Z41" cm="1">
        <f t="array" aca="1" ref="Z41" ca="1">INDIRECT(ADDRESS(Z$1,Z$2,1,1,$A41))</f>
        <v>37.516500000000001</v>
      </c>
      <c r="AA41" cm="1">
        <f t="array" aca="1" ref="AA41" ca="1">INDIRECT(ADDRESS(AA$1,AA$2,1,1,$A41))</f>
        <v>8.8300000000000003E-2</v>
      </c>
      <c r="AB41" cm="1">
        <f t="array" aca="1" ref="AB41" ca="1">INDIRECT(ADDRESS(AB$1,AB$2,1,1,$A41))</f>
        <v>-63.4514</v>
      </c>
      <c r="AC41" cm="1">
        <f t="array" aca="1" ref="AC41" ca="1">INDIRECT(ADDRESS(AC$1,AC$2,1,1,$A41))</f>
        <v>37.516500000000001</v>
      </c>
      <c r="AD41" cm="1">
        <f t="array" aca="1" ref="AD41" ca="1">INDIRECT(ADDRESS(AD$1,AD$2,1,1,$A41))</f>
        <v>7.2099999999999997E-2</v>
      </c>
      <c r="AE41" cm="1">
        <f t="array" aca="1" ref="AE41" ca="1">INDIRECT(ADDRESS(AE$1,AE$2,1,1,$A41))</f>
        <v>-62.478400000000001</v>
      </c>
      <c r="AF41" cm="1">
        <f t="array" aca="1" ref="AF41" ca="1">INDIRECT(ADDRESS(AF$1,AF$2,1,1,$A41))</f>
        <v>-36.4619</v>
      </c>
      <c r="AG41" cm="1">
        <f t="array" aca="1" ref="AG41" ca="1">INDIRECT(ADDRESS(AG$1,AG$2,1,1,$A41))</f>
        <v>8.8499999999999995E-2</v>
      </c>
      <c r="AH41" cm="1">
        <f t="array" aca="1" ref="AH41" ca="1">INDIRECT(ADDRESS(AH$1,AH$2,1,1,$A41))</f>
        <v>61.439900000000002</v>
      </c>
      <c r="AI41" cm="1">
        <f t="array" aca="1" ref="AI41" ca="1">INDIRECT(ADDRESS(AI$1,AI$2,1,1,$A41))</f>
        <v>-37.466000000000001</v>
      </c>
      <c r="AJ41" cm="1">
        <f t="array" aca="1" ref="AJ41" ca="1">INDIRECT(ADDRESS(AJ$1,AJ$2,1,1,$A41))</f>
        <v>7.2599999999999998E-2</v>
      </c>
      <c r="AK41" s="15" cm="1">
        <f t="array" aca="1" ref="AK41" ca="1">INDIRECT(ADDRESS(AK$1,AK$2,1,1,$A41))</f>
        <v>72.878</v>
      </c>
      <c r="AL41" s="15" cm="1">
        <f t="array" aca="1" ref="AL41" ca="1">INDIRECT(ADDRESS(AL$1,AL$2,1,1,$A41))</f>
        <v>73.712800000000001</v>
      </c>
      <c r="AM41" s="15" cm="1">
        <f t="array" aca="1" ref="AM41" ca="1">INDIRECT(ADDRESS(AM$1,AM$2,1,1,$A41))</f>
        <v>72.339699999999993</v>
      </c>
      <c r="AN41" s="15" cm="1">
        <f t="array" aca="1" ref="AN41" ca="1">INDIRECT(ADDRESS(AN$1,AN$2,1,1,$A41))</f>
        <v>71.962199999999996</v>
      </c>
      <c r="AO41" s="15" cm="1">
        <f t="array" aca="1" ref="AO41" ca="1">INDIRECT(ADDRESS(AO$1,AO$2,1,1,$A41))</f>
        <v>125.931</v>
      </c>
      <c r="AP41" s="15" cm="1">
        <f t="array" aca="1" ref="AP41" ca="1">INDIRECT(ADDRESS(AP$1,AP$2,1,1,$A41))</f>
        <v>145.2148</v>
      </c>
      <c r="AQ41" s="15" cm="1">
        <f t="array" aca="1" ref="AQ41" ca="1">INDIRECT(ADDRESS(AQ$1,AQ$2,1,1,$A41))</f>
        <v>74.989699999999999</v>
      </c>
      <c r="AR41" s="15" cm="1">
        <f t="array" aca="1" ref="AR41" ca="1">INDIRECT(ADDRESS(AR$1,AR$2,1,1,$A41))</f>
        <v>73.984899999999996</v>
      </c>
      <c r="AS41" s="15" cm="1">
        <f t="array" aca="1" ref="AS41" ca="1">INDIRECT(ADDRESS(AS$1,AS$2,1,1,$A41))</f>
        <v>145.67160000000001</v>
      </c>
      <c r="AT41" s="15" cm="1">
        <f t="array" aca="1" ref="AT41" ca="1">INDIRECT(ADDRESS(AT$1,AT$2,1,1,$A41))</f>
        <v>123.9224</v>
      </c>
      <c r="AV41" s="15">
        <f t="shared" ca="1" si="10"/>
        <v>4.7330485472230066E-5</v>
      </c>
      <c r="AW41" s="15">
        <f t="shared" ca="1" si="11"/>
        <v>2.5444838939847614E-5</v>
      </c>
      <c r="AX41" s="15">
        <f t="shared" ca="1" si="12"/>
        <v>2.5889453993954703E-5</v>
      </c>
      <c r="AY41" s="15">
        <f t="shared" ca="1" si="13"/>
        <v>-6.6075840067014724E-5</v>
      </c>
      <c r="AZ41" s="15">
        <f t="shared" ca="1" si="14"/>
        <v>-1.0419991838261922E-6</v>
      </c>
      <c r="BA41" s="15">
        <f t="shared" ca="1" si="15"/>
        <v>1.1262093354957869E-4</v>
      </c>
      <c r="BB41" s="15">
        <f t="shared" ca="1" si="16"/>
        <v>-9.4862355126679176E-6</v>
      </c>
      <c r="BC41" s="15">
        <f t="shared" ca="1" si="17"/>
        <v>9.9773737304076349E-5</v>
      </c>
      <c r="BD41" s="15">
        <f t="shared" ca="1" si="18"/>
        <v>1.0037543717089648E-5</v>
      </c>
      <c r="BE41" s="15">
        <f t="shared" ca="1" si="19"/>
        <v>3.097604209756355E-5</v>
      </c>
    </row>
    <row r="42" spans="1:57" x14ac:dyDescent="0.25">
      <c r="A42" t="s">
        <v>61</v>
      </c>
      <c r="B42" t="str" cm="1">
        <f t="array" aca="1" ref="B42" ca="1">LEFT(INDIRECT(ADDRESS(B$1,B$2,1,1,$A42)),FIND("-",INDIRECT(ADDRESS(B$1,B$2,1,1,$A42)))-1)</f>
        <v>P509</v>
      </c>
      <c r="C42" t="str" cm="1">
        <f t="array" aca="1" ref="C42" ca="1">RIGHT(INDIRECT(ADDRESS(B$1,B$2,1,1,$A42)),LEN(INDIRECT(ADDRESS(B$1,B$2,1,1,$A42)))-FIND("-",INDIRECT(ADDRESS(B$1,B$2,1,1,$A42))))</f>
        <v>east</v>
      </c>
      <c r="D42" s="10" cm="1">
        <f t="array" aca="1" ref="D42" ca="1">DATE(MID(INDIRECT(ADDRESS(D$1,D$2,1,1,$A42)),1,4),MID(INDIRECT(ADDRESS(D$1,D$2,1,1,$A42)),5,2),MID(INDIRECT(ADDRESS(D$1,D$2,1,1,$A42)),7,2))+TIME(MID(INDIRECT(ADDRESS(D$1,D$2,1,1,$A42)),10,2),MID(INDIRECT(ADDRESS(D$1,D$2,1,1,$A42)),12,2),0)</f>
        <v>44217.679861111108</v>
      </c>
      <c r="E42" cm="1">
        <f t="array" aca="1" ref="E42" ca="1">INDIRECT(ADDRESS(E$1,E$2,1,1,$A42))</f>
        <v>0</v>
      </c>
      <c r="F42" s="11" cm="1">
        <f t="array" aca="1" ref="F42" ca="1">VALUE(SUBSTITUTE(INDIRECT(ADDRESS(F$1,F$2,1,1,$A42)),"┬░C",""))</f>
        <v>20.100000000000001</v>
      </c>
      <c r="G42" s="12" cm="1">
        <f t="array" aca="1" ref="G42" ca="1">INDIRECT(ADDRESS(G$1,G$2,1,1,$A42))</f>
        <v>25.397600000000001</v>
      </c>
      <c r="H42" cm="1">
        <f t="array" aca="1" ref="H42" ca="1">INDIRECT(ADDRESS(H$1,H$2,1,1,$A42))</f>
        <v>25.401700000000002</v>
      </c>
      <c r="I42" cm="1">
        <f t="array" aca="1" ref="I42" ca="1">INDIRECT(ADDRESS(I$1,I$2,1,1,$A42))</f>
        <v>25.401499999999999</v>
      </c>
      <c r="J42" cm="1">
        <f t="array" aca="1" ref="J42" ca="1">INDIRECT(ADDRESS(J$1,J$2,1,1,$A42))</f>
        <v>25.403500000000001</v>
      </c>
      <c r="K42" s="13" cm="1">
        <f t="array" aca="1" ref="K42" ca="1">INDIRECT(ADDRESS(K$1,K$2,1,1,$A42))</f>
        <v>25.401</v>
      </c>
      <c r="L42" s="14" cm="1">
        <f t="array" aca="1" ref="L42" ca="1">SQRT(SUMSQ(Y42:AA42-V42:X42))</f>
        <v>72.878037676861197</v>
      </c>
      <c r="M42" s="15" cm="1">
        <f t="array" aca="1" ref="M42" ca="1">SQRT(SUMSQ(AB42:AD42-V42:X42))</f>
        <v>73.71320436739947</v>
      </c>
      <c r="N42" s="15" cm="1">
        <f t="array" aca="1" ref="N42" ca="1">SQRT(SUMSQ(AE42:AG42-V42:X42))</f>
        <v>72.339759868691843</v>
      </c>
      <c r="O42" s="15" cm="1">
        <f t="array" aca="1" ref="O42" ca="1">SQRT(SUMSQ(AH42:AJ42-V42:X42))</f>
        <v>71.962796389592867</v>
      </c>
      <c r="P42" s="15" cm="1">
        <f t="array" aca="1" ref="P42" ca="1">SQRT(SUMSQ(AB42:AD42-Y42:AA42))</f>
        <v>125.93160104199423</v>
      </c>
      <c r="Q42" s="15" cm="1">
        <f t="array" aca="1" ref="Q42" ca="1">SQRT(SUMSQ(AE42:AG42-Y42:AA42))</f>
        <v>145.21485948032316</v>
      </c>
      <c r="R42" s="15" cm="1">
        <f t="array" aca="1" ref="R42" ca="1">SQRT(SUMSQ(AH42:AJ42-Y42:AA42))</f>
        <v>74.989903943264252</v>
      </c>
      <c r="S42" s="15" cm="1">
        <f t="array" aca="1" ref="S42" ca="1">SQRT(SUMSQ(AE42:AG42-AB42:AD42))</f>
        <v>73.984805510118093</v>
      </c>
      <c r="T42" s="15" cm="1">
        <f t="array" aca="1" ref="T42" ca="1">SQRT(SUMSQ(AH42:AJ42-AB42:AD42))</f>
        <v>145.67255025824184</v>
      </c>
      <c r="U42" s="16" cm="1">
        <f t="array" aca="1" ref="U42" ca="1">SQRT(SUMSQ(AH42:AJ42-AE42:AG42))</f>
        <v>123.92297065076353</v>
      </c>
      <c r="V42" cm="1">
        <f t="array" aca="1" ref="V42" ca="1">INDIRECT(ADDRESS(V$1,V$2,1,1,$A42))</f>
        <v>0</v>
      </c>
      <c r="W42" cm="1">
        <f t="array" aca="1" ref="W42" ca="1">INDIRECT(ADDRESS(W$1,W$2,1,1,$A42))</f>
        <v>0</v>
      </c>
      <c r="X42" cm="1">
        <f t="array" aca="1" ref="X42" ca="1">INDIRECT(ADDRESS(X$1,X$2,1,1,$A42))</f>
        <v>0</v>
      </c>
      <c r="Y42" cm="1">
        <f t="array" aca="1" ref="Y42" ca="1">INDIRECT(ADDRESS(Y$1,Y$2,1,1,$A42))</f>
        <v>62.479700000000001</v>
      </c>
      <c r="Z42" cm="1">
        <f t="array" aca="1" ref="Z42" ca="1">INDIRECT(ADDRESS(Z$1,Z$2,1,1,$A42))</f>
        <v>37.516500000000001</v>
      </c>
      <c r="AA42" cm="1">
        <f t="array" aca="1" ref="AA42" ca="1">INDIRECT(ADDRESS(AA$1,AA$2,1,1,$A42))</f>
        <v>8.77E-2</v>
      </c>
      <c r="AB42" cm="1">
        <f t="array" aca="1" ref="AB42" ca="1">INDIRECT(ADDRESS(AB$1,AB$2,1,1,$A42))</f>
        <v>-63.451900000000002</v>
      </c>
      <c r="AC42" cm="1">
        <f t="array" aca="1" ref="AC42" ca="1">INDIRECT(ADDRESS(AC$1,AC$2,1,1,$A42))</f>
        <v>37.516500000000001</v>
      </c>
      <c r="AD42" cm="1">
        <f t="array" aca="1" ref="AD42" ca="1">INDIRECT(ADDRESS(AD$1,AD$2,1,1,$A42))</f>
        <v>7.1499999999999994E-2</v>
      </c>
      <c r="AE42" cm="1">
        <f t="array" aca="1" ref="AE42" ca="1">INDIRECT(ADDRESS(AE$1,AE$2,1,1,$A42))</f>
        <v>-62.478499999999997</v>
      </c>
      <c r="AF42" cm="1">
        <f t="array" aca="1" ref="AF42" ca="1">INDIRECT(ADDRESS(AF$1,AF$2,1,1,$A42))</f>
        <v>-36.4619</v>
      </c>
      <c r="AG42" cm="1">
        <f t="array" aca="1" ref="AG42" ca="1">INDIRECT(ADDRESS(AG$1,AG$2,1,1,$A42))</f>
        <v>8.7999999999999995E-2</v>
      </c>
      <c r="AH42" cm="1">
        <f t="array" aca="1" ref="AH42" ca="1">INDIRECT(ADDRESS(AH$1,AH$2,1,1,$A42))</f>
        <v>61.440399999999997</v>
      </c>
      <c r="AI42" cm="1">
        <f t="array" aca="1" ref="AI42" ca="1">INDIRECT(ADDRESS(AI$1,AI$2,1,1,$A42))</f>
        <v>-37.466200000000001</v>
      </c>
      <c r="AJ42" cm="1">
        <f t="array" aca="1" ref="AJ42" ca="1">INDIRECT(ADDRESS(AJ$1,AJ$2,1,1,$A42))</f>
        <v>7.1900000000000006E-2</v>
      </c>
      <c r="AK42" s="15" cm="1">
        <f t="array" aca="1" ref="AK42" ca="1">INDIRECT(ADDRESS(AK$1,AK$2,1,1,$A42))</f>
        <v>72.878100000000003</v>
      </c>
      <c r="AL42" s="15" cm="1">
        <f t="array" aca="1" ref="AL42" ca="1">INDIRECT(ADDRESS(AL$1,AL$2,1,1,$A42))</f>
        <v>73.713200000000001</v>
      </c>
      <c r="AM42" s="15" cm="1">
        <f t="array" aca="1" ref="AM42" ca="1">INDIRECT(ADDRESS(AM$1,AM$2,1,1,$A42))</f>
        <v>72.339799999999997</v>
      </c>
      <c r="AN42" s="15" cm="1">
        <f t="array" aca="1" ref="AN42" ca="1">INDIRECT(ADDRESS(AN$1,AN$2,1,1,$A42))</f>
        <v>71.962800000000001</v>
      </c>
      <c r="AO42" s="15" cm="1">
        <f t="array" aca="1" ref="AO42" ca="1">INDIRECT(ADDRESS(AO$1,AO$2,1,1,$A42))</f>
        <v>125.9316</v>
      </c>
      <c r="AP42" s="15" cm="1">
        <f t="array" aca="1" ref="AP42" ca="1">INDIRECT(ADDRESS(AP$1,AP$2,1,1,$A42))</f>
        <v>145.2149</v>
      </c>
      <c r="AQ42" s="15" cm="1">
        <f t="array" aca="1" ref="AQ42" ca="1">INDIRECT(ADDRESS(AQ$1,AQ$2,1,1,$A42))</f>
        <v>74.989900000000006</v>
      </c>
      <c r="AR42" s="15" cm="1">
        <f t="array" aca="1" ref="AR42" ca="1">INDIRECT(ADDRESS(AR$1,AR$2,1,1,$A42))</f>
        <v>73.984700000000004</v>
      </c>
      <c r="AS42" s="15" cm="1">
        <f t="array" aca="1" ref="AS42" ca="1">INDIRECT(ADDRESS(AS$1,AS$2,1,1,$A42))</f>
        <v>145.67250000000001</v>
      </c>
      <c r="AT42" s="15" cm="1">
        <f t="array" aca="1" ref="AT42" ca="1">INDIRECT(ADDRESS(AT$1,AT$2,1,1,$A42))</f>
        <v>123.923</v>
      </c>
      <c r="AV42" s="15">
        <f t="shared" ca="1" si="10"/>
        <v>6.2323138806164025E-5</v>
      </c>
      <c r="AW42" s="15">
        <f t="shared" ca="1" si="11"/>
        <v>-4.3673994696291629E-6</v>
      </c>
      <c r="AX42" s="15">
        <f t="shared" ca="1" si="12"/>
        <v>4.0131308153945611E-5</v>
      </c>
      <c r="AY42" s="15">
        <f t="shared" ca="1" si="13"/>
        <v>3.6104071341469535E-6</v>
      </c>
      <c r="AZ42" s="15">
        <f t="shared" ca="1" si="14"/>
        <v>-1.0419942242378966E-6</v>
      </c>
      <c r="BA42" s="15">
        <f t="shared" ca="1" si="15"/>
        <v>4.0519676844041896E-5</v>
      </c>
      <c r="BB42" s="15">
        <f t="shared" ca="1" si="16"/>
        <v>-3.9432642466863399E-6</v>
      </c>
      <c r="BC42" s="15">
        <f t="shared" ca="1" si="17"/>
        <v>-1.05510118089569E-4</v>
      </c>
      <c r="BD42" s="15">
        <f t="shared" ca="1" si="18"/>
        <v>-5.025824182780525E-5</v>
      </c>
      <c r="BE42" s="15">
        <f t="shared" ca="1" si="19"/>
        <v>2.9349236470466167E-5</v>
      </c>
    </row>
    <row r="43" spans="1:57" x14ac:dyDescent="0.25">
      <c r="D43" s="10"/>
      <c r="F43" s="11"/>
      <c r="G43" s="12"/>
      <c r="K43" s="13"/>
      <c r="L43" s="14"/>
      <c r="M43" s="15"/>
      <c r="N43" s="15"/>
      <c r="O43" s="15"/>
      <c r="P43" s="15"/>
      <c r="Q43" s="15"/>
      <c r="R43" s="15"/>
      <c r="S43" s="15"/>
      <c r="T43" s="15"/>
      <c r="U43" s="16"/>
      <c r="AK43" s="15"/>
      <c r="AL43" s="15"/>
      <c r="AM43" s="15"/>
      <c r="AN43" s="15"/>
      <c r="AO43" s="15"/>
      <c r="AP43" s="15"/>
      <c r="AQ43" s="15"/>
      <c r="AR43" s="15"/>
      <c r="AS43" s="15"/>
      <c r="AT43" s="15"/>
      <c r="AV43" s="15"/>
      <c r="AW43" s="15"/>
      <c r="AX43" s="15"/>
      <c r="AY43" s="15"/>
      <c r="AZ43" s="15"/>
      <c r="BA43" s="15"/>
      <c r="BB43" s="15"/>
      <c r="BC43" s="15"/>
      <c r="BD43" s="15"/>
      <c r="BE43" s="15"/>
    </row>
    <row r="44" spans="1:57" x14ac:dyDescent="0.25">
      <c r="D44" s="10"/>
      <c r="F44" s="11"/>
      <c r="G44" s="12"/>
      <c r="K44" s="13"/>
      <c r="L44" s="14"/>
      <c r="M44" s="15"/>
      <c r="N44" s="15"/>
      <c r="O44" s="15"/>
      <c r="P44" s="15"/>
      <c r="Q44" s="15"/>
      <c r="R44" s="15"/>
      <c r="S44" s="15"/>
      <c r="T44" s="15"/>
      <c r="U44" s="16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V44" s="15"/>
      <c r="AW44" s="15"/>
      <c r="AX44" s="15"/>
      <c r="AY44" s="15"/>
      <c r="AZ44" s="15"/>
      <c r="BA44" s="15"/>
      <c r="BB44" s="15"/>
      <c r="BC44" s="15"/>
      <c r="BD44" s="15"/>
      <c r="BE44" s="15"/>
    </row>
    <row r="45" spans="1:57" x14ac:dyDescent="0.25">
      <c r="D45" s="10"/>
      <c r="F45" s="11"/>
      <c r="G45" s="12"/>
      <c r="K45" s="13"/>
      <c r="L45" s="14"/>
      <c r="M45" s="15"/>
      <c r="N45" s="15"/>
      <c r="O45" s="15"/>
      <c r="P45" s="15"/>
      <c r="Q45" s="15"/>
      <c r="R45" s="15"/>
      <c r="S45" s="15"/>
      <c r="T45" s="15"/>
      <c r="U45" s="16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V45" s="15"/>
      <c r="AW45" s="15"/>
      <c r="AX45" s="15"/>
      <c r="AY45" s="15"/>
      <c r="AZ45" s="15"/>
      <c r="BA45" s="15"/>
      <c r="BB45" s="15"/>
      <c r="BC45" s="15"/>
      <c r="BD45" s="15"/>
      <c r="BE45" s="15"/>
    </row>
    <row r="46" spans="1:57" x14ac:dyDescent="0.25">
      <c r="D46" s="10"/>
      <c r="F46" s="11"/>
      <c r="G46" s="12"/>
      <c r="K46" s="13"/>
      <c r="L46" s="14"/>
      <c r="M46" s="15"/>
      <c r="N46" s="15"/>
      <c r="O46" s="15"/>
      <c r="P46" s="15"/>
      <c r="Q46" s="15"/>
      <c r="R46" s="15"/>
      <c r="S46" s="15"/>
      <c r="T46" s="15"/>
      <c r="U46" s="16"/>
      <c r="AK46" s="15"/>
      <c r="AL46" s="15"/>
      <c r="AM46" s="15"/>
      <c r="AN46" s="15"/>
      <c r="AO46" s="15"/>
      <c r="AP46" s="15"/>
      <c r="AQ46" s="15"/>
      <c r="AR46" s="15"/>
      <c r="AS46" s="15"/>
      <c r="AT46" s="15"/>
      <c r="AV46" s="15"/>
      <c r="AW46" s="15"/>
      <c r="AX46" s="15"/>
      <c r="AY46" s="15"/>
      <c r="AZ46" s="15"/>
      <c r="BA46" s="15"/>
      <c r="BB46" s="15"/>
      <c r="BC46" s="15"/>
      <c r="BD46" s="15"/>
      <c r="BE46" s="15"/>
    </row>
    <row r="47" spans="1:57" x14ac:dyDescent="0.25">
      <c r="D47" s="10"/>
      <c r="F47" s="11"/>
      <c r="G47" s="12"/>
      <c r="K47" s="13"/>
      <c r="L47" s="14"/>
      <c r="M47" s="15"/>
      <c r="N47" s="15"/>
      <c r="O47" s="15"/>
      <c r="P47" s="15"/>
      <c r="Q47" s="15"/>
      <c r="R47" s="15"/>
      <c r="S47" s="15"/>
      <c r="T47" s="15"/>
      <c r="U47" s="16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V47" s="15"/>
      <c r="AW47" s="15"/>
      <c r="AX47" s="15"/>
      <c r="AY47" s="15"/>
      <c r="AZ47" s="15"/>
      <c r="BA47" s="15"/>
      <c r="BB47" s="15"/>
      <c r="BC47" s="15"/>
      <c r="BD47" s="15"/>
      <c r="BE47" s="15"/>
    </row>
    <row r="48" spans="1:57" x14ac:dyDescent="0.25">
      <c r="D48" s="10"/>
      <c r="F48" s="11"/>
      <c r="G48" s="12"/>
      <c r="K48" s="13"/>
      <c r="L48" s="14"/>
      <c r="M48" s="15"/>
      <c r="N48" s="15"/>
      <c r="O48" s="15"/>
      <c r="P48" s="15"/>
      <c r="Q48" s="15"/>
      <c r="R48" s="15"/>
      <c r="S48" s="15"/>
      <c r="T48" s="15"/>
      <c r="U48" s="16"/>
      <c r="AK48" s="15"/>
      <c r="AL48" s="15"/>
      <c r="AM48" s="15"/>
      <c r="AN48" s="15"/>
      <c r="AO48" s="15"/>
      <c r="AP48" s="15"/>
      <c r="AQ48" s="15"/>
      <c r="AR48" s="15"/>
      <c r="AS48" s="15"/>
      <c r="AT48" s="15"/>
      <c r="AV48" s="15"/>
      <c r="AW48" s="15"/>
      <c r="AX48" s="15"/>
      <c r="AY48" s="15"/>
      <c r="AZ48" s="15"/>
      <c r="BA48" s="15"/>
      <c r="BB48" s="15"/>
      <c r="BC48" s="15"/>
      <c r="BD48" s="15"/>
      <c r="BE48" s="15"/>
    </row>
    <row r="49" spans="3:36" x14ac:dyDescent="0.25">
      <c r="F49" s="11"/>
      <c r="G49" s="12"/>
      <c r="K49" s="13"/>
      <c r="L49" s="12"/>
      <c r="U49" s="13"/>
    </row>
    <row r="50" spans="3:36" x14ac:dyDescent="0.25">
      <c r="D50" s="1" t="s">
        <v>40</v>
      </c>
      <c r="E50" s="1"/>
      <c r="F50" s="11">
        <f ca="1">COUNT(F7:F48)</f>
        <v>36</v>
      </c>
      <c r="G50" s="12">
        <f t="shared" ref="G50:AJ50" ca="1" si="20">COUNT(G7:G48)</f>
        <v>36</v>
      </c>
      <c r="H50">
        <f t="shared" ca="1" si="20"/>
        <v>36</v>
      </c>
      <c r="I50">
        <f t="shared" ca="1" si="20"/>
        <v>36</v>
      </c>
      <c r="J50">
        <f t="shared" ca="1" si="20"/>
        <v>36</v>
      </c>
      <c r="K50" s="13">
        <f t="shared" ca="1" si="20"/>
        <v>36</v>
      </c>
      <c r="L50" s="12">
        <f t="shared" ca="1" si="20"/>
        <v>36</v>
      </c>
      <c r="M50">
        <f t="shared" ca="1" si="20"/>
        <v>36</v>
      </c>
      <c r="N50">
        <f t="shared" ca="1" si="20"/>
        <v>36</v>
      </c>
      <c r="O50">
        <f t="shared" ca="1" si="20"/>
        <v>36</v>
      </c>
      <c r="P50">
        <f t="shared" ca="1" si="20"/>
        <v>36</v>
      </c>
      <c r="Q50">
        <f t="shared" ca="1" si="20"/>
        <v>36</v>
      </c>
      <c r="R50">
        <f t="shared" ca="1" si="20"/>
        <v>36</v>
      </c>
      <c r="S50">
        <f t="shared" ca="1" si="20"/>
        <v>36</v>
      </c>
      <c r="T50">
        <f t="shared" ca="1" si="20"/>
        <v>36</v>
      </c>
      <c r="U50" s="13">
        <f t="shared" ca="1" si="20"/>
        <v>36</v>
      </c>
      <c r="V50">
        <f t="shared" ca="1" si="20"/>
        <v>36</v>
      </c>
      <c r="W50">
        <f t="shared" ca="1" si="20"/>
        <v>36</v>
      </c>
      <c r="X50">
        <f t="shared" ca="1" si="20"/>
        <v>36</v>
      </c>
      <c r="Y50">
        <f t="shared" ca="1" si="20"/>
        <v>36</v>
      </c>
      <c r="Z50">
        <f t="shared" ca="1" si="20"/>
        <v>36</v>
      </c>
      <c r="AA50">
        <f t="shared" ca="1" si="20"/>
        <v>36</v>
      </c>
      <c r="AB50">
        <f t="shared" ca="1" si="20"/>
        <v>36</v>
      </c>
      <c r="AC50">
        <f t="shared" ca="1" si="20"/>
        <v>36</v>
      </c>
      <c r="AD50">
        <f t="shared" ca="1" si="20"/>
        <v>36</v>
      </c>
      <c r="AE50">
        <f t="shared" ca="1" si="20"/>
        <v>36</v>
      </c>
      <c r="AF50">
        <f t="shared" ca="1" si="20"/>
        <v>36</v>
      </c>
      <c r="AG50">
        <f t="shared" ca="1" si="20"/>
        <v>36</v>
      </c>
      <c r="AH50">
        <f t="shared" ca="1" si="20"/>
        <v>36</v>
      </c>
      <c r="AI50">
        <f t="shared" ca="1" si="20"/>
        <v>36</v>
      </c>
      <c r="AJ50">
        <f t="shared" ca="1" si="20"/>
        <v>36</v>
      </c>
    </row>
    <row r="51" spans="3:36" x14ac:dyDescent="0.25">
      <c r="D51" s="1" t="s">
        <v>41</v>
      </c>
      <c r="E51" s="1"/>
      <c r="F51" s="17">
        <f t="shared" ref="F51:AJ51" ca="1" si="21">AVERAGE(F7:F48)</f>
        <v>19.958333333333343</v>
      </c>
      <c r="G51" s="18">
        <f t="shared" ca="1" si="21"/>
        <v>25.398180555555555</v>
      </c>
      <c r="H51" s="19">
        <f t="shared" ca="1" si="21"/>
        <v>25.401869444444436</v>
      </c>
      <c r="I51" s="19">
        <f t="shared" ca="1" si="21"/>
        <v>25.401627777777776</v>
      </c>
      <c r="J51" s="19">
        <f t="shared" ca="1" si="21"/>
        <v>25.403136111111106</v>
      </c>
      <c r="K51" s="20">
        <f t="shared" ca="1" si="21"/>
        <v>25.401436111111114</v>
      </c>
      <c r="L51" s="18">
        <f t="shared" ca="1" si="21"/>
        <v>72.878158931709493</v>
      </c>
      <c r="M51" s="19">
        <f t="shared" ca="1" si="21"/>
        <v>73.712436407221418</v>
      </c>
      <c r="N51" s="19">
        <f t="shared" ca="1" si="21"/>
        <v>72.339194010743498</v>
      </c>
      <c r="O51" s="19">
        <f t="shared" ca="1" si="21"/>
        <v>71.963073057839082</v>
      </c>
      <c r="P51" s="19">
        <f t="shared" ca="1" si="21"/>
        <v>125.9305316483464</v>
      </c>
      <c r="Q51" s="19">
        <f t="shared" ca="1" si="21"/>
        <v>145.21441879999841</v>
      </c>
      <c r="R51" s="19">
        <f t="shared" ca="1" si="21"/>
        <v>74.990499216987459</v>
      </c>
      <c r="S51" s="19">
        <f t="shared" ca="1" si="21"/>
        <v>73.985699587338587</v>
      </c>
      <c r="T51" s="19">
        <f t="shared" ca="1" si="21"/>
        <v>145.67206224578769</v>
      </c>
      <c r="U51" s="20">
        <f t="shared" ca="1" si="21"/>
        <v>123.92206830716447</v>
      </c>
      <c r="V51" s="19">
        <f t="shared" ca="1" si="21"/>
        <v>0</v>
      </c>
      <c r="W51" s="19">
        <f t="shared" ca="1" si="21"/>
        <v>0</v>
      </c>
      <c r="X51" s="19">
        <f t="shared" ca="1" si="21"/>
        <v>0</v>
      </c>
      <c r="Y51" s="19">
        <f t="shared" ca="1" si="21"/>
        <v>62.479680555555547</v>
      </c>
      <c r="Z51" s="19">
        <f t="shared" ca="1" si="21"/>
        <v>37.516766666666669</v>
      </c>
      <c r="AA51" s="19">
        <f t="shared" ca="1" si="21"/>
        <v>8.8236111111111112E-2</v>
      </c>
      <c r="AB51" s="19">
        <f t="shared" ca="1" si="21"/>
        <v>-63.450849999999981</v>
      </c>
      <c r="AC51" s="19">
        <f t="shared" ca="1" si="21"/>
        <v>37.516766666666669</v>
      </c>
      <c r="AD51" s="19">
        <f t="shared" ca="1" si="21"/>
        <v>7.1649999999999964E-2</v>
      </c>
      <c r="AE51" s="19">
        <f t="shared" ca="1" si="21"/>
        <v>-62.477477777777786</v>
      </c>
      <c r="AF51" s="19">
        <f t="shared" ca="1" si="21"/>
        <v>-36.462527777777773</v>
      </c>
      <c r="AG51" s="19">
        <f t="shared" ca="1" si="21"/>
        <v>8.8469444444444448E-2</v>
      </c>
      <c r="AH51" s="19">
        <f t="shared" ca="1" si="21"/>
        <v>61.440522222222221</v>
      </c>
      <c r="AI51" s="19">
        <f t="shared" ca="1" si="21"/>
        <v>-37.466530555555551</v>
      </c>
      <c r="AJ51" s="19">
        <f t="shared" ca="1" si="21"/>
        <v>7.2113888888888894E-2</v>
      </c>
    </row>
    <row r="52" spans="3:36" x14ac:dyDescent="0.25">
      <c r="D52" s="1" t="s">
        <v>42</v>
      </c>
      <c r="E52" s="1"/>
      <c r="F52" s="21">
        <f ca="1">_xlfn.STDEV.S(F7:F48)</f>
        <v>0.15189281935440133</v>
      </c>
      <c r="G52" s="22">
        <f ca="1">_xlfn.STDEV.S(G7:G48)*1000</f>
        <v>0.37707100085036344</v>
      </c>
      <c r="H52" s="23">
        <f ca="1">_xlfn.STDEV.S(H7:H48)*1000</f>
        <v>0.30502406878781779</v>
      </c>
      <c r="I52" s="23">
        <f t="shared" ref="I52:AJ52" ca="1" si="22">_xlfn.STDEV.S(I7:I48)*1000</f>
        <v>0.52894024027106401</v>
      </c>
      <c r="J52" s="23">
        <f t="shared" ca="1" si="22"/>
        <v>0.39652258287570608</v>
      </c>
      <c r="K52" s="24">
        <f t="shared" ca="1" si="22"/>
        <v>0.471564434487177</v>
      </c>
      <c r="L52" s="22">
        <f t="shared" ca="1" si="22"/>
        <v>0.58018930354341403</v>
      </c>
      <c r="M52" s="23">
        <f t="shared" ca="1" si="22"/>
        <v>0.74963403544127316</v>
      </c>
      <c r="N52" s="23">
        <f t="shared" ca="1" si="22"/>
        <v>0.58472123630452155</v>
      </c>
      <c r="O52" s="23">
        <f t="shared" ca="1" si="22"/>
        <v>0.57061726025691306</v>
      </c>
      <c r="P52" s="23">
        <f t="shared" ca="1" si="22"/>
        <v>1.1124459132480844</v>
      </c>
      <c r="Q52" s="23">
        <f t="shared" ca="1" si="22"/>
        <v>0.90494269813378958</v>
      </c>
      <c r="R52" s="23">
        <f t="shared" ca="1" si="22"/>
        <v>0.71338586875665511</v>
      </c>
      <c r="S52" s="23">
        <f t="shared" ca="1" si="22"/>
        <v>0.89992113313826017</v>
      </c>
      <c r="T52" s="23">
        <f t="shared" ca="1" si="22"/>
        <v>0.43284280482077164</v>
      </c>
      <c r="U52" s="24">
        <f t="shared" ca="1" si="22"/>
        <v>0.9688068078339801</v>
      </c>
      <c r="V52" s="23">
        <f t="shared" ca="1" si="22"/>
        <v>0</v>
      </c>
      <c r="W52" s="23">
        <f t="shared" ca="1" si="22"/>
        <v>0</v>
      </c>
      <c r="X52" s="23">
        <f t="shared" ca="1" si="22"/>
        <v>0</v>
      </c>
      <c r="Y52" s="23">
        <f t="shared" ca="1" si="22"/>
        <v>0.57511213537332861</v>
      </c>
      <c r="Z52" s="23">
        <f t="shared" ca="1" si="22"/>
        <v>0.36253078687069074</v>
      </c>
      <c r="AA52" s="23">
        <f t="shared" ca="1" si="22"/>
        <v>0.31546136533000901</v>
      </c>
      <c r="AB52" s="23">
        <f t="shared" ca="1" si="22"/>
        <v>0.83238040754037479</v>
      </c>
      <c r="AC52" s="23">
        <f t="shared" ca="1" si="22"/>
        <v>0.36253078687069074</v>
      </c>
      <c r="AD52" s="23">
        <f t="shared" ca="1" si="22"/>
        <v>0.52454061534151675</v>
      </c>
      <c r="AE52" s="23">
        <f t="shared" ca="1" si="22"/>
        <v>1.1146071982313219</v>
      </c>
      <c r="AF52" s="23">
        <f t="shared" ca="1" si="22"/>
        <v>0.95875249632351611</v>
      </c>
      <c r="AG52" s="23">
        <f t="shared" ca="1" si="22"/>
        <v>0.31151193001181027</v>
      </c>
      <c r="AH52" s="23">
        <f t="shared" ca="1" si="22"/>
        <v>0.37880346288322064</v>
      </c>
      <c r="AI52" s="23">
        <f t="shared" ca="1" si="22"/>
        <v>0.79527872721999626</v>
      </c>
      <c r="AJ52" s="23">
        <f t="shared" ca="1" si="22"/>
        <v>0.52435145126569938</v>
      </c>
    </row>
    <row r="53" spans="3:36" x14ac:dyDescent="0.25">
      <c r="D53" s="1" t="s">
        <v>43</v>
      </c>
      <c r="E53" s="1"/>
      <c r="F53" s="11">
        <f t="shared" ref="F53:AJ53" ca="1" si="23">MIN(F7:F48)</f>
        <v>19.7</v>
      </c>
      <c r="G53" s="14">
        <f t="shared" ca="1" si="23"/>
        <v>25.397500000000001</v>
      </c>
      <c r="H53" s="15">
        <f t="shared" ca="1" si="23"/>
        <v>25.4011</v>
      </c>
      <c r="I53" s="15">
        <f t="shared" ca="1" si="23"/>
        <v>25.400300000000001</v>
      </c>
      <c r="J53" s="15">
        <f t="shared" ca="1" si="23"/>
        <v>25.4025</v>
      </c>
      <c r="K53" s="16">
        <f t="shared" ca="1" si="23"/>
        <v>25.400600000000001</v>
      </c>
      <c r="L53" s="14">
        <f t="shared" ca="1" si="23"/>
        <v>72.877181371743518</v>
      </c>
      <c r="M53" s="15">
        <f t="shared" ca="1" si="23"/>
        <v>73.711037067389029</v>
      </c>
      <c r="N53" s="15">
        <f t="shared" ca="1" si="23"/>
        <v>72.338263458421508</v>
      </c>
      <c r="O53" s="15">
        <f t="shared" ca="1" si="23"/>
        <v>71.961972545852291</v>
      </c>
      <c r="P53" s="15">
        <f t="shared" ca="1" si="23"/>
        <v>125.92900108096626</v>
      </c>
      <c r="Q53" s="15">
        <f t="shared" ca="1" si="23"/>
        <v>145.21300704843904</v>
      </c>
      <c r="R53" s="15">
        <f t="shared" ca="1" si="23"/>
        <v>74.989101144833043</v>
      </c>
      <c r="S53" s="15">
        <f t="shared" ca="1" si="23"/>
        <v>73.984493767951136</v>
      </c>
      <c r="T53" s="15">
        <f t="shared" ca="1" si="23"/>
        <v>145.67133326176432</v>
      </c>
      <c r="U53" s="16">
        <f t="shared" ca="1" si="23"/>
        <v>123.92076434863529</v>
      </c>
      <c r="V53">
        <f t="shared" ca="1" si="23"/>
        <v>0</v>
      </c>
      <c r="W53">
        <f t="shared" ca="1" si="23"/>
        <v>0</v>
      </c>
      <c r="X53">
        <f t="shared" ca="1" si="23"/>
        <v>0</v>
      </c>
      <c r="Y53" s="15">
        <f t="shared" ca="1" si="23"/>
        <v>62.4786</v>
      </c>
      <c r="Z53" s="15">
        <f t="shared" ca="1" si="23"/>
        <v>37.515999999999998</v>
      </c>
      <c r="AA53" s="15">
        <f t="shared" ca="1" si="23"/>
        <v>8.77E-2</v>
      </c>
      <c r="AB53" s="15">
        <f t="shared" ca="1" si="23"/>
        <v>-63.453200000000002</v>
      </c>
      <c r="AC53" s="15">
        <f t="shared" ca="1" si="23"/>
        <v>37.515999999999998</v>
      </c>
      <c r="AD53" s="15">
        <f t="shared" ca="1" si="23"/>
        <v>7.0699999999999999E-2</v>
      </c>
      <c r="AE53" s="15">
        <f t="shared" ca="1" si="23"/>
        <v>-62.479100000000003</v>
      </c>
      <c r="AF53" s="15">
        <f t="shared" ca="1" si="23"/>
        <v>-36.464199999999998</v>
      </c>
      <c r="AG53" s="15">
        <f t="shared" ca="1" si="23"/>
        <v>8.7900000000000006E-2</v>
      </c>
      <c r="AH53" s="15">
        <f t="shared" ca="1" si="23"/>
        <v>61.439799999999998</v>
      </c>
      <c r="AI53" s="15">
        <f t="shared" ca="1" si="23"/>
        <v>-37.468200000000003</v>
      </c>
      <c r="AJ53" s="15">
        <f t="shared" ca="1" si="23"/>
        <v>7.1199999999999999E-2</v>
      </c>
    </row>
    <row r="54" spans="3:36" x14ac:dyDescent="0.25">
      <c r="D54" s="1" t="s">
        <v>44</v>
      </c>
      <c r="E54" s="1"/>
      <c r="F54" s="11">
        <f t="shared" ref="F54:AJ54" ca="1" si="24">MAX(F7:F48)</f>
        <v>20.100000000000001</v>
      </c>
      <c r="G54" s="14">
        <f t="shared" ca="1" si="24"/>
        <v>25.399000000000001</v>
      </c>
      <c r="H54" s="15">
        <f t="shared" ca="1" si="24"/>
        <v>25.4024</v>
      </c>
      <c r="I54" s="15">
        <f t="shared" ca="1" si="24"/>
        <v>25.4025</v>
      </c>
      <c r="J54" s="15">
        <f t="shared" ca="1" si="24"/>
        <v>25.4041</v>
      </c>
      <c r="K54" s="16">
        <f t="shared" ca="1" si="24"/>
        <v>25.402200000000001</v>
      </c>
      <c r="L54" s="14">
        <f t="shared" ca="1" si="24"/>
        <v>72.879598392760101</v>
      </c>
      <c r="M54" s="15">
        <f t="shared" ca="1" si="24"/>
        <v>73.714070402060955</v>
      </c>
      <c r="N54" s="15">
        <f t="shared" ca="1" si="24"/>
        <v>72.340358460405767</v>
      </c>
      <c r="O54" s="15">
        <f t="shared" ca="1" si="24"/>
        <v>71.96401810217381</v>
      </c>
      <c r="P54" s="15">
        <f t="shared" ca="1" si="24"/>
        <v>125.93250105489052</v>
      </c>
      <c r="Q54" s="15">
        <f t="shared" ca="1" si="24"/>
        <v>145.21608002645576</v>
      </c>
      <c r="R54" s="15">
        <f t="shared" ca="1" si="24"/>
        <v>74.991702557349626</v>
      </c>
      <c r="S54" s="15">
        <f t="shared" ca="1" si="24"/>
        <v>73.987410778388508</v>
      </c>
      <c r="T54" s="15">
        <f t="shared" ca="1" si="24"/>
        <v>145.67304761876852</v>
      </c>
      <c r="U54" s="16">
        <f t="shared" ca="1" si="24"/>
        <v>123.92366738674257</v>
      </c>
      <c r="V54">
        <f t="shared" ca="1" si="24"/>
        <v>0</v>
      </c>
      <c r="W54">
        <f t="shared" ca="1" si="24"/>
        <v>0</v>
      </c>
      <c r="X54">
        <f t="shared" ca="1" si="24"/>
        <v>0</v>
      </c>
      <c r="Y54" s="15">
        <f t="shared" ca="1" si="24"/>
        <v>62.481099999999998</v>
      </c>
      <c r="Z54" s="15">
        <f t="shared" ca="1" si="24"/>
        <v>37.517400000000002</v>
      </c>
      <c r="AA54" s="15">
        <f t="shared" ca="1" si="24"/>
        <v>8.8900000000000007E-2</v>
      </c>
      <c r="AB54" s="15">
        <f t="shared" ca="1" si="24"/>
        <v>-63.4495</v>
      </c>
      <c r="AC54" s="15">
        <f t="shared" ca="1" si="24"/>
        <v>37.517400000000002</v>
      </c>
      <c r="AD54" s="15">
        <f t="shared" ca="1" si="24"/>
        <v>7.2999999999999995E-2</v>
      </c>
      <c r="AE54" s="15">
        <f t="shared" ca="1" si="24"/>
        <v>-62.4756</v>
      </c>
      <c r="AF54" s="15">
        <f t="shared" ca="1" si="24"/>
        <v>-36.461100000000002</v>
      </c>
      <c r="AG54" s="15">
        <f t="shared" ca="1" si="24"/>
        <v>8.9099999999999999E-2</v>
      </c>
      <c r="AH54" s="15">
        <f t="shared" ca="1" si="24"/>
        <v>61.441099999999999</v>
      </c>
      <c r="AI54" s="15">
        <f t="shared" ca="1" si="24"/>
        <v>-37.465299999999999</v>
      </c>
      <c r="AJ54" s="15">
        <f t="shared" ca="1" si="24"/>
        <v>7.3400000000000007E-2</v>
      </c>
    </row>
    <row r="55" spans="3:36" x14ac:dyDescent="0.25">
      <c r="D55" s="1" t="s">
        <v>45</v>
      </c>
      <c r="E55" s="1"/>
      <c r="F55" s="11">
        <f ca="1">F54-F53</f>
        <v>0.40000000000000213</v>
      </c>
      <c r="G55" s="22">
        <f t="shared" ref="G55:AJ55" ca="1" si="25">(G54-G53)*1000</f>
        <v>1.5000000000000568</v>
      </c>
      <c r="H55" s="23">
        <f t="shared" ca="1" si="25"/>
        <v>1.300000000000523</v>
      </c>
      <c r="I55" s="23">
        <f t="shared" ca="1" si="25"/>
        <v>2.1999999999984254</v>
      </c>
      <c r="J55" s="23">
        <f t="shared" ca="1" si="25"/>
        <v>1.5999999999998238</v>
      </c>
      <c r="K55" s="24">
        <f t="shared" ca="1" si="25"/>
        <v>1.5999999999998238</v>
      </c>
      <c r="L55" s="22">
        <f t="shared" ca="1" si="25"/>
        <v>2.417021016583476</v>
      </c>
      <c r="M55" s="23">
        <f t="shared" ca="1" si="25"/>
        <v>3.0333346719260135</v>
      </c>
      <c r="N55" s="23">
        <f t="shared" ca="1" si="25"/>
        <v>2.0950019842587153</v>
      </c>
      <c r="O55" s="23">
        <f t="shared" ca="1" si="25"/>
        <v>2.0455563215193706</v>
      </c>
      <c r="P55" s="23">
        <f t="shared" ca="1" si="25"/>
        <v>3.4999739242635997</v>
      </c>
      <c r="Q55" s="23">
        <f t="shared" ca="1" si="25"/>
        <v>3.0729780167177978</v>
      </c>
      <c r="R55" s="23">
        <f t="shared" ca="1" si="25"/>
        <v>2.6014125165829682</v>
      </c>
      <c r="S55" s="23">
        <f t="shared" ca="1" si="25"/>
        <v>2.9170104373719141</v>
      </c>
      <c r="T55" s="23">
        <f t="shared" ca="1" si="25"/>
        <v>1.7143570042037481</v>
      </c>
      <c r="U55" s="24">
        <f t="shared" ca="1" si="25"/>
        <v>2.9030381072772116</v>
      </c>
      <c r="V55" s="23">
        <f t="shared" ca="1" si="25"/>
        <v>0</v>
      </c>
      <c r="W55" s="23">
        <f t="shared" ca="1" si="25"/>
        <v>0</v>
      </c>
      <c r="X55" s="23">
        <f t="shared" ca="1" si="25"/>
        <v>0</v>
      </c>
      <c r="Y55" s="23">
        <f t="shared" ca="1" si="25"/>
        <v>2.4999999999977263</v>
      </c>
      <c r="Z55" s="23">
        <f t="shared" ca="1" si="25"/>
        <v>1.4000000000038426</v>
      </c>
      <c r="AA55" s="23">
        <f t="shared" ca="1" si="25"/>
        <v>1.2000000000000066</v>
      </c>
      <c r="AB55" s="23">
        <f t="shared" ca="1" si="25"/>
        <v>3.700000000002035</v>
      </c>
      <c r="AC55" s="23">
        <f t="shared" ca="1" si="25"/>
        <v>1.4000000000038426</v>
      </c>
      <c r="AD55" s="23">
        <f t="shared" ca="1" si="25"/>
        <v>2.2999999999999963</v>
      </c>
      <c r="AE55" s="23">
        <f t="shared" ca="1" si="25"/>
        <v>3.5000000000025011</v>
      </c>
      <c r="AF55" s="23">
        <f t="shared" ca="1" si="25"/>
        <v>3.0999999999963279</v>
      </c>
      <c r="AG55" s="23">
        <f t="shared" ca="1" si="25"/>
        <v>1.1999999999999926</v>
      </c>
      <c r="AH55" s="23">
        <f t="shared" ca="1" si="25"/>
        <v>1.300000000000523</v>
      </c>
      <c r="AI55" s="23">
        <f t="shared" ca="1" si="25"/>
        <v>2.9000000000038995</v>
      </c>
      <c r="AJ55" s="23">
        <f t="shared" ca="1" si="25"/>
        <v>2.2000000000000073</v>
      </c>
    </row>
    <row r="56" spans="3:36" x14ac:dyDescent="0.25">
      <c r="D56" s="1"/>
      <c r="E56" s="1"/>
      <c r="F56" s="11"/>
      <c r="G56" s="12"/>
      <c r="K56" s="13"/>
      <c r="L56" s="12"/>
      <c r="U56" s="13"/>
    </row>
    <row r="57" spans="3:36" x14ac:dyDescent="0.25">
      <c r="C57" t="s">
        <v>46</v>
      </c>
      <c r="D57" s="1"/>
      <c r="E57" s="1"/>
      <c r="F57" s="11">
        <f ca="1">COUNTIFS($C7:$C48,$C$57)</f>
        <v>18</v>
      </c>
      <c r="G57" s="12">
        <f ca="1">COUNTIFS($C7:$C48,$C$57)</f>
        <v>18</v>
      </c>
      <c r="H57">
        <f t="shared" ref="H57:U57" ca="1" si="26">COUNTIFS($C7:$C48,$C$57)</f>
        <v>18</v>
      </c>
      <c r="I57">
        <f t="shared" ca="1" si="26"/>
        <v>18</v>
      </c>
      <c r="J57">
        <f t="shared" ca="1" si="26"/>
        <v>18</v>
      </c>
      <c r="K57" s="13">
        <f t="shared" ca="1" si="26"/>
        <v>18</v>
      </c>
      <c r="L57" s="12">
        <f t="shared" ca="1" si="26"/>
        <v>18</v>
      </c>
      <c r="M57">
        <f t="shared" ca="1" si="26"/>
        <v>18</v>
      </c>
      <c r="N57">
        <f t="shared" ca="1" si="26"/>
        <v>18</v>
      </c>
      <c r="O57">
        <f t="shared" ca="1" si="26"/>
        <v>18</v>
      </c>
      <c r="P57">
        <f t="shared" ca="1" si="26"/>
        <v>18</v>
      </c>
      <c r="Q57">
        <f t="shared" ca="1" si="26"/>
        <v>18</v>
      </c>
      <c r="R57">
        <f t="shared" ca="1" si="26"/>
        <v>18</v>
      </c>
      <c r="S57">
        <f t="shared" ca="1" si="26"/>
        <v>18</v>
      </c>
      <c r="T57">
        <f t="shared" ca="1" si="26"/>
        <v>18</v>
      </c>
      <c r="U57" s="13">
        <f t="shared" ca="1" si="26"/>
        <v>18</v>
      </c>
    </row>
    <row r="58" spans="3:36" x14ac:dyDescent="0.25">
      <c r="D58" s="1" t="s">
        <v>41</v>
      </c>
      <c r="E58" s="1"/>
      <c r="F58" s="28">
        <f ca="1">AVERAGEIFS(F7:F48,$C7:$C48,$C$57)</f>
        <v>20.000000000000007</v>
      </c>
      <c r="G58" s="14">
        <f t="shared" ref="G58:AJ58" ca="1" si="27">AVERAGEIFS(G7:G48,$C7:$C48,$C$57)</f>
        <v>25.39801111111111</v>
      </c>
      <c r="H58" s="15">
        <f t="shared" ca="1" si="27"/>
        <v>25.401700000000002</v>
      </c>
      <c r="I58" s="15">
        <f t="shared" ca="1" si="27"/>
        <v>25.40132777777778</v>
      </c>
      <c r="J58" s="15">
        <f t="shared" ca="1" si="27"/>
        <v>25.403088888888888</v>
      </c>
      <c r="K58" s="16">
        <f t="shared" ca="1" si="27"/>
        <v>25.401133333333334</v>
      </c>
      <c r="L58" s="14">
        <f t="shared" ca="1" si="27"/>
        <v>72.878500486254978</v>
      </c>
      <c r="M58" s="15">
        <f t="shared" ca="1" si="27"/>
        <v>73.713030121899749</v>
      </c>
      <c r="N58" s="15">
        <f t="shared" ca="1" si="27"/>
        <v>72.339656056818257</v>
      </c>
      <c r="O58" s="15">
        <f t="shared" ca="1" si="27"/>
        <v>71.962609912873532</v>
      </c>
      <c r="P58" s="15">
        <f t="shared" ca="1" si="27"/>
        <v>125.93153994842845</v>
      </c>
      <c r="Q58" s="15">
        <f t="shared" ca="1" si="27"/>
        <v>145.21521531176654</v>
      </c>
      <c r="R58" s="15">
        <f t="shared" ca="1" si="27"/>
        <v>74.989892071009422</v>
      </c>
      <c r="S58" s="15">
        <f t="shared" ca="1" si="27"/>
        <v>73.984916848821555</v>
      </c>
      <c r="T58" s="15">
        <f t="shared" ca="1" si="27"/>
        <v>145.67219397788588</v>
      </c>
      <c r="U58" s="16">
        <f t="shared" ca="1" si="27"/>
        <v>123.92296957225042</v>
      </c>
      <c r="V58" s="15">
        <f t="shared" ca="1" si="27"/>
        <v>0</v>
      </c>
      <c r="W58" s="15">
        <f t="shared" ca="1" si="27"/>
        <v>0</v>
      </c>
      <c r="X58" s="15">
        <f t="shared" ca="1" si="27"/>
        <v>0</v>
      </c>
      <c r="Y58" s="15">
        <f t="shared" ca="1" si="27"/>
        <v>62.480038888888885</v>
      </c>
      <c r="Z58" s="15">
        <f t="shared" ca="1" si="27"/>
        <v>37.516833333333324</v>
      </c>
      <c r="AA58" s="15">
        <f t="shared" ca="1" si="27"/>
        <v>8.8261111111111124E-2</v>
      </c>
      <c r="AB58" s="15">
        <f t="shared" ca="1" si="27"/>
        <v>-63.45150000000001</v>
      </c>
      <c r="AC58" s="15">
        <f t="shared" ca="1" si="27"/>
        <v>37.516833333333324</v>
      </c>
      <c r="AD58" s="15">
        <f t="shared" ca="1" si="27"/>
        <v>7.1927777777777771E-2</v>
      </c>
      <c r="AE58" s="15">
        <f t="shared" ca="1" si="27"/>
        <v>-62.478505555555543</v>
      </c>
      <c r="AF58" s="15">
        <f t="shared" ca="1" si="27"/>
        <v>-36.461683333333333</v>
      </c>
      <c r="AG58" s="15">
        <f t="shared" ca="1" si="27"/>
        <v>8.8488888888888895E-2</v>
      </c>
      <c r="AH58" s="15">
        <f t="shared" ca="1" si="27"/>
        <v>61.440394444444436</v>
      </c>
      <c r="AI58" s="15">
        <f t="shared" ca="1" si="27"/>
        <v>-37.465849999999996</v>
      </c>
      <c r="AJ58" s="15">
        <f t="shared" ca="1" si="27"/>
        <v>7.2383333333333327E-2</v>
      </c>
    </row>
    <row r="59" spans="3:36" x14ac:dyDescent="0.25">
      <c r="D59" s="1" t="s">
        <v>42</v>
      </c>
      <c r="E59" s="1"/>
      <c r="F59" s="28">
        <f t="array" aca="1" ref="F59" ca="1">_xlfn.STDEV.S(IF($C7:$C48=$C$57,F7:F48))</f>
        <v>0.11881770515720157</v>
      </c>
      <c r="G59" s="22">
        <f t="array" aca="1" ref="G59" ca="1">_xlfn.STDEV.S(IF($C7:$C48=$C$57,G7:G48))*1000</f>
        <v>0.30848565394904004</v>
      </c>
      <c r="H59" s="23">
        <f t="array" aca="1" ref="H59" ca="1">_xlfn.STDEV.S(IF($C7:$C48=$C$57,H7:H48))*1000</f>
        <v>0.27224556389265625</v>
      </c>
      <c r="I59" s="23">
        <f t="array" aca="1" ref="I59" ca="1">_xlfn.STDEV.S(IF($C7:$C48=$C$57,I7:I48))*1000</f>
        <v>0.55604227045777677</v>
      </c>
      <c r="J59" s="23">
        <f t="array" aca="1" ref="J59" ca="1">_xlfn.STDEV.S(IF($C7:$C48=$C$57,J7:J48))*1000</f>
        <v>0.40567864548062976</v>
      </c>
      <c r="K59" s="24">
        <f t="array" aca="1" ref="K59" ca="1">_xlfn.STDEV.S(IF($C7:$C48=$C$57,K7:K48))*1000</f>
        <v>0.41727406708106624</v>
      </c>
      <c r="L59" s="22">
        <f t="array" aca="1" ref="L59" ca="1">_xlfn.STDEV.S(IF($C7:$C48=$C$57,L7:L48))*1000</f>
        <v>0.59551299338595087</v>
      </c>
      <c r="M59" s="23">
        <f t="array" aca="1" ref="M59" ca="1">_xlfn.STDEV.S(IF($C7:$C48=$C$57,M7:M48))*1000</f>
        <v>0.45582265066416916</v>
      </c>
      <c r="N59" s="23">
        <f t="array" aca="1" ref="N59" ca="1">_xlfn.STDEV.S(IF($C7:$C48=$C$57,N7:N48))*1000</f>
        <v>0.39274616412245805</v>
      </c>
      <c r="O59" s="23">
        <f t="array" aca="1" ref="O59" ca="1">_xlfn.STDEV.S(IF($C7:$C48=$C$57,O7:O48))*1000</f>
        <v>0.36028714760430497</v>
      </c>
      <c r="P59" s="23">
        <f t="array" aca="1" ref="P59" ca="1">_xlfn.STDEV.S(IF($C7:$C48=$C$57,P7:P48))*1000</f>
        <v>0.4948327432478471</v>
      </c>
      <c r="Q59" s="23">
        <f t="array" aca="1" ref="Q59" ca="1">_xlfn.STDEV.S(IF($C7:$C48=$C$57,Q7:Q48))*1000</f>
        <v>0.51512917978400663</v>
      </c>
      <c r="R59" s="23">
        <f t="array" aca="1" ref="R59" ca="1">_xlfn.STDEV.S(IF($C7:$C48=$C$57,R7:R48))*1000</f>
        <v>0.42980505947919156</v>
      </c>
      <c r="S59" s="23">
        <f t="array" aca="1" ref="S59" ca="1">_xlfn.STDEV.S(IF($C7:$C48=$C$57,S7:S48))*1000</f>
        <v>0.2852514000476406</v>
      </c>
      <c r="T59" s="23">
        <f t="array" aca="1" ref="T59" ca="1">_xlfn.STDEV.S(IF($C7:$C48=$C$57,T7:T48))*1000</f>
        <v>0.4656024962711578</v>
      </c>
      <c r="U59" s="24">
        <f t="array" aca="1" ref="U59" ca="1">_xlfn.STDEV.S(IF($C7:$C48=$C$57,U7:U48))*1000</f>
        <v>0.37587264710384194</v>
      </c>
    </row>
    <row r="60" spans="3:36" x14ac:dyDescent="0.25">
      <c r="D60" s="1"/>
      <c r="E60" s="1"/>
      <c r="F60" s="11"/>
      <c r="G60" s="22"/>
      <c r="H60" s="23"/>
      <c r="I60" s="23"/>
      <c r="J60" s="23"/>
      <c r="K60" s="24"/>
      <c r="L60" s="22"/>
      <c r="M60" s="23"/>
      <c r="N60" s="23"/>
      <c r="O60" s="23"/>
      <c r="P60" s="23"/>
      <c r="Q60" s="23"/>
      <c r="R60" s="23"/>
      <c r="S60" s="23"/>
      <c r="T60" s="23"/>
      <c r="U60" s="24"/>
    </row>
    <row r="61" spans="3:36" x14ac:dyDescent="0.25">
      <c r="C61" t="s">
        <v>47</v>
      </c>
      <c r="D61" s="1"/>
      <c r="E61" s="1"/>
      <c r="F61" s="11">
        <f ca="1">COUNTIFS($C7:$C48,$C$61)</f>
        <v>18</v>
      </c>
      <c r="G61" s="12">
        <f ca="1">COUNTIFS($C7:$C48,$C$61)</f>
        <v>18</v>
      </c>
      <c r="H61">
        <f t="shared" ref="H61:U61" ca="1" si="28">COUNTIFS($C7:$C48,$C$61)</f>
        <v>18</v>
      </c>
      <c r="I61">
        <f t="shared" ca="1" si="28"/>
        <v>18</v>
      </c>
      <c r="J61">
        <f t="shared" ca="1" si="28"/>
        <v>18</v>
      </c>
      <c r="K61" s="13">
        <f t="shared" ca="1" si="28"/>
        <v>18</v>
      </c>
      <c r="L61" s="12">
        <f t="shared" ca="1" si="28"/>
        <v>18</v>
      </c>
      <c r="M61">
        <f t="shared" ca="1" si="28"/>
        <v>18</v>
      </c>
      <c r="N61">
        <f t="shared" ca="1" si="28"/>
        <v>18</v>
      </c>
      <c r="O61">
        <f t="shared" ca="1" si="28"/>
        <v>18</v>
      </c>
      <c r="P61">
        <f t="shared" ca="1" si="28"/>
        <v>18</v>
      </c>
      <c r="Q61">
        <f t="shared" ca="1" si="28"/>
        <v>18</v>
      </c>
      <c r="R61">
        <f t="shared" ca="1" si="28"/>
        <v>18</v>
      </c>
      <c r="S61">
        <f t="shared" ca="1" si="28"/>
        <v>18</v>
      </c>
      <c r="T61">
        <f t="shared" ca="1" si="28"/>
        <v>18</v>
      </c>
      <c r="U61" s="13">
        <f t="shared" ca="1" si="28"/>
        <v>18</v>
      </c>
    </row>
    <row r="62" spans="3:36" x14ac:dyDescent="0.25">
      <c r="D62" s="1" t="s">
        <v>41</v>
      </c>
      <c r="E62" s="1"/>
      <c r="F62" s="28">
        <f t="shared" ref="F62" ca="1" si="29">AVERAGEIFS(F7:F48,$C7:$C48,$C$61)</f>
        <v>19.916666666666671</v>
      </c>
      <c r="G62" s="14">
        <f t="shared" ref="G62:AJ62" ca="1" si="30">AVERAGEIFS(G7:G48,$C7:$C48,$C$61)</f>
        <v>25.398350000000001</v>
      </c>
      <c r="H62" s="15">
        <f t="shared" ca="1" si="30"/>
        <v>25.402038888888892</v>
      </c>
      <c r="I62" s="15">
        <f t="shared" ca="1" si="30"/>
        <v>25.401927777777775</v>
      </c>
      <c r="J62" s="15">
        <f t="shared" ca="1" si="30"/>
        <v>25.403183333333331</v>
      </c>
      <c r="K62" s="16">
        <f t="shared" ca="1" si="30"/>
        <v>25.401738888888886</v>
      </c>
      <c r="L62" s="14">
        <f t="shared" ca="1" si="30"/>
        <v>72.877817377164021</v>
      </c>
      <c r="M62" s="15">
        <f t="shared" ca="1" si="30"/>
        <v>73.71184269254303</v>
      </c>
      <c r="N62" s="15">
        <f t="shared" ca="1" si="30"/>
        <v>72.338731964668725</v>
      </c>
      <c r="O62" s="15">
        <f t="shared" ca="1" si="30"/>
        <v>71.963536202804619</v>
      </c>
      <c r="P62" s="15">
        <f t="shared" ca="1" si="30"/>
        <v>125.92952334826435</v>
      </c>
      <c r="Q62" s="15">
        <f t="shared" ca="1" si="30"/>
        <v>145.21362228823023</v>
      </c>
      <c r="R62" s="15">
        <f t="shared" ca="1" si="30"/>
        <v>74.991106362965468</v>
      </c>
      <c r="S62" s="15">
        <f t="shared" ca="1" si="30"/>
        <v>73.986482325855661</v>
      </c>
      <c r="T62" s="15">
        <f t="shared" ca="1" si="30"/>
        <v>145.67193051368938</v>
      </c>
      <c r="U62" s="16">
        <f t="shared" ca="1" si="30"/>
        <v>123.92116704207852</v>
      </c>
      <c r="V62" s="15">
        <f t="shared" ca="1" si="30"/>
        <v>0</v>
      </c>
      <c r="W62" s="15">
        <f t="shared" ca="1" si="30"/>
        <v>0</v>
      </c>
      <c r="X62" s="15">
        <f t="shared" ca="1" si="30"/>
        <v>0</v>
      </c>
      <c r="Y62" s="15">
        <f t="shared" ca="1" si="30"/>
        <v>62.479322222222223</v>
      </c>
      <c r="Z62" s="15">
        <f t="shared" ca="1" si="30"/>
        <v>37.5167</v>
      </c>
      <c r="AA62" s="15">
        <f t="shared" ca="1" si="30"/>
        <v>8.8211111111111129E-2</v>
      </c>
      <c r="AB62" s="15">
        <f t="shared" ca="1" si="30"/>
        <v>-63.450199999999995</v>
      </c>
      <c r="AC62" s="15">
        <f t="shared" ca="1" si="30"/>
        <v>37.5167</v>
      </c>
      <c r="AD62" s="15">
        <f t="shared" ca="1" si="30"/>
        <v>7.1372222222222226E-2</v>
      </c>
      <c r="AE62" s="15">
        <f t="shared" ca="1" si="30"/>
        <v>-62.476450000000014</v>
      </c>
      <c r="AF62" s="15">
        <f t="shared" ca="1" si="30"/>
        <v>-36.463372222222219</v>
      </c>
      <c r="AG62" s="15">
        <f t="shared" ca="1" si="30"/>
        <v>8.8450000000000001E-2</v>
      </c>
      <c r="AH62" s="15">
        <f t="shared" ca="1" si="30"/>
        <v>61.440650000000005</v>
      </c>
      <c r="AI62" s="15">
        <f t="shared" ca="1" si="30"/>
        <v>-37.467211111111112</v>
      </c>
      <c r="AJ62" s="15">
        <f t="shared" ca="1" si="30"/>
        <v>7.1844444444444433E-2</v>
      </c>
    </row>
    <row r="63" spans="3:36" x14ac:dyDescent="0.25">
      <c r="D63" s="1" t="s">
        <v>42</v>
      </c>
      <c r="E63" s="1"/>
      <c r="F63" s="28">
        <f t="array" aca="1" ref="F63" ca="1">_xlfn.STDEV.S(IF($C7:$C48=$C$61,F7:F48))</f>
        <v>0.17235394498804338</v>
      </c>
      <c r="G63" s="22">
        <f t="array" aca="1" ref="G63" ca="1">_xlfn.STDEV.S(IF($C7:$C48=$C$61,G7:G48))*1000</f>
        <v>0.36981712491765883</v>
      </c>
      <c r="H63" s="23">
        <f t="array" aca="1" ref="H63" ca="1">_xlfn.STDEV.S(IF($C7:$C48=$C$61,H7:H48))*1000</f>
        <v>0.23797896320478421</v>
      </c>
      <c r="I63" s="23">
        <f t="array" aca="1" ref="I63" ca="1">_xlfn.STDEV.S(IF($C7:$C48=$C$61,I7:I48))*1000</f>
        <v>0.2761192316110142</v>
      </c>
      <c r="J63" s="23">
        <f t="array" aca="1" ref="J63" ca="1">_xlfn.STDEV.S(IF($C7:$C48=$C$61,J7:J48))*1000</f>
        <v>0.39295262399703967</v>
      </c>
      <c r="K63" s="24">
        <f t="array" aca="1" ref="K63" ca="1">_xlfn.STDEV.S(IF($C7:$C48=$C$61,K7:K48))*1000</f>
        <v>0.29929110143668358</v>
      </c>
      <c r="L63" s="22">
        <f t="array" aca="1" ref="L63" ca="1">_xlfn.STDEV.S(IF($C7:$C48=$C$61,L7:L48))*1000</f>
        <v>0.30225985868167821</v>
      </c>
      <c r="M63" s="23">
        <f t="array" aca="1" ref="M63" ca="1">_xlfn.STDEV.S(IF($C7:$C48=$C$61,M7:M48))*1000</f>
        <v>0.45024387787304876</v>
      </c>
      <c r="N63" s="23">
        <f t="array" aca="1" ref="N63" ca="1">_xlfn.STDEV.S(IF($C7:$C48=$C$61,N7:N48))*1000</f>
        <v>0.31236322167015784</v>
      </c>
      <c r="O63" s="23">
        <f t="array" aca="1" ref="O63" ca="1">_xlfn.STDEV.S(IF($C7:$C48=$C$61,O7:O48))*1000</f>
        <v>0.29378950080431293</v>
      </c>
      <c r="P63" s="23">
        <f t="array" aca="1" ref="P63" ca="1">_xlfn.STDEV.S(IF($C7:$C48=$C$61,P7:P48))*1000</f>
        <v>0.38737884668119715</v>
      </c>
      <c r="Q63" s="23">
        <f t="array" aca="1" ref="Q63" ca="1">_xlfn.STDEV.S(IF($C7:$C48=$C$61,Q7:Q48))*1000</f>
        <v>0.27776862301860644</v>
      </c>
      <c r="R63" s="23">
        <f t="array" aca="1" ref="R63" ca="1">_xlfn.STDEV.S(IF($C7:$C48=$C$61,R7:R48))*1000</f>
        <v>0.28709331486035528</v>
      </c>
      <c r="S63" s="23">
        <f t="array" aca="1" ref="S63" ca="1">_xlfn.STDEV.S(IF($C7:$C48=$C$61,S7:S48))*1000</f>
        <v>0.53716600383298352</v>
      </c>
      <c r="T63" s="23">
        <f t="array" aca="1" ref="T63" ca="1">_xlfn.STDEV.S(IF($C7:$C48=$C$61,T7:T48))*1000</f>
        <v>0.36358300261228044</v>
      </c>
      <c r="U63" s="24">
        <f t="array" aca="1" ref="U63" ca="1">_xlfn.STDEV.S(IF($C7:$C48=$C$61,U7:U48))*1000</f>
        <v>0.26642874574134906</v>
      </c>
    </row>
    <row r="64" spans="3:36" x14ac:dyDescent="0.25">
      <c r="C64" t="s">
        <v>48</v>
      </c>
      <c r="D64" s="1"/>
      <c r="E64" s="1"/>
      <c r="F64" s="11"/>
      <c r="G64" s="12"/>
      <c r="K64" s="13"/>
      <c r="L64" s="12"/>
      <c r="U64" s="13"/>
    </row>
    <row r="65" spans="4:36" ht="15.75" thickBot="1" x14ac:dyDescent="0.3">
      <c r="D65" s="1" t="s">
        <v>49</v>
      </c>
      <c r="E65" s="1"/>
      <c r="F65" s="29">
        <f ca="1">(F62-F58)</f>
        <v>-8.3333333333335702E-2</v>
      </c>
      <c r="G65" s="25">
        <f ca="1">(G62-G58)*1000</f>
        <v>0.33888888889066493</v>
      </c>
      <c r="H65" s="26">
        <f t="shared" ref="H65:AJ65" ca="1" si="31">(H62-H58)*1000</f>
        <v>0.33888888889066493</v>
      </c>
      <c r="I65" s="26">
        <f t="shared" ca="1" si="31"/>
        <v>0.59999999999504894</v>
      </c>
      <c r="J65" s="26">
        <f t="shared" ca="1" si="31"/>
        <v>9.4444444442842723E-2</v>
      </c>
      <c r="K65" s="27">
        <f t="shared" ca="1" si="31"/>
        <v>0.60555555555197316</v>
      </c>
      <c r="L65" s="25">
        <f t="shared" ca="1" si="31"/>
        <v>-0.68310909095714578</v>
      </c>
      <c r="M65" s="26">
        <f t="shared" ca="1" si="31"/>
        <v>-1.1874293567188943</v>
      </c>
      <c r="N65" s="26">
        <f t="shared" ca="1" si="31"/>
        <v>-0.92409214953192986</v>
      </c>
      <c r="O65" s="26">
        <f t="shared" ca="1" si="31"/>
        <v>0.92628993108689883</v>
      </c>
      <c r="P65" s="26">
        <f t="shared" ca="1" si="31"/>
        <v>-2.0166001640973263</v>
      </c>
      <c r="Q65" s="26">
        <f t="shared" ca="1" si="31"/>
        <v>-1.5930235363157408</v>
      </c>
      <c r="R65" s="26">
        <f t="shared" ca="1" si="31"/>
        <v>1.2142919560460541</v>
      </c>
      <c r="S65" s="26">
        <f t="shared" ca="1" si="31"/>
        <v>1.5654770341058111</v>
      </c>
      <c r="T65" s="26">
        <f t="shared" ca="1" si="31"/>
        <v>-0.26346419650735697</v>
      </c>
      <c r="U65" s="27">
        <f t="shared" ca="1" si="31"/>
        <v>-1.8025301719006848</v>
      </c>
      <c r="V65" s="23">
        <f t="shared" ca="1" si="31"/>
        <v>0</v>
      </c>
      <c r="W65" s="23">
        <f t="shared" ca="1" si="31"/>
        <v>0</v>
      </c>
      <c r="X65" s="23">
        <f t="shared" ca="1" si="31"/>
        <v>0</v>
      </c>
      <c r="Y65" s="23">
        <f t="shared" ca="1" si="31"/>
        <v>-0.71666666666203582</v>
      </c>
      <c r="Z65" s="23">
        <f t="shared" ca="1" si="31"/>
        <v>-0.13333333332354869</v>
      </c>
      <c r="AA65" s="23">
        <f t="shared" ca="1" si="31"/>
        <v>-4.9999999999994493E-2</v>
      </c>
      <c r="AB65" s="23">
        <f t="shared" ca="1" si="31"/>
        <v>1.3000000000147338</v>
      </c>
      <c r="AC65" s="23">
        <f t="shared" ca="1" si="31"/>
        <v>-0.13333333332354869</v>
      </c>
      <c r="AD65" s="23">
        <f t="shared" ca="1" si="31"/>
        <v>-0.55555555555554526</v>
      </c>
      <c r="AE65" s="23">
        <f t="shared" ca="1" si="31"/>
        <v>2.0555555555290539</v>
      </c>
      <c r="AF65" s="23">
        <f t="shared" ca="1" si="31"/>
        <v>-1.6888888888857423</v>
      </c>
      <c r="AG65" s="23">
        <f t="shared" ca="1" si="31"/>
        <v>-3.8888888888893858E-2</v>
      </c>
      <c r="AH65" s="23">
        <f t="shared" ca="1" si="31"/>
        <v>0.25555555556877607</v>
      </c>
      <c r="AI65" s="23">
        <f t="shared" ca="1" si="31"/>
        <v>-1.3611111111160312</v>
      </c>
      <c r="AJ65" s="23">
        <f t="shared" ca="1" si="31"/>
        <v>-0.5388888888888943</v>
      </c>
    </row>
    <row r="68" spans="4:36" x14ac:dyDescent="0.25">
      <c r="G68" s="30">
        <f ca="1">G52/1000</f>
        <v>3.7707100085036344E-4</v>
      </c>
      <c r="H68" s="30">
        <f t="shared" ref="H68:AJ68" ca="1" si="32">H52/1000</f>
        <v>3.0502406878781777E-4</v>
      </c>
      <c r="I68" s="30">
        <f t="shared" ca="1" si="32"/>
        <v>5.2894024027106399E-4</v>
      </c>
      <c r="J68" s="30">
        <f t="shared" ca="1" si="32"/>
        <v>3.965225828757061E-4</v>
      </c>
      <c r="K68" s="30">
        <f t="shared" ca="1" si="32"/>
        <v>4.7156443448717698E-4</v>
      </c>
      <c r="L68" s="30">
        <f t="shared" ca="1" si="32"/>
        <v>5.8018930354341398E-4</v>
      </c>
      <c r="M68" s="30">
        <f t="shared" ca="1" si="32"/>
        <v>7.4963403544127318E-4</v>
      </c>
      <c r="N68" s="30">
        <f t="shared" ca="1" si="32"/>
        <v>5.8472123630452159E-4</v>
      </c>
      <c r="O68" s="30">
        <f t="shared" ca="1" si="32"/>
        <v>5.7061726025691307E-4</v>
      </c>
      <c r="P68" s="30">
        <f t="shared" ca="1" si="32"/>
        <v>1.1124459132480845E-3</v>
      </c>
      <c r="Q68" s="30">
        <f t="shared" ca="1" si="32"/>
        <v>9.0494269813378954E-4</v>
      </c>
      <c r="R68" s="30">
        <f t="shared" ca="1" si="32"/>
        <v>7.1338586875665513E-4</v>
      </c>
      <c r="S68" s="30">
        <f t="shared" ca="1" si="32"/>
        <v>8.9992113313826021E-4</v>
      </c>
      <c r="T68" s="30">
        <f t="shared" ca="1" si="32"/>
        <v>4.3284280482077162E-4</v>
      </c>
      <c r="U68" s="30">
        <f t="shared" ca="1" si="32"/>
        <v>9.6880680783398006E-4</v>
      </c>
      <c r="V68" s="30">
        <f t="shared" ca="1" si="32"/>
        <v>0</v>
      </c>
      <c r="W68" s="30">
        <f t="shared" ca="1" si="32"/>
        <v>0</v>
      </c>
      <c r="X68" s="30">
        <f t="shared" ca="1" si="32"/>
        <v>0</v>
      </c>
      <c r="Y68" s="30">
        <f t="shared" ca="1" si="32"/>
        <v>5.7511213537332867E-4</v>
      </c>
      <c r="Z68" s="30">
        <f t="shared" ca="1" si="32"/>
        <v>3.6253078687069074E-4</v>
      </c>
      <c r="AA68" s="30">
        <f t="shared" ca="1" si="32"/>
        <v>3.1546136533000904E-4</v>
      </c>
      <c r="AB68" s="30">
        <f t="shared" ca="1" si="32"/>
        <v>8.3238040754037479E-4</v>
      </c>
      <c r="AC68" s="30">
        <f t="shared" ca="1" si="32"/>
        <v>3.6253078687069074E-4</v>
      </c>
      <c r="AD68" s="30">
        <f t="shared" ca="1" si="32"/>
        <v>5.2454061534151677E-4</v>
      </c>
      <c r="AE68" s="30">
        <f t="shared" ca="1" si="32"/>
        <v>1.1146071982313219E-3</v>
      </c>
      <c r="AF68" s="30">
        <f t="shared" ca="1" si="32"/>
        <v>9.5875249632351614E-4</v>
      </c>
      <c r="AG68" s="30">
        <f t="shared" ca="1" si="32"/>
        <v>3.1151193001181029E-4</v>
      </c>
      <c r="AH68" s="30">
        <f t="shared" ca="1" si="32"/>
        <v>3.7880346288322062E-4</v>
      </c>
      <c r="AI68" s="30">
        <f t="shared" ca="1" si="32"/>
        <v>7.9527872721999631E-4</v>
      </c>
      <c r="AJ68" s="30">
        <f t="shared" ca="1" si="32"/>
        <v>5.2435145126569934E-4</v>
      </c>
    </row>
    <row r="85" spans="4:21" x14ac:dyDescent="0.25">
      <c r="D85">
        <v>1</v>
      </c>
      <c r="F85">
        <v>0</v>
      </c>
      <c r="G85" s="15">
        <f ca="1">G53</f>
        <v>25.397500000000001</v>
      </c>
      <c r="H85" s="15">
        <f t="shared" ref="H85:U85" ca="1" si="33">H53</f>
        <v>25.4011</v>
      </c>
      <c r="I85" s="15">
        <f t="shared" ca="1" si="33"/>
        <v>25.400300000000001</v>
      </c>
      <c r="J85" s="15">
        <f t="shared" ca="1" si="33"/>
        <v>25.4025</v>
      </c>
      <c r="K85" s="15">
        <f t="shared" ca="1" si="33"/>
        <v>25.400600000000001</v>
      </c>
      <c r="L85" s="15">
        <f t="shared" ca="1" si="33"/>
        <v>72.877181371743518</v>
      </c>
      <c r="M85" s="15">
        <f t="shared" ca="1" si="33"/>
        <v>73.711037067389029</v>
      </c>
      <c r="N85" s="15">
        <f t="shared" ca="1" si="33"/>
        <v>72.338263458421508</v>
      </c>
      <c r="O85" s="15">
        <f t="shared" ca="1" si="33"/>
        <v>71.961972545852291</v>
      </c>
      <c r="P85" s="15">
        <f t="shared" ca="1" si="33"/>
        <v>125.92900108096626</v>
      </c>
      <c r="Q85" s="15">
        <f t="shared" ca="1" si="33"/>
        <v>145.21300704843904</v>
      </c>
      <c r="R85" s="15">
        <f t="shared" ca="1" si="33"/>
        <v>74.989101144833043</v>
      </c>
      <c r="S85" s="15">
        <f t="shared" ca="1" si="33"/>
        <v>73.984493767951136</v>
      </c>
      <c r="T85" s="15">
        <f t="shared" ca="1" si="33"/>
        <v>145.67133326176432</v>
      </c>
      <c r="U85" s="15">
        <f t="shared" ca="1" si="33"/>
        <v>123.92076434863529</v>
      </c>
    </row>
    <row r="86" spans="4:21" x14ac:dyDescent="0.25">
      <c r="D86">
        <v>2</v>
      </c>
      <c r="F86">
        <v>0.5</v>
      </c>
      <c r="G86" s="15">
        <f ca="1">G$85+$F86/1000</f>
        <v>25.398</v>
      </c>
      <c r="H86" s="15">
        <f t="shared" ref="H86:U86" ca="1" si="34">H$85+$F86/1000</f>
        <v>25.401599999999998</v>
      </c>
      <c r="I86" s="15">
        <f t="shared" ca="1" si="34"/>
        <v>25.4008</v>
      </c>
      <c r="J86" s="15">
        <f t="shared" ca="1" si="34"/>
        <v>25.402999999999999</v>
      </c>
      <c r="K86" s="15">
        <f t="shared" ca="1" si="34"/>
        <v>25.4011</v>
      </c>
      <c r="L86" s="15">
        <f t="shared" ca="1" si="34"/>
        <v>72.87768137174352</v>
      </c>
      <c r="M86" s="15">
        <f t="shared" ca="1" si="34"/>
        <v>73.711537067389031</v>
      </c>
      <c r="N86" s="15">
        <f t="shared" ca="1" si="34"/>
        <v>72.338763458421511</v>
      </c>
      <c r="O86" s="15">
        <f t="shared" ca="1" si="34"/>
        <v>71.962472545852293</v>
      </c>
      <c r="P86" s="15">
        <f t="shared" ca="1" si="34"/>
        <v>125.92950108096626</v>
      </c>
      <c r="Q86" s="15">
        <f t="shared" ca="1" si="34"/>
        <v>145.21350704843903</v>
      </c>
      <c r="R86" s="15">
        <f t="shared" ca="1" si="34"/>
        <v>74.989601144833046</v>
      </c>
      <c r="S86" s="15">
        <f t="shared" ca="1" si="34"/>
        <v>73.984993767951138</v>
      </c>
      <c r="T86" s="15">
        <f t="shared" ca="1" si="34"/>
        <v>145.67183326176431</v>
      </c>
      <c r="U86" s="15">
        <f t="shared" ca="1" si="34"/>
        <v>123.92126434863529</v>
      </c>
    </row>
    <row r="87" spans="4:21" x14ac:dyDescent="0.25">
      <c r="D87">
        <v>3</v>
      </c>
      <c r="F87">
        <v>1</v>
      </c>
      <c r="G87" s="15">
        <f t="shared" ref="G87:U103" ca="1" si="35">G$85+$F87/1000</f>
        <v>25.398500000000002</v>
      </c>
      <c r="H87" s="15">
        <f t="shared" ca="1" si="35"/>
        <v>25.402100000000001</v>
      </c>
      <c r="I87" s="15">
        <f t="shared" ca="1" si="35"/>
        <v>25.401300000000003</v>
      </c>
      <c r="J87" s="15">
        <f t="shared" ca="1" si="35"/>
        <v>25.403500000000001</v>
      </c>
      <c r="K87" s="15">
        <f t="shared" ca="1" si="35"/>
        <v>25.401600000000002</v>
      </c>
      <c r="L87" s="15">
        <f t="shared" ca="1" si="35"/>
        <v>72.878181371743523</v>
      </c>
      <c r="M87" s="15">
        <f t="shared" ca="1" si="35"/>
        <v>73.712037067389033</v>
      </c>
      <c r="N87" s="15">
        <f t="shared" ca="1" si="35"/>
        <v>72.339263458421513</v>
      </c>
      <c r="O87" s="15">
        <f t="shared" ca="1" si="35"/>
        <v>71.962972545852296</v>
      </c>
      <c r="P87" s="15">
        <f t="shared" ca="1" si="35"/>
        <v>125.93000108096626</v>
      </c>
      <c r="Q87" s="15">
        <f t="shared" ca="1" si="35"/>
        <v>145.21400704843904</v>
      </c>
      <c r="R87" s="15">
        <f t="shared" ca="1" si="35"/>
        <v>74.990101144833048</v>
      </c>
      <c r="S87" s="15">
        <f t="shared" ca="1" si="35"/>
        <v>73.985493767951141</v>
      </c>
      <c r="T87" s="15">
        <f t="shared" ca="1" si="35"/>
        <v>145.67233326176432</v>
      </c>
      <c r="U87" s="15">
        <f t="shared" ca="1" si="35"/>
        <v>123.92176434863529</v>
      </c>
    </row>
    <row r="88" spans="4:21" x14ac:dyDescent="0.25">
      <c r="D88">
        <v>4</v>
      </c>
      <c r="F88">
        <v>1.5</v>
      </c>
      <c r="G88" s="15">
        <f t="shared" ca="1" si="35"/>
        <v>25.399000000000001</v>
      </c>
      <c r="H88" s="15">
        <f t="shared" ca="1" si="35"/>
        <v>25.4026</v>
      </c>
      <c r="I88" s="15">
        <f t="shared" ca="1" si="35"/>
        <v>25.401800000000001</v>
      </c>
      <c r="J88" s="15">
        <f t="shared" ca="1" si="35"/>
        <v>25.404</v>
      </c>
      <c r="K88" s="15">
        <f t="shared" ca="1" si="35"/>
        <v>25.402100000000001</v>
      </c>
      <c r="L88" s="15">
        <f t="shared" ca="1" si="35"/>
        <v>72.878681371743511</v>
      </c>
      <c r="M88" s="15">
        <f t="shared" ca="1" si="35"/>
        <v>73.712537067389022</v>
      </c>
      <c r="N88" s="15">
        <f t="shared" ca="1" si="35"/>
        <v>72.339763458421501</v>
      </c>
      <c r="O88" s="15">
        <f t="shared" ca="1" si="35"/>
        <v>71.963472545852284</v>
      </c>
      <c r="P88" s="15">
        <f t="shared" ca="1" si="35"/>
        <v>125.93050108096625</v>
      </c>
      <c r="Q88" s="15">
        <f t="shared" ca="1" si="35"/>
        <v>145.21450704843903</v>
      </c>
      <c r="R88" s="15">
        <f t="shared" ca="1" si="35"/>
        <v>74.990601144833036</v>
      </c>
      <c r="S88" s="15">
        <f t="shared" ca="1" si="35"/>
        <v>73.985993767951129</v>
      </c>
      <c r="T88" s="15">
        <f t="shared" ca="1" si="35"/>
        <v>145.67283326176431</v>
      </c>
      <c r="U88" s="15">
        <f t="shared" ca="1" si="35"/>
        <v>123.92226434863528</v>
      </c>
    </row>
    <row r="89" spans="4:21" x14ac:dyDescent="0.25">
      <c r="D89">
        <v>5</v>
      </c>
      <c r="F89">
        <v>2</v>
      </c>
      <c r="G89" s="15">
        <f t="shared" ca="1" si="35"/>
        <v>25.3995</v>
      </c>
      <c r="H89" s="15">
        <f t="shared" ca="1" si="35"/>
        <v>25.403099999999998</v>
      </c>
      <c r="I89" s="15">
        <f t="shared" ca="1" si="35"/>
        <v>25.4023</v>
      </c>
      <c r="J89" s="15">
        <f t="shared" ca="1" si="35"/>
        <v>25.404499999999999</v>
      </c>
      <c r="K89" s="15">
        <f t="shared" ca="1" si="35"/>
        <v>25.4026</v>
      </c>
      <c r="L89" s="15">
        <f t="shared" ca="1" si="35"/>
        <v>72.879181371743513</v>
      </c>
      <c r="M89" s="15">
        <f t="shared" ca="1" si="35"/>
        <v>73.713037067389024</v>
      </c>
      <c r="N89" s="15">
        <f t="shared" ca="1" si="35"/>
        <v>72.340263458421504</v>
      </c>
      <c r="O89" s="15">
        <f t="shared" ca="1" si="35"/>
        <v>71.963972545852286</v>
      </c>
      <c r="P89" s="15">
        <f t="shared" ca="1" si="35"/>
        <v>125.93100108096625</v>
      </c>
      <c r="Q89" s="15">
        <f t="shared" ca="1" si="35"/>
        <v>145.21500704843905</v>
      </c>
      <c r="R89" s="15">
        <f t="shared" ca="1" si="35"/>
        <v>74.991101144833038</v>
      </c>
      <c r="S89" s="15">
        <f t="shared" ca="1" si="35"/>
        <v>73.986493767951131</v>
      </c>
      <c r="T89" s="15">
        <f t="shared" ca="1" si="35"/>
        <v>145.67333326176433</v>
      </c>
      <c r="U89" s="15">
        <f t="shared" ca="1" si="35"/>
        <v>123.92276434863528</v>
      </c>
    </row>
    <row r="90" spans="4:21" x14ac:dyDescent="0.25">
      <c r="D90">
        <v>6</v>
      </c>
      <c r="F90">
        <v>2.5</v>
      </c>
      <c r="G90" s="15">
        <f t="shared" ca="1" si="35"/>
        <v>25.400000000000002</v>
      </c>
      <c r="H90" s="15">
        <f t="shared" ca="1" si="35"/>
        <v>25.403600000000001</v>
      </c>
      <c r="I90" s="15">
        <f t="shared" ca="1" si="35"/>
        <v>25.402800000000003</v>
      </c>
      <c r="J90" s="15">
        <f t="shared" ca="1" si="35"/>
        <v>25.405000000000001</v>
      </c>
      <c r="K90" s="15">
        <f t="shared" ca="1" si="35"/>
        <v>25.403100000000002</v>
      </c>
      <c r="L90" s="15">
        <f t="shared" ca="1" si="35"/>
        <v>72.879681371743516</v>
      </c>
      <c r="M90" s="15">
        <f t="shared" ca="1" si="35"/>
        <v>73.713537067389026</v>
      </c>
      <c r="N90" s="15">
        <f t="shared" ca="1" si="35"/>
        <v>72.340763458421506</v>
      </c>
      <c r="O90" s="15">
        <f t="shared" ca="1" si="35"/>
        <v>71.964472545852288</v>
      </c>
      <c r="P90" s="15">
        <f t="shared" ca="1" si="35"/>
        <v>125.93150108096626</v>
      </c>
      <c r="Q90" s="15">
        <f t="shared" ca="1" si="35"/>
        <v>145.21550704843904</v>
      </c>
      <c r="R90" s="15">
        <f t="shared" ca="1" si="35"/>
        <v>74.991601144833041</v>
      </c>
      <c r="S90" s="15">
        <f t="shared" ca="1" si="35"/>
        <v>73.986993767951134</v>
      </c>
      <c r="T90" s="15">
        <f t="shared" ca="1" si="35"/>
        <v>145.67383326176432</v>
      </c>
      <c r="U90" s="15">
        <f t="shared" ca="1" si="35"/>
        <v>123.92326434863529</v>
      </c>
    </row>
    <row r="91" spans="4:21" x14ac:dyDescent="0.25">
      <c r="D91">
        <v>7</v>
      </c>
      <c r="F91">
        <v>3</v>
      </c>
      <c r="G91" s="15">
        <f t="shared" ca="1" si="35"/>
        <v>25.400500000000001</v>
      </c>
      <c r="H91" s="15">
        <f t="shared" ca="1" si="35"/>
        <v>25.4041</v>
      </c>
      <c r="I91" s="15">
        <f t="shared" ca="1" si="35"/>
        <v>25.403300000000002</v>
      </c>
      <c r="J91" s="15">
        <f t="shared" ca="1" si="35"/>
        <v>25.4055</v>
      </c>
      <c r="K91" s="15">
        <f t="shared" ca="1" si="35"/>
        <v>25.403600000000001</v>
      </c>
      <c r="L91" s="15">
        <f t="shared" ca="1" si="35"/>
        <v>72.880181371743518</v>
      </c>
      <c r="M91" s="15">
        <f t="shared" ca="1" si="35"/>
        <v>73.714037067389029</v>
      </c>
      <c r="N91" s="15">
        <f t="shared" ca="1" si="35"/>
        <v>72.341263458421508</v>
      </c>
      <c r="O91" s="15">
        <f t="shared" ca="1" si="35"/>
        <v>71.964972545852291</v>
      </c>
      <c r="P91" s="15">
        <f t="shared" ca="1" si="35"/>
        <v>125.93200108096626</v>
      </c>
      <c r="Q91" s="15">
        <f t="shared" ca="1" si="35"/>
        <v>145.21600704843902</v>
      </c>
      <c r="R91" s="15">
        <f t="shared" ca="1" si="35"/>
        <v>74.992101144833043</v>
      </c>
      <c r="S91" s="15">
        <f t="shared" ca="1" si="35"/>
        <v>73.987493767951136</v>
      </c>
      <c r="T91" s="15">
        <f t="shared" ca="1" si="35"/>
        <v>145.6743332617643</v>
      </c>
      <c r="U91" s="15">
        <f t="shared" ca="1" si="35"/>
        <v>123.92376434863529</v>
      </c>
    </row>
    <row r="92" spans="4:21" x14ac:dyDescent="0.25">
      <c r="D92">
        <v>8</v>
      </c>
      <c r="F92">
        <v>3.5</v>
      </c>
      <c r="G92" s="15">
        <f t="shared" ca="1" si="35"/>
        <v>25.401</v>
      </c>
      <c r="H92" s="15">
        <f t="shared" ca="1" si="35"/>
        <v>25.404599999999999</v>
      </c>
      <c r="I92" s="15">
        <f t="shared" ca="1" si="35"/>
        <v>25.4038</v>
      </c>
      <c r="J92" s="15">
        <f t="shared" ca="1" si="35"/>
        <v>25.405999999999999</v>
      </c>
      <c r="K92" s="15">
        <f t="shared" ca="1" si="35"/>
        <v>25.4041</v>
      </c>
      <c r="L92" s="15">
        <f t="shared" ca="1" si="35"/>
        <v>72.88068137174352</v>
      </c>
      <c r="M92" s="15">
        <f t="shared" ca="1" si="35"/>
        <v>73.714537067389031</v>
      </c>
      <c r="N92" s="15">
        <f t="shared" ca="1" si="35"/>
        <v>72.341763458421511</v>
      </c>
      <c r="O92" s="15">
        <f t="shared" ca="1" si="35"/>
        <v>71.965472545852293</v>
      </c>
      <c r="P92" s="15">
        <f t="shared" ca="1" si="35"/>
        <v>125.93250108096626</v>
      </c>
      <c r="Q92" s="15">
        <f t="shared" ca="1" si="35"/>
        <v>145.21650704843904</v>
      </c>
      <c r="R92" s="15">
        <f t="shared" ca="1" si="35"/>
        <v>74.992601144833046</v>
      </c>
      <c r="S92" s="15">
        <f t="shared" ca="1" si="35"/>
        <v>73.987993767951139</v>
      </c>
      <c r="T92" s="15">
        <f t="shared" ca="1" si="35"/>
        <v>145.67483326176432</v>
      </c>
      <c r="U92" s="15">
        <f t="shared" ca="1" si="35"/>
        <v>123.92426434863529</v>
      </c>
    </row>
    <row r="93" spans="4:21" x14ac:dyDescent="0.25">
      <c r="D93">
        <v>9</v>
      </c>
      <c r="F93">
        <v>4</v>
      </c>
      <c r="G93" s="15">
        <f t="shared" ca="1" si="35"/>
        <v>25.401500000000002</v>
      </c>
      <c r="H93" s="15">
        <f t="shared" ca="1" si="35"/>
        <v>25.405100000000001</v>
      </c>
      <c r="I93" s="15">
        <f t="shared" ca="1" si="35"/>
        <v>25.404300000000003</v>
      </c>
      <c r="J93" s="15">
        <f t="shared" ca="1" si="35"/>
        <v>25.406500000000001</v>
      </c>
      <c r="K93" s="15">
        <f t="shared" ca="1" si="35"/>
        <v>25.404600000000002</v>
      </c>
      <c r="L93" s="15">
        <f t="shared" ca="1" si="35"/>
        <v>72.881181371743523</v>
      </c>
      <c r="M93" s="15">
        <f t="shared" ca="1" si="35"/>
        <v>73.715037067389034</v>
      </c>
      <c r="N93" s="15">
        <f t="shared" ca="1" si="35"/>
        <v>72.342263458421513</v>
      </c>
      <c r="O93" s="15">
        <f t="shared" ca="1" si="35"/>
        <v>71.965972545852296</v>
      </c>
      <c r="P93" s="15">
        <f t="shared" ca="1" si="35"/>
        <v>125.93300108096626</v>
      </c>
      <c r="Q93" s="15">
        <f t="shared" ca="1" si="35"/>
        <v>145.21700704843903</v>
      </c>
      <c r="R93" s="15">
        <f t="shared" ca="1" si="35"/>
        <v>74.993101144833048</v>
      </c>
      <c r="S93" s="15">
        <f t="shared" ca="1" si="35"/>
        <v>73.988493767951141</v>
      </c>
      <c r="T93" s="15">
        <f t="shared" ca="1" si="35"/>
        <v>145.67533326176431</v>
      </c>
      <c r="U93" s="15">
        <f t="shared" ca="1" si="35"/>
        <v>123.92476434863529</v>
      </c>
    </row>
    <row r="94" spans="4:21" x14ac:dyDescent="0.25">
      <c r="D94">
        <v>10</v>
      </c>
      <c r="F94">
        <v>4.5</v>
      </c>
      <c r="G94" s="15">
        <f t="shared" ca="1" si="35"/>
        <v>25.402000000000001</v>
      </c>
      <c r="H94" s="15">
        <f t="shared" ca="1" si="35"/>
        <v>25.4056</v>
      </c>
      <c r="I94" s="15">
        <f t="shared" ca="1" si="35"/>
        <v>25.404800000000002</v>
      </c>
      <c r="J94" s="15">
        <f t="shared" ca="1" si="35"/>
        <v>25.407</v>
      </c>
      <c r="K94" s="15">
        <f t="shared" ca="1" si="35"/>
        <v>25.405100000000001</v>
      </c>
      <c r="L94" s="15">
        <f t="shared" ca="1" si="35"/>
        <v>72.881681371743511</v>
      </c>
      <c r="M94" s="15">
        <f t="shared" ca="1" si="35"/>
        <v>73.715537067389022</v>
      </c>
      <c r="N94" s="15">
        <f t="shared" ca="1" si="35"/>
        <v>72.342763458421501</v>
      </c>
      <c r="O94" s="15">
        <f t="shared" ca="1" si="35"/>
        <v>71.966472545852284</v>
      </c>
      <c r="P94" s="15">
        <f t="shared" ca="1" si="35"/>
        <v>125.93350108096625</v>
      </c>
      <c r="Q94" s="15">
        <f t="shared" ca="1" si="35"/>
        <v>145.21750704843905</v>
      </c>
      <c r="R94" s="15">
        <f t="shared" ca="1" si="35"/>
        <v>74.993601144833036</v>
      </c>
      <c r="S94" s="15">
        <f t="shared" ca="1" si="35"/>
        <v>73.988993767951129</v>
      </c>
      <c r="T94" s="15">
        <f t="shared" ca="1" si="35"/>
        <v>145.67583326176432</v>
      </c>
      <c r="U94" s="15">
        <f t="shared" ca="1" si="35"/>
        <v>123.92526434863528</v>
      </c>
    </row>
    <row r="95" spans="4:21" x14ac:dyDescent="0.25">
      <c r="D95">
        <v>11</v>
      </c>
      <c r="F95">
        <v>5</v>
      </c>
      <c r="G95" s="15">
        <f t="shared" ca="1" si="35"/>
        <v>25.4025</v>
      </c>
      <c r="H95" s="15">
        <f t="shared" ca="1" si="35"/>
        <v>25.406099999999999</v>
      </c>
      <c r="I95" s="15">
        <f t="shared" ca="1" si="35"/>
        <v>25.4053</v>
      </c>
      <c r="J95" s="15">
        <f t="shared" ca="1" si="35"/>
        <v>25.407499999999999</v>
      </c>
      <c r="K95" s="15">
        <f t="shared" ca="1" si="35"/>
        <v>25.4056</v>
      </c>
      <c r="L95" s="15">
        <f t="shared" ca="1" si="35"/>
        <v>72.882181371743513</v>
      </c>
      <c r="M95" s="15">
        <f t="shared" ca="1" si="35"/>
        <v>73.716037067389024</v>
      </c>
      <c r="N95" s="15">
        <f t="shared" ca="1" si="35"/>
        <v>72.343263458421504</v>
      </c>
      <c r="O95" s="15">
        <f t="shared" ca="1" si="35"/>
        <v>71.966972545852286</v>
      </c>
      <c r="P95" s="15">
        <f t="shared" ca="1" si="35"/>
        <v>125.93400108096625</v>
      </c>
      <c r="Q95" s="15">
        <f t="shared" ca="1" si="35"/>
        <v>145.21800704843903</v>
      </c>
      <c r="R95" s="15">
        <f t="shared" ca="1" si="35"/>
        <v>74.994101144833039</v>
      </c>
      <c r="S95" s="15">
        <f t="shared" ca="1" si="35"/>
        <v>73.989493767951132</v>
      </c>
      <c r="T95" s="15">
        <f t="shared" ca="1" si="35"/>
        <v>145.67633326176431</v>
      </c>
      <c r="U95" s="15">
        <f t="shared" ca="1" si="35"/>
        <v>123.92576434863528</v>
      </c>
    </row>
    <row r="96" spans="4:21" x14ac:dyDescent="0.25">
      <c r="D96">
        <v>12</v>
      </c>
      <c r="F96">
        <v>5.5</v>
      </c>
      <c r="G96" s="15">
        <f t="shared" ca="1" si="35"/>
        <v>25.403000000000002</v>
      </c>
      <c r="H96" s="15">
        <f t="shared" ca="1" si="35"/>
        <v>25.406600000000001</v>
      </c>
      <c r="I96" s="15">
        <f t="shared" ca="1" si="35"/>
        <v>25.405800000000003</v>
      </c>
      <c r="J96" s="15">
        <f t="shared" ca="1" si="35"/>
        <v>25.408000000000001</v>
      </c>
      <c r="K96" s="15">
        <f t="shared" ca="1" si="35"/>
        <v>25.406100000000002</v>
      </c>
      <c r="L96" s="15">
        <f t="shared" ca="1" si="35"/>
        <v>72.882681371743516</v>
      </c>
      <c r="M96" s="15">
        <f t="shared" ca="1" si="35"/>
        <v>73.716537067389027</v>
      </c>
      <c r="N96" s="15">
        <f t="shared" ca="1" si="35"/>
        <v>72.343763458421506</v>
      </c>
      <c r="O96" s="15">
        <f t="shared" ca="1" si="35"/>
        <v>71.967472545852289</v>
      </c>
      <c r="P96" s="15">
        <f t="shared" ca="1" si="35"/>
        <v>125.93450108096626</v>
      </c>
      <c r="Q96" s="15">
        <f t="shared" ca="1" si="35"/>
        <v>145.21850704843905</v>
      </c>
      <c r="R96" s="15">
        <f t="shared" ca="1" si="35"/>
        <v>74.994601144833041</v>
      </c>
      <c r="S96" s="15">
        <f t="shared" ca="1" si="35"/>
        <v>73.989993767951134</v>
      </c>
      <c r="T96" s="15">
        <f t="shared" ca="1" si="35"/>
        <v>145.67683326176433</v>
      </c>
      <c r="U96" s="15">
        <f t="shared" ca="1" si="35"/>
        <v>123.92626434863529</v>
      </c>
    </row>
    <row r="97" spans="4:21" x14ac:dyDescent="0.25">
      <c r="D97">
        <v>13</v>
      </c>
      <c r="F97">
        <v>6</v>
      </c>
      <c r="G97" s="15">
        <f t="shared" ca="1" si="35"/>
        <v>25.403500000000001</v>
      </c>
      <c r="H97" s="15">
        <f t="shared" ca="1" si="35"/>
        <v>25.4071</v>
      </c>
      <c r="I97" s="15">
        <f t="shared" ca="1" si="35"/>
        <v>25.406300000000002</v>
      </c>
      <c r="J97" s="15">
        <f t="shared" ca="1" si="35"/>
        <v>25.4085</v>
      </c>
      <c r="K97" s="15">
        <f t="shared" ca="1" si="35"/>
        <v>25.406600000000001</v>
      </c>
      <c r="L97" s="15">
        <f t="shared" ca="1" si="35"/>
        <v>72.883181371743518</v>
      </c>
      <c r="M97" s="15">
        <f t="shared" ca="1" si="35"/>
        <v>73.717037067389029</v>
      </c>
      <c r="N97" s="15">
        <f t="shared" ca="1" si="35"/>
        <v>72.344263458421509</v>
      </c>
      <c r="O97" s="15">
        <f t="shared" ca="1" si="35"/>
        <v>71.967972545852291</v>
      </c>
      <c r="P97" s="15">
        <f t="shared" ca="1" si="35"/>
        <v>125.93500108096626</v>
      </c>
      <c r="Q97" s="15">
        <f t="shared" ca="1" si="35"/>
        <v>145.21900704843904</v>
      </c>
      <c r="R97" s="15">
        <f t="shared" ca="1" si="35"/>
        <v>74.995101144833043</v>
      </c>
      <c r="S97" s="15">
        <f t="shared" ca="1" si="35"/>
        <v>73.990493767951136</v>
      </c>
      <c r="T97" s="15">
        <f t="shared" ca="1" si="35"/>
        <v>145.67733326176432</v>
      </c>
      <c r="U97" s="15">
        <f t="shared" ca="1" si="35"/>
        <v>123.92676434863529</v>
      </c>
    </row>
    <row r="98" spans="4:21" x14ac:dyDescent="0.25">
      <c r="D98">
        <v>14</v>
      </c>
      <c r="F98">
        <v>6.5</v>
      </c>
      <c r="G98" s="15">
        <f t="shared" ca="1" si="35"/>
        <v>25.404</v>
      </c>
      <c r="H98" s="15">
        <f t="shared" ca="1" si="35"/>
        <v>25.407599999999999</v>
      </c>
      <c r="I98" s="15">
        <f t="shared" ca="1" si="35"/>
        <v>25.4068</v>
      </c>
      <c r="J98" s="15">
        <f t="shared" ca="1" si="35"/>
        <v>25.408999999999999</v>
      </c>
      <c r="K98" s="15">
        <f t="shared" ca="1" si="35"/>
        <v>25.4071</v>
      </c>
      <c r="L98" s="15">
        <f t="shared" ca="1" si="35"/>
        <v>72.883681371743521</v>
      </c>
      <c r="M98" s="15">
        <f t="shared" ca="1" si="35"/>
        <v>73.717537067389031</v>
      </c>
      <c r="N98" s="15">
        <f t="shared" ca="1" si="35"/>
        <v>72.344763458421511</v>
      </c>
      <c r="O98" s="15">
        <f t="shared" ca="1" si="35"/>
        <v>71.968472545852293</v>
      </c>
      <c r="P98" s="15">
        <f t="shared" ca="1" si="35"/>
        <v>125.93550108096626</v>
      </c>
      <c r="Q98" s="15">
        <f t="shared" ca="1" si="35"/>
        <v>145.21950704843903</v>
      </c>
      <c r="R98" s="15">
        <f t="shared" ca="1" si="35"/>
        <v>74.995601144833046</v>
      </c>
      <c r="S98" s="15">
        <f t="shared" ca="1" si="35"/>
        <v>73.990993767951139</v>
      </c>
      <c r="T98" s="15">
        <f t="shared" ca="1" si="35"/>
        <v>145.67783326176431</v>
      </c>
      <c r="U98" s="15">
        <f t="shared" ca="1" si="35"/>
        <v>123.92726434863529</v>
      </c>
    </row>
    <row r="99" spans="4:21" x14ac:dyDescent="0.25">
      <c r="D99">
        <v>15</v>
      </c>
      <c r="F99">
        <v>7</v>
      </c>
      <c r="G99" s="15">
        <f t="shared" ca="1" si="35"/>
        <v>25.404500000000002</v>
      </c>
      <c r="H99" s="15">
        <f t="shared" ca="1" si="35"/>
        <v>25.408100000000001</v>
      </c>
      <c r="I99" s="15">
        <f t="shared" ca="1" si="35"/>
        <v>25.407300000000003</v>
      </c>
      <c r="J99" s="15">
        <f t="shared" ca="1" si="35"/>
        <v>25.409500000000001</v>
      </c>
      <c r="K99" s="15">
        <f t="shared" ca="1" si="35"/>
        <v>25.407600000000002</v>
      </c>
      <c r="L99" s="15">
        <f t="shared" ca="1" si="35"/>
        <v>72.884181371743523</v>
      </c>
      <c r="M99" s="15">
        <f t="shared" ca="1" si="35"/>
        <v>73.718037067389034</v>
      </c>
      <c r="N99" s="15">
        <f t="shared" ca="1" si="35"/>
        <v>72.345263458421513</v>
      </c>
      <c r="O99" s="15">
        <f t="shared" ca="1" si="35"/>
        <v>71.968972545852296</v>
      </c>
      <c r="P99" s="15">
        <f t="shared" ca="1" si="35"/>
        <v>125.93600108096626</v>
      </c>
      <c r="Q99" s="15">
        <f t="shared" ca="1" si="35"/>
        <v>145.22000704843904</v>
      </c>
      <c r="R99" s="15">
        <f t="shared" ca="1" si="35"/>
        <v>74.996101144833048</v>
      </c>
      <c r="S99" s="15">
        <f t="shared" ca="1" si="35"/>
        <v>73.991493767951141</v>
      </c>
      <c r="T99" s="15">
        <f t="shared" ca="1" si="35"/>
        <v>145.67833326176432</v>
      </c>
      <c r="U99" s="15">
        <f t="shared" ca="1" si="35"/>
        <v>123.92776434863529</v>
      </c>
    </row>
    <row r="100" spans="4:21" x14ac:dyDescent="0.25">
      <c r="D100">
        <v>16</v>
      </c>
      <c r="F100">
        <v>7.5</v>
      </c>
      <c r="G100" s="15">
        <f t="shared" ca="1" si="35"/>
        <v>25.405000000000001</v>
      </c>
      <c r="H100" s="15">
        <f t="shared" ca="1" si="35"/>
        <v>25.4086</v>
      </c>
      <c r="I100" s="15">
        <f t="shared" ca="1" si="35"/>
        <v>25.407800000000002</v>
      </c>
      <c r="J100" s="15">
        <f t="shared" ca="1" si="35"/>
        <v>25.41</v>
      </c>
      <c r="K100" s="15">
        <f t="shared" ca="1" si="35"/>
        <v>25.408100000000001</v>
      </c>
      <c r="L100" s="15">
        <f t="shared" ca="1" si="35"/>
        <v>72.884681371743511</v>
      </c>
      <c r="M100" s="15">
        <f t="shared" ca="1" si="35"/>
        <v>73.718537067389022</v>
      </c>
      <c r="N100" s="15">
        <f t="shared" ca="1" si="35"/>
        <v>72.345763458421501</v>
      </c>
      <c r="O100" s="15">
        <f t="shared" ca="1" si="35"/>
        <v>71.969472545852284</v>
      </c>
      <c r="P100" s="15">
        <f t="shared" ca="1" si="35"/>
        <v>125.93650108096625</v>
      </c>
      <c r="Q100" s="15">
        <f t="shared" ca="1" si="35"/>
        <v>145.22050704843903</v>
      </c>
      <c r="R100" s="15">
        <f t="shared" ca="1" si="35"/>
        <v>74.996601144833036</v>
      </c>
      <c r="S100" s="15">
        <f t="shared" ca="1" si="35"/>
        <v>73.991993767951129</v>
      </c>
      <c r="T100" s="15">
        <f t="shared" ca="1" si="35"/>
        <v>145.67883326176431</v>
      </c>
      <c r="U100" s="15">
        <f t="shared" ca="1" si="35"/>
        <v>123.92826434863528</v>
      </c>
    </row>
    <row r="101" spans="4:21" x14ac:dyDescent="0.25">
      <c r="D101">
        <v>17</v>
      </c>
      <c r="F101">
        <v>8</v>
      </c>
      <c r="G101" s="15">
        <f t="shared" ca="1" si="35"/>
        <v>25.4055</v>
      </c>
      <c r="H101" s="15">
        <f t="shared" ca="1" si="35"/>
        <v>25.409099999999999</v>
      </c>
      <c r="I101" s="15">
        <f t="shared" ca="1" si="35"/>
        <v>25.408300000000001</v>
      </c>
      <c r="J101" s="15">
        <f t="shared" ca="1" si="35"/>
        <v>25.410499999999999</v>
      </c>
      <c r="K101" s="15">
        <f t="shared" ca="1" si="35"/>
        <v>25.4086</v>
      </c>
      <c r="L101" s="15">
        <f t="shared" ca="1" si="35"/>
        <v>72.885181371743514</v>
      </c>
      <c r="M101" s="15">
        <f t="shared" ca="1" si="35"/>
        <v>73.719037067389024</v>
      </c>
      <c r="N101" s="15">
        <f t="shared" ca="1" si="35"/>
        <v>72.346263458421504</v>
      </c>
      <c r="O101" s="15">
        <f t="shared" ca="1" si="35"/>
        <v>71.969972545852286</v>
      </c>
      <c r="P101" s="15">
        <f t="shared" ca="1" si="35"/>
        <v>125.93700108096625</v>
      </c>
      <c r="Q101" s="15">
        <f t="shared" ca="1" si="35"/>
        <v>145.22100704843905</v>
      </c>
      <c r="R101" s="15">
        <f t="shared" ca="1" si="35"/>
        <v>74.997101144833039</v>
      </c>
      <c r="S101" s="15">
        <f t="shared" ca="1" si="35"/>
        <v>73.992493767951132</v>
      </c>
      <c r="T101" s="15">
        <f t="shared" ca="1" si="35"/>
        <v>145.67933326176433</v>
      </c>
      <c r="U101" s="15">
        <f t="shared" ca="1" si="35"/>
        <v>123.92876434863528</v>
      </c>
    </row>
    <row r="102" spans="4:21" x14ac:dyDescent="0.25">
      <c r="D102">
        <v>18</v>
      </c>
      <c r="F102">
        <v>8.5</v>
      </c>
      <c r="G102" s="15">
        <f t="shared" ca="1" si="35"/>
        <v>25.406000000000002</v>
      </c>
      <c r="H102" s="15">
        <f t="shared" ca="1" si="35"/>
        <v>25.409600000000001</v>
      </c>
      <c r="I102" s="15">
        <f t="shared" ca="1" si="35"/>
        <v>25.408800000000003</v>
      </c>
      <c r="J102" s="15">
        <f t="shared" ca="1" si="35"/>
        <v>25.411000000000001</v>
      </c>
      <c r="K102" s="15">
        <f t="shared" ca="1" si="35"/>
        <v>25.409100000000002</v>
      </c>
      <c r="L102" s="15">
        <f t="shared" ca="1" si="35"/>
        <v>72.885681371743516</v>
      </c>
      <c r="M102" s="15">
        <f t="shared" ca="1" si="35"/>
        <v>73.719537067389027</v>
      </c>
      <c r="N102" s="15">
        <f t="shared" ca="1" si="35"/>
        <v>72.346763458421506</v>
      </c>
      <c r="O102" s="15">
        <f t="shared" ca="1" si="35"/>
        <v>71.970472545852289</v>
      </c>
      <c r="P102" s="15">
        <f t="shared" ca="1" si="35"/>
        <v>125.93750108096626</v>
      </c>
      <c r="Q102" s="15">
        <f t="shared" ca="1" si="35"/>
        <v>145.22150704843904</v>
      </c>
      <c r="R102" s="15">
        <f t="shared" ca="1" si="35"/>
        <v>74.997601144833041</v>
      </c>
      <c r="S102" s="15">
        <f t="shared" ca="1" si="35"/>
        <v>73.992993767951134</v>
      </c>
      <c r="T102" s="15">
        <f t="shared" ca="1" si="35"/>
        <v>145.67983326176432</v>
      </c>
      <c r="U102" s="15">
        <f t="shared" ca="1" si="35"/>
        <v>123.92926434863529</v>
      </c>
    </row>
    <row r="103" spans="4:21" x14ac:dyDescent="0.25">
      <c r="D103">
        <v>19</v>
      </c>
      <c r="F103">
        <v>9</v>
      </c>
      <c r="G103" s="15">
        <f t="shared" ca="1" si="35"/>
        <v>25.406500000000001</v>
      </c>
      <c r="H103" s="15">
        <f t="shared" ca="1" si="35"/>
        <v>25.4101</v>
      </c>
      <c r="I103" s="15">
        <f t="shared" ca="1" si="35"/>
        <v>25.409300000000002</v>
      </c>
      <c r="J103" s="15">
        <f t="shared" ca="1" si="35"/>
        <v>25.4115</v>
      </c>
      <c r="K103" s="15">
        <f t="shared" ca="1" si="35"/>
        <v>25.409600000000001</v>
      </c>
      <c r="L103" s="15">
        <f t="shared" ca="1" si="35"/>
        <v>72.886181371743518</v>
      </c>
      <c r="M103" s="15">
        <f t="shared" ca="1" si="35"/>
        <v>73.720037067389029</v>
      </c>
      <c r="N103" s="15">
        <f t="shared" ca="1" si="35"/>
        <v>72.347263458421509</v>
      </c>
      <c r="O103" s="15">
        <f t="shared" ca="1" si="35"/>
        <v>71.970972545852291</v>
      </c>
      <c r="P103" s="15">
        <f t="shared" ca="1" si="35"/>
        <v>125.93800108096626</v>
      </c>
      <c r="Q103" s="15">
        <f t="shared" ca="1" si="35"/>
        <v>145.22200704843902</v>
      </c>
      <c r="R103" s="15">
        <f t="shared" ca="1" si="35"/>
        <v>74.998101144833043</v>
      </c>
      <c r="S103" s="15">
        <f t="shared" ca="1" si="35"/>
        <v>73.993493767951136</v>
      </c>
      <c r="T103" s="15">
        <f t="shared" ca="1" si="35"/>
        <v>145.6803332617643</v>
      </c>
      <c r="U103" s="15">
        <f t="shared" ca="1" si="35"/>
        <v>123.92976434863529</v>
      </c>
    </row>
    <row r="104" spans="4:21" x14ac:dyDescent="0.25">
      <c r="D104">
        <v>20</v>
      </c>
      <c r="F104">
        <v>9.5</v>
      </c>
      <c r="G104" s="15">
        <f t="shared" ref="G104:U110" ca="1" si="36">G$85+$F104/1000</f>
        <v>25.407</v>
      </c>
      <c r="H104" s="15">
        <f t="shared" ca="1" si="36"/>
        <v>25.410599999999999</v>
      </c>
      <c r="I104" s="15">
        <f t="shared" ca="1" si="36"/>
        <v>25.409800000000001</v>
      </c>
      <c r="J104" s="15">
        <f t="shared" ca="1" si="36"/>
        <v>25.411999999999999</v>
      </c>
      <c r="K104" s="15">
        <f t="shared" ca="1" si="36"/>
        <v>25.4101</v>
      </c>
      <c r="L104" s="15">
        <f t="shared" ca="1" si="36"/>
        <v>72.886681371743521</v>
      </c>
      <c r="M104" s="15">
        <f t="shared" ca="1" si="36"/>
        <v>73.720537067389031</v>
      </c>
      <c r="N104" s="15">
        <f t="shared" ca="1" si="36"/>
        <v>72.347763458421511</v>
      </c>
      <c r="O104" s="15">
        <f t="shared" ca="1" si="36"/>
        <v>71.971472545852293</v>
      </c>
      <c r="P104" s="15">
        <f t="shared" ca="1" si="36"/>
        <v>125.93850108096626</v>
      </c>
      <c r="Q104" s="15">
        <f t="shared" ca="1" si="36"/>
        <v>145.22250704843904</v>
      </c>
      <c r="R104" s="15">
        <f t="shared" ca="1" si="36"/>
        <v>74.998601144833046</v>
      </c>
      <c r="S104" s="15">
        <f t="shared" ca="1" si="36"/>
        <v>73.993993767951139</v>
      </c>
      <c r="T104" s="15">
        <f t="shared" ca="1" si="36"/>
        <v>145.68083326176432</v>
      </c>
      <c r="U104" s="15">
        <f t="shared" ca="1" si="36"/>
        <v>123.93026434863529</v>
      </c>
    </row>
    <row r="105" spans="4:21" x14ac:dyDescent="0.25">
      <c r="D105">
        <v>21</v>
      </c>
      <c r="F105">
        <v>10</v>
      </c>
      <c r="G105" s="15">
        <f t="shared" ca="1" si="36"/>
        <v>25.407500000000002</v>
      </c>
      <c r="H105" s="15">
        <f t="shared" ca="1" si="36"/>
        <v>25.411100000000001</v>
      </c>
      <c r="I105" s="15">
        <f t="shared" ca="1" si="36"/>
        <v>25.410300000000003</v>
      </c>
      <c r="J105" s="15">
        <f t="shared" ca="1" si="36"/>
        <v>25.412500000000001</v>
      </c>
      <c r="K105" s="15">
        <f t="shared" ca="1" si="36"/>
        <v>25.410600000000002</v>
      </c>
      <c r="L105" s="15">
        <f t="shared" ca="1" si="36"/>
        <v>72.887181371743523</v>
      </c>
      <c r="M105" s="15">
        <f t="shared" ca="1" si="36"/>
        <v>73.721037067389034</v>
      </c>
      <c r="N105" s="15">
        <f t="shared" ca="1" si="36"/>
        <v>72.348263458421513</v>
      </c>
      <c r="O105" s="15">
        <f t="shared" ca="1" si="36"/>
        <v>71.971972545852296</v>
      </c>
      <c r="P105" s="15">
        <f t="shared" ca="1" si="36"/>
        <v>125.93900108096626</v>
      </c>
      <c r="Q105" s="15">
        <f t="shared" ca="1" si="36"/>
        <v>145.22300704843903</v>
      </c>
      <c r="R105" s="15">
        <f t="shared" ca="1" si="36"/>
        <v>74.999101144833048</v>
      </c>
      <c r="S105" s="15">
        <f t="shared" ca="1" si="36"/>
        <v>73.994493767951141</v>
      </c>
      <c r="T105" s="15">
        <f t="shared" ca="1" si="36"/>
        <v>145.68133326176431</v>
      </c>
      <c r="U105" s="15">
        <f t="shared" ca="1" si="36"/>
        <v>123.93076434863529</v>
      </c>
    </row>
    <row r="106" spans="4:21" x14ac:dyDescent="0.25">
      <c r="D106">
        <v>22</v>
      </c>
      <c r="F106">
        <v>10.5</v>
      </c>
      <c r="G106" s="15">
        <f t="shared" ca="1" si="36"/>
        <v>25.408000000000001</v>
      </c>
      <c r="H106" s="15">
        <f t="shared" ca="1" si="36"/>
        <v>25.4116</v>
      </c>
      <c r="I106" s="15">
        <f t="shared" ca="1" si="36"/>
        <v>25.410800000000002</v>
      </c>
      <c r="J106" s="15">
        <f t="shared" ca="1" si="36"/>
        <v>25.413</v>
      </c>
      <c r="K106" s="15">
        <f t="shared" ca="1" si="36"/>
        <v>25.411100000000001</v>
      </c>
      <c r="L106" s="15">
        <f t="shared" ca="1" si="36"/>
        <v>72.887681371743511</v>
      </c>
      <c r="M106" s="15">
        <f t="shared" ca="1" si="36"/>
        <v>73.721537067389022</v>
      </c>
      <c r="N106" s="15">
        <f t="shared" ca="1" si="36"/>
        <v>72.348763458421502</v>
      </c>
      <c r="O106" s="15">
        <f t="shared" ca="1" si="36"/>
        <v>71.972472545852284</v>
      </c>
      <c r="P106" s="15">
        <f t="shared" ca="1" si="36"/>
        <v>125.93950108096625</v>
      </c>
      <c r="Q106" s="15">
        <f t="shared" ca="1" si="36"/>
        <v>145.22350704843905</v>
      </c>
      <c r="R106" s="15">
        <f t="shared" ca="1" si="36"/>
        <v>74.999601144833036</v>
      </c>
      <c r="S106" s="15">
        <f t="shared" ca="1" si="36"/>
        <v>73.994993767951129</v>
      </c>
      <c r="T106" s="15">
        <f t="shared" ca="1" si="36"/>
        <v>145.68183326176433</v>
      </c>
      <c r="U106" s="15">
        <f t="shared" ca="1" si="36"/>
        <v>123.93126434863528</v>
      </c>
    </row>
    <row r="107" spans="4:21" x14ac:dyDescent="0.25">
      <c r="D107">
        <v>23</v>
      </c>
      <c r="F107">
        <v>11</v>
      </c>
      <c r="G107" s="15">
        <f t="shared" ca="1" si="36"/>
        <v>25.4085</v>
      </c>
      <c r="H107" s="15">
        <f t="shared" ca="1" si="36"/>
        <v>25.412099999999999</v>
      </c>
      <c r="I107" s="15">
        <f t="shared" ca="1" si="36"/>
        <v>25.411300000000001</v>
      </c>
      <c r="J107" s="15">
        <f t="shared" ca="1" si="36"/>
        <v>25.413499999999999</v>
      </c>
      <c r="K107" s="15">
        <f t="shared" ca="1" si="36"/>
        <v>25.4116</v>
      </c>
      <c r="L107" s="15">
        <f t="shared" ca="1" si="36"/>
        <v>72.888181371743514</v>
      </c>
      <c r="M107" s="15">
        <f t="shared" ca="1" si="36"/>
        <v>73.722037067389024</v>
      </c>
      <c r="N107" s="15">
        <f t="shared" ca="1" si="36"/>
        <v>72.349263458421504</v>
      </c>
      <c r="O107" s="15">
        <f t="shared" ca="1" si="36"/>
        <v>71.972972545852286</v>
      </c>
      <c r="P107" s="15">
        <f t="shared" ca="1" si="36"/>
        <v>125.94000108096625</v>
      </c>
      <c r="Q107" s="15">
        <f t="shared" ca="1" si="36"/>
        <v>145.22400704843903</v>
      </c>
      <c r="R107" s="15">
        <f t="shared" ca="1" si="36"/>
        <v>75.000101144833039</v>
      </c>
      <c r="S107" s="15">
        <f t="shared" ca="1" si="36"/>
        <v>73.995493767951132</v>
      </c>
      <c r="T107" s="15">
        <f t="shared" ca="1" si="36"/>
        <v>145.68233326176431</v>
      </c>
      <c r="U107" s="15">
        <f t="shared" ca="1" si="36"/>
        <v>123.93176434863528</v>
      </c>
    </row>
    <row r="108" spans="4:21" x14ac:dyDescent="0.25">
      <c r="D108">
        <v>24</v>
      </c>
      <c r="F108">
        <v>11.5</v>
      </c>
      <c r="G108" s="15">
        <f t="shared" ca="1" si="36"/>
        <v>25.409000000000002</v>
      </c>
      <c r="H108" s="15">
        <f t="shared" ca="1" si="36"/>
        <v>25.412600000000001</v>
      </c>
      <c r="I108" s="15">
        <f t="shared" ca="1" si="36"/>
        <v>25.411800000000003</v>
      </c>
      <c r="J108" s="15">
        <f t="shared" ca="1" si="36"/>
        <v>25.414000000000001</v>
      </c>
      <c r="K108" s="15">
        <f t="shared" ca="1" si="36"/>
        <v>25.412100000000002</v>
      </c>
      <c r="L108" s="15">
        <f t="shared" ca="1" si="36"/>
        <v>72.888681371743516</v>
      </c>
      <c r="M108" s="15">
        <f t="shared" ca="1" si="36"/>
        <v>73.722537067389027</v>
      </c>
      <c r="N108" s="15">
        <f t="shared" ca="1" si="36"/>
        <v>72.349763458421506</v>
      </c>
      <c r="O108" s="15">
        <f t="shared" ca="1" si="36"/>
        <v>71.973472545852289</v>
      </c>
      <c r="P108" s="15">
        <f t="shared" ca="1" si="36"/>
        <v>125.94050108096626</v>
      </c>
      <c r="Q108" s="15">
        <f t="shared" ca="1" si="36"/>
        <v>145.22450704843905</v>
      </c>
      <c r="R108" s="15">
        <f t="shared" ca="1" si="36"/>
        <v>75.000601144833041</v>
      </c>
      <c r="S108" s="15">
        <f t="shared" ca="1" si="36"/>
        <v>73.995993767951134</v>
      </c>
      <c r="T108" s="15">
        <f t="shared" ca="1" si="36"/>
        <v>145.68283326176433</v>
      </c>
      <c r="U108" s="15">
        <f t="shared" ca="1" si="36"/>
        <v>123.93226434863529</v>
      </c>
    </row>
    <row r="109" spans="4:21" x14ac:dyDescent="0.25">
      <c r="D109">
        <v>25</v>
      </c>
      <c r="F109">
        <v>12</v>
      </c>
      <c r="G109" s="15">
        <f t="shared" ca="1" si="36"/>
        <v>25.409500000000001</v>
      </c>
      <c r="H109" s="15">
        <f t="shared" ca="1" si="36"/>
        <v>25.4131</v>
      </c>
      <c r="I109" s="15">
        <f t="shared" ca="1" si="36"/>
        <v>25.412300000000002</v>
      </c>
      <c r="J109" s="15">
        <f t="shared" ca="1" si="36"/>
        <v>25.4145</v>
      </c>
      <c r="K109" s="15">
        <f t="shared" ca="1" si="36"/>
        <v>25.412600000000001</v>
      </c>
      <c r="L109" s="15">
        <f t="shared" ca="1" si="36"/>
        <v>72.889181371743518</v>
      </c>
      <c r="M109" s="15">
        <f t="shared" ca="1" si="36"/>
        <v>73.723037067389029</v>
      </c>
      <c r="N109" s="15">
        <f t="shared" ca="1" si="36"/>
        <v>72.350263458421509</v>
      </c>
      <c r="O109" s="15">
        <f t="shared" ca="1" si="36"/>
        <v>71.973972545852291</v>
      </c>
      <c r="P109" s="15">
        <f t="shared" ca="1" si="36"/>
        <v>125.94100108096626</v>
      </c>
      <c r="Q109" s="15">
        <f t="shared" ca="1" si="36"/>
        <v>145.22500704843904</v>
      </c>
      <c r="R109" s="15">
        <f t="shared" ca="1" si="36"/>
        <v>75.001101144833044</v>
      </c>
      <c r="S109" s="15">
        <f t="shared" ca="1" si="36"/>
        <v>73.996493767951137</v>
      </c>
      <c r="T109" s="15">
        <f t="shared" ca="1" si="36"/>
        <v>145.68333326176432</v>
      </c>
      <c r="U109" s="15">
        <f t="shared" ca="1" si="36"/>
        <v>123.93276434863529</v>
      </c>
    </row>
    <row r="110" spans="4:21" x14ac:dyDescent="0.25">
      <c r="D110">
        <v>26</v>
      </c>
      <c r="F110">
        <v>12.5</v>
      </c>
      <c r="G110" s="15">
        <f t="shared" ca="1" si="36"/>
        <v>25.41</v>
      </c>
      <c r="H110" s="15">
        <f t="shared" ca="1" si="36"/>
        <v>25.413599999999999</v>
      </c>
      <c r="I110" s="15">
        <f t="shared" ca="1" si="36"/>
        <v>25.412800000000001</v>
      </c>
      <c r="J110" s="15">
        <f t="shared" ca="1" si="36"/>
        <v>25.414999999999999</v>
      </c>
      <c r="K110" s="15">
        <f t="shared" ca="1" si="36"/>
        <v>25.4131</v>
      </c>
      <c r="L110" s="15">
        <f t="shared" ca="1" si="36"/>
        <v>72.889681371743521</v>
      </c>
      <c r="M110" s="15">
        <f t="shared" ca="1" si="36"/>
        <v>73.723537067389032</v>
      </c>
      <c r="N110" s="15">
        <f t="shared" ca="1" si="36"/>
        <v>72.350763458421511</v>
      </c>
      <c r="O110" s="15">
        <f t="shared" ca="1" si="36"/>
        <v>71.974472545852294</v>
      </c>
      <c r="P110" s="15">
        <f t="shared" ca="1" si="36"/>
        <v>125.94150108096626</v>
      </c>
      <c r="Q110" s="15">
        <f t="shared" ca="1" si="36"/>
        <v>145.22550704843903</v>
      </c>
      <c r="R110" s="15">
        <f t="shared" ca="1" si="36"/>
        <v>75.001601144833046</v>
      </c>
      <c r="S110" s="15">
        <f t="shared" ca="1" si="36"/>
        <v>73.996993767951139</v>
      </c>
      <c r="T110" s="15">
        <f t="shared" ca="1" si="36"/>
        <v>145.68383326176431</v>
      </c>
      <c r="U110" s="15">
        <f t="shared" ca="1" si="36"/>
        <v>123.93326434863529</v>
      </c>
    </row>
    <row r="112" spans="4:21" x14ac:dyDescent="0.25">
      <c r="D112">
        <v>1</v>
      </c>
      <c r="G112">
        <f t="array" aca="1" ref="G112:G138" ca="1">FREQUENCY(G7:G48,G85:G110)</f>
        <v>1</v>
      </c>
      <c r="H112">
        <f t="array" aca="1" ref="H112:H138" ca="1">FREQUENCY(H7:H48,H85:H110)</f>
        <v>1</v>
      </c>
      <c r="I112">
        <f t="array" aca="1" ref="I112:I138" ca="1">FREQUENCY(I7:I48,I85:I110)</f>
        <v>1</v>
      </c>
      <c r="J112">
        <f t="array" aca="1" ref="J112:J138" ca="1">FREQUENCY(J7:J48,J85:J110)</f>
        <v>2</v>
      </c>
      <c r="K112">
        <f t="array" aca="1" ref="K112:K138" ca="1">FREQUENCY(K7:K48,K85:K110)</f>
        <v>3</v>
      </c>
      <c r="L112">
        <f t="array" aca="1" ref="L112:L138" ca="1">FREQUENCY(L7:L48,L85:L110)</f>
        <v>1</v>
      </c>
      <c r="M112">
        <f t="array" aca="1" ref="M112:M138" ca="1">FREQUENCY(M7:M48,M85:M110)</f>
        <v>1</v>
      </c>
      <c r="N112">
        <f t="array" aca="1" ref="N112:N138" ca="1">FREQUENCY(N7:N48,N85:N110)</f>
        <v>1</v>
      </c>
      <c r="O112">
        <f t="array" aca="1" ref="O112:O138" ca="1">FREQUENCY(O7:O48,O85:O110)</f>
        <v>1</v>
      </c>
      <c r="P112">
        <f t="array" aca="1" ref="P112:P138" ca="1">FREQUENCY(P7:P48,P85:P110)</f>
        <v>1</v>
      </c>
      <c r="Q112">
        <f t="array" aca="1" ref="Q112:Q138" ca="1">FREQUENCY(Q7:Q48,Q85:Q110)</f>
        <v>1</v>
      </c>
      <c r="R112">
        <f t="array" aca="1" ref="R112:R138" ca="1">FREQUENCY(R7:R48,R85:R110)</f>
        <v>1</v>
      </c>
      <c r="S112">
        <f t="array" aca="1" ref="S112:S138" ca="1">FREQUENCY(S7:S48,S85:S110)</f>
        <v>1</v>
      </c>
      <c r="T112">
        <f t="array" aca="1" ref="T112:T138" ca="1">FREQUENCY(T7:T48,T85:T110)</f>
        <v>1</v>
      </c>
      <c r="U112">
        <f t="array" aca="1" ref="U112:U138" ca="1">FREQUENCY(U7:U48,U85:U110)</f>
        <v>1</v>
      </c>
    </row>
    <row r="113" spans="4:21" x14ac:dyDescent="0.25">
      <c r="D113">
        <v>2</v>
      </c>
      <c r="G113">
        <f ca="1"/>
        <v>14</v>
      </c>
      <c r="H113">
        <f ca="1"/>
        <v>6</v>
      </c>
      <c r="I113">
        <f ca="1"/>
        <v>2</v>
      </c>
      <c r="J113">
        <f ca="1"/>
        <v>11</v>
      </c>
      <c r="K113">
        <f ca="1"/>
        <v>9</v>
      </c>
      <c r="L113">
        <f ca="1"/>
        <v>6</v>
      </c>
      <c r="M113">
        <f ca="1"/>
        <v>5</v>
      </c>
      <c r="N113">
        <f ca="1"/>
        <v>10</v>
      </c>
      <c r="O113">
        <f ca="1"/>
        <v>5</v>
      </c>
      <c r="P113">
        <f ca="1"/>
        <v>8</v>
      </c>
      <c r="Q113">
        <f ca="1"/>
        <v>4</v>
      </c>
      <c r="R113">
        <f ca="1"/>
        <v>3</v>
      </c>
      <c r="S113">
        <f ca="1"/>
        <v>12</v>
      </c>
      <c r="T113">
        <f ca="1"/>
        <v>10</v>
      </c>
      <c r="U113">
        <f ca="1"/>
        <v>12</v>
      </c>
    </row>
    <row r="114" spans="4:21" x14ac:dyDescent="0.25">
      <c r="D114">
        <v>3</v>
      </c>
      <c r="G114">
        <f ca="1"/>
        <v>15</v>
      </c>
      <c r="H114">
        <f ca="1"/>
        <v>21</v>
      </c>
      <c r="I114">
        <f ca="1"/>
        <v>6</v>
      </c>
      <c r="J114">
        <f ca="1"/>
        <v>18</v>
      </c>
      <c r="K114">
        <f ca="1"/>
        <v>12</v>
      </c>
      <c r="L114">
        <f ca="1"/>
        <v>17</v>
      </c>
      <c r="M114">
        <f ca="1"/>
        <v>5</v>
      </c>
      <c r="N114">
        <f ca="1"/>
        <v>7</v>
      </c>
      <c r="O114">
        <f ca="1"/>
        <v>11</v>
      </c>
      <c r="P114">
        <f ca="1"/>
        <v>6</v>
      </c>
      <c r="Q114">
        <f ca="1"/>
        <v>10</v>
      </c>
      <c r="R114">
        <f ca="1"/>
        <v>8</v>
      </c>
      <c r="S114">
        <f ca="1"/>
        <v>4</v>
      </c>
      <c r="T114">
        <f ca="1"/>
        <v>15</v>
      </c>
      <c r="U114">
        <f ca="1"/>
        <v>5</v>
      </c>
    </row>
    <row r="115" spans="4:21" x14ac:dyDescent="0.25">
      <c r="D115">
        <v>4</v>
      </c>
      <c r="G115">
        <f ca="1"/>
        <v>6</v>
      </c>
      <c r="H115">
        <f ca="1"/>
        <v>8</v>
      </c>
      <c r="I115">
        <f ca="1"/>
        <v>14</v>
      </c>
      <c r="J115">
        <f ca="1"/>
        <v>4</v>
      </c>
      <c r="K115">
        <f ca="1"/>
        <v>11</v>
      </c>
      <c r="L115">
        <f ca="1"/>
        <v>4</v>
      </c>
      <c r="M115">
        <f ca="1"/>
        <v>8</v>
      </c>
      <c r="N115">
        <f ca="1"/>
        <v>12</v>
      </c>
      <c r="O115">
        <f ca="1"/>
        <v>10</v>
      </c>
      <c r="P115">
        <f ca="1"/>
        <v>3</v>
      </c>
      <c r="Q115">
        <f ca="1"/>
        <v>4</v>
      </c>
      <c r="R115">
        <f ca="1"/>
        <v>7</v>
      </c>
      <c r="S115">
        <f ca="1"/>
        <v>5</v>
      </c>
      <c r="T115">
        <f ca="1"/>
        <v>9</v>
      </c>
      <c r="U115">
        <f ca="1"/>
        <v>0</v>
      </c>
    </row>
    <row r="116" spans="4:21" x14ac:dyDescent="0.25">
      <c r="D116">
        <v>5</v>
      </c>
      <c r="G116">
        <f ca="1"/>
        <v>0</v>
      </c>
      <c r="H116">
        <f ca="1"/>
        <v>0</v>
      </c>
      <c r="I116">
        <f ca="1"/>
        <v>12</v>
      </c>
      <c r="J116">
        <f ca="1"/>
        <v>1</v>
      </c>
      <c r="K116">
        <f ca="1"/>
        <v>1</v>
      </c>
      <c r="L116">
        <f ca="1"/>
        <v>6</v>
      </c>
      <c r="M116">
        <f ca="1"/>
        <v>9</v>
      </c>
      <c r="N116">
        <f ca="1"/>
        <v>5</v>
      </c>
      <c r="O116">
        <f ca="1"/>
        <v>8</v>
      </c>
      <c r="P116">
        <f ca="1"/>
        <v>4</v>
      </c>
      <c r="Q116">
        <f ca="1"/>
        <v>6</v>
      </c>
      <c r="R116">
        <f ca="1"/>
        <v>9</v>
      </c>
      <c r="S116">
        <f ca="1"/>
        <v>3</v>
      </c>
      <c r="T116">
        <f ca="1"/>
        <v>1</v>
      </c>
      <c r="U116">
        <f ca="1"/>
        <v>5</v>
      </c>
    </row>
    <row r="117" spans="4:21" x14ac:dyDescent="0.25">
      <c r="D117">
        <v>6</v>
      </c>
      <c r="G117">
        <f ca="1"/>
        <v>0</v>
      </c>
      <c r="H117">
        <f ca="1"/>
        <v>0</v>
      </c>
      <c r="I117">
        <f ca="1"/>
        <v>1</v>
      </c>
      <c r="J117">
        <f ca="1"/>
        <v>0</v>
      </c>
      <c r="K117">
        <f ca="1"/>
        <v>0</v>
      </c>
      <c r="L117">
        <f ca="1"/>
        <v>2</v>
      </c>
      <c r="M117">
        <f ca="1"/>
        <v>5</v>
      </c>
      <c r="N117">
        <f ca="1"/>
        <v>1</v>
      </c>
      <c r="O117">
        <f ca="1"/>
        <v>1</v>
      </c>
      <c r="P117">
        <f ca="1"/>
        <v>4</v>
      </c>
      <c r="Q117">
        <f ca="1"/>
        <v>5</v>
      </c>
      <c r="R117">
        <f ca="1"/>
        <v>7</v>
      </c>
      <c r="S117">
        <f ca="1"/>
        <v>8</v>
      </c>
      <c r="T117">
        <f ca="1"/>
        <v>0</v>
      </c>
      <c r="U117">
        <f ca="1"/>
        <v>7</v>
      </c>
    </row>
    <row r="118" spans="4:21" x14ac:dyDescent="0.25">
      <c r="D118">
        <v>7</v>
      </c>
      <c r="G118">
        <f ca="1"/>
        <v>0</v>
      </c>
      <c r="H118">
        <f ca="1"/>
        <v>0</v>
      </c>
      <c r="I118">
        <f ca="1"/>
        <v>0</v>
      </c>
      <c r="J118">
        <f ca="1"/>
        <v>0</v>
      </c>
      <c r="K118">
        <f ca="1"/>
        <v>0</v>
      </c>
      <c r="L118">
        <f ca="1"/>
        <v>0</v>
      </c>
      <c r="M118">
        <f ca="1"/>
        <v>2</v>
      </c>
      <c r="N118">
        <f ca="1"/>
        <v>0</v>
      </c>
      <c r="O118">
        <f ca="1"/>
        <v>0</v>
      </c>
      <c r="P118">
        <f ca="1"/>
        <v>7</v>
      </c>
      <c r="Q118">
        <f ca="1"/>
        <v>5</v>
      </c>
      <c r="R118">
        <f ca="1"/>
        <v>1</v>
      </c>
      <c r="S118">
        <f ca="1"/>
        <v>3</v>
      </c>
      <c r="T118">
        <f ca="1"/>
        <v>0</v>
      </c>
      <c r="U118">
        <f ca="1"/>
        <v>6</v>
      </c>
    </row>
    <row r="119" spans="4:21" x14ac:dyDescent="0.25">
      <c r="D119">
        <v>8</v>
      </c>
      <c r="G119">
        <f ca="1"/>
        <v>0</v>
      </c>
      <c r="H119">
        <f ca="1"/>
        <v>0</v>
      </c>
      <c r="I119">
        <f ca="1"/>
        <v>0</v>
      </c>
      <c r="J119">
        <f ca="1"/>
        <v>0</v>
      </c>
      <c r="K119">
        <f ca="1"/>
        <v>0</v>
      </c>
      <c r="L119">
        <f ca="1"/>
        <v>0</v>
      </c>
      <c r="M119">
        <f ca="1"/>
        <v>1</v>
      </c>
      <c r="N119">
        <f ca="1"/>
        <v>0</v>
      </c>
      <c r="O119">
        <f ca="1"/>
        <v>0</v>
      </c>
      <c r="P119">
        <f ca="1"/>
        <v>3</v>
      </c>
      <c r="Q119">
        <f ca="1"/>
        <v>1</v>
      </c>
      <c r="R119">
        <f ca="1"/>
        <v>0</v>
      </c>
      <c r="S119">
        <f ca="1"/>
        <v>0</v>
      </c>
      <c r="T119">
        <f ca="1"/>
        <v>0</v>
      </c>
      <c r="U119">
        <f ca="1"/>
        <v>0</v>
      </c>
    </row>
    <row r="120" spans="4:21" x14ac:dyDescent="0.25">
      <c r="D120">
        <v>9</v>
      </c>
      <c r="G120">
        <f ca="1"/>
        <v>0</v>
      </c>
      <c r="H120">
        <f ca="1"/>
        <v>0</v>
      </c>
      <c r="I120">
        <f ca="1"/>
        <v>0</v>
      </c>
      <c r="J120">
        <f ca="1"/>
        <v>0</v>
      </c>
      <c r="K120">
        <f ca="1"/>
        <v>0</v>
      </c>
      <c r="L120">
        <f ca="1"/>
        <v>0</v>
      </c>
      <c r="M120">
        <f ca="1"/>
        <v>0</v>
      </c>
      <c r="N120">
        <f ca="1"/>
        <v>0</v>
      </c>
      <c r="O120">
        <f ca="1"/>
        <v>0</v>
      </c>
      <c r="P120">
        <f ca="1"/>
        <v>0</v>
      </c>
      <c r="Q120">
        <f ca="1"/>
        <v>0</v>
      </c>
      <c r="R120">
        <f ca="1"/>
        <v>0</v>
      </c>
      <c r="S120">
        <f ca="1"/>
        <v>0</v>
      </c>
      <c r="T120">
        <f ca="1"/>
        <v>0</v>
      </c>
      <c r="U120">
        <f ca="1"/>
        <v>0</v>
      </c>
    </row>
    <row r="121" spans="4:21" x14ac:dyDescent="0.25">
      <c r="D121">
        <v>10</v>
      </c>
      <c r="G121">
        <f ca="1"/>
        <v>0</v>
      </c>
      <c r="H121">
        <f ca="1"/>
        <v>0</v>
      </c>
      <c r="I121">
        <f ca="1"/>
        <v>0</v>
      </c>
      <c r="J121">
        <f ca="1"/>
        <v>0</v>
      </c>
      <c r="K121">
        <f ca="1"/>
        <v>0</v>
      </c>
      <c r="L121">
        <f ca="1"/>
        <v>0</v>
      </c>
      <c r="M121">
        <f ca="1"/>
        <v>0</v>
      </c>
      <c r="N121">
        <f ca="1"/>
        <v>0</v>
      </c>
      <c r="O121">
        <f ca="1"/>
        <v>0</v>
      </c>
      <c r="P121">
        <f ca="1"/>
        <v>0</v>
      </c>
      <c r="Q121">
        <f ca="1"/>
        <v>0</v>
      </c>
      <c r="R121">
        <f ca="1"/>
        <v>0</v>
      </c>
      <c r="S121">
        <f ca="1"/>
        <v>0</v>
      </c>
      <c r="T121">
        <f ca="1"/>
        <v>0</v>
      </c>
      <c r="U121">
        <f ca="1"/>
        <v>0</v>
      </c>
    </row>
    <row r="122" spans="4:21" x14ac:dyDescent="0.25">
      <c r="D122">
        <v>11</v>
      </c>
      <c r="G122">
        <f ca="1"/>
        <v>0</v>
      </c>
      <c r="H122">
        <f ca="1"/>
        <v>0</v>
      </c>
      <c r="I122">
        <f ca="1"/>
        <v>0</v>
      </c>
      <c r="J122">
        <f ca="1"/>
        <v>0</v>
      </c>
      <c r="K122">
        <f ca="1"/>
        <v>0</v>
      </c>
      <c r="L122">
        <f ca="1"/>
        <v>0</v>
      </c>
      <c r="M122">
        <f ca="1"/>
        <v>0</v>
      </c>
      <c r="N122">
        <f ca="1"/>
        <v>0</v>
      </c>
      <c r="O122">
        <f ca="1"/>
        <v>0</v>
      </c>
      <c r="P122">
        <f ca="1"/>
        <v>0</v>
      </c>
      <c r="Q122">
        <f ca="1"/>
        <v>0</v>
      </c>
      <c r="R122">
        <f ca="1"/>
        <v>0</v>
      </c>
      <c r="S122">
        <f ca="1"/>
        <v>0</v>
      </c>
      <c r="T122">
        <f ca="1"/>
        <v>0</v>
      </c>
      <c r="U122">
        <f ca="1"/>
        <v>0</v>
      </c>
    </row>
    <row r="123" spans="4:21" x14ac:dyDescent="0.25">
      <c r="D123">
        <v>12</v>
      </c>
      <c r="G123">
        <f ca="1"/>
        <v>0</v>
      </c>
      <c r="H123">
        <f ca="1"/>
        <v>0</v>
      </c>
      <c r="I123">
        <f ca="1"/>
        <v>0</v>
      </c>
      <c r="J123">
        <f ca="1"/>
        <v>0</v>
      </c>
      <c r="K123">
        <f ca="1"/>
        <v>0</v>
      </c>
      <c r="L123">
        <f ca="1"/>
        <v>0</v>
      </c>
      <c r="M123">
        <f ca="1"/>
        <v>0</v>
      </c>
      <c r="N123">
        <f ca="1"/>
        <v>0</v>
      </c>
      <c r="O123">
        <f ca="1"/>
        <v>0</v>
      </c>
      <c r="P123">
        <f ca="1"/>
        <v>0</v>
      </c>
      <c r="Q123">
        <f ca="1"/>
        <v>0</v>
      </c>
      <c r="R123">
        <f ca="1"/>
        <v>0</v>
      </c>
      <c r="S123">
        <f ca="1"/>
        <v>0</v>
      </c>
      <c r="T123">
        <f ca="1"/>
        <v>0</v>
      </c>
      <c r="U123">
        <f ca="1"/>
        <v>0</v>
      </c>
    </row>
    <row r="124" spans="4:21" x14ac:dyDescent="0.25">
      <c r="D124">
        <v>13</v>
      </c>
      <c r="G124">
        <f ca="1"/>
        <v>0</v>
      </c>
      <c r="H124">
        <f ca="1"/>
        <v>0</v>
      </c>
      <c r="I124">
        <f ca="1"/>
        <v>0</v>
      </c>
      <c r="J124">
        <f ca="1"/>
        <v>0</v>
      </c>
      <c r="K124">
        <f ca="1"/>
        <v>0</v>
      </c>
      <c r="L124">
        <f ca="1"/>
        <v>0</v>
      </c>
      <c r="M124">
        <f ca="1"/>
        <v>0</v>
      </c>
      <c r="N124">
        <f ca="1"/>
        <v>0</v>
      </c>
      <c r="O124">
        <f ca="1"/>
        <v>0</v>
      </c>
      <c r="P124">
        <f ca="1"/>
        <v>0</v>
      </c>
      <c r="Q124">
        <f ca="1"/>
        <v>0</v>
      </c>
      <c r="R124">
        <f ca="1"/>
        <v>0</v>
      </c>
      <c r="S124">
        <f ca="1"/>
        <v>0</v>
      </c>
      <c r="T124">
        <f ca="1"/>
        <v>0</v>
      </c>
      <c r="U124">
        <f ca="1"/>
        <v>0</v>
      </c>
    </row>
    <row r="125" spans="4:21" x14ac:dyDescent="0.25">
      <c r="D125">
        <v>14</v>
      </c>
      <c r="G125">
        <f ca="1"/>
        <v>0</v>
      </c>
      <c r="H125">
        <f ca="1"/>
        <v>0</v>
      </c>
      <c r="I125">
        <f ca="1"/>
        <v>0</v>
      </c>
      <c r="J125">
        <f ca="1"/>
        <v>0</v>
      </c>
      <c r="K125">
        <f ca="1"/>
        <v>0</v>
      </c>
      <c r="L125">
        <f ca="1"/>
        <v>0</v>
      </c>
      <c r="M125">
        <f ca="1"/>
        <v>0</v>
      </c>
      <c r="N125">
        <f ca="1"/>
        <v>0</v>
      </c>
      <c r="O125">
        <f ca="1"/>
        <v>0</v>
      </c>
      <c r="P125">
        <f ca="1"/>
        <v>0</v>
      </c>
      <c r="Q125">
        <f ca="1"/>
        <v>0</v>
      </c>
      <c r="R125">
        <f ca="1"/>
        <v>0</v>
      </c>
      <c r="S125">
        <f ca="1"/>
        <v>0</v>
      </c>
      <c r="T125">
        <f ca="1"/>
        <v>0</v>
      </c>
      <c r="U125">
        <f ca="1"/>
        <v>0</v>
      </c>
    </row>
    <row r="126" spans="4:21" x14ac:dyDescent="0.25">
      <c r="D126">
        <v>15</v>
      </c>
      <c r="G126">
        <f ca="1"/>
        <v>0</v>
      </c>
      <c r="H126">
        <f ca="1"/>
        <v>0</v>
      </c>
      <c r="I126">
        <f ca="1"/>
        <v>0</v>
      </c>
      <c r="J126">
        <f ca="1"/>
        <v>0</v>
      </c>
      <c r="K126">
        <f ca="1"/>
        <v>0</v>
      </c>
      <c r="L126">
        <f ca="1"/>
        <v>0</v>
      </c>
      <c r="M126">
        <f ca="1"/>
        <v>0</v>
      </c>
      <c r="N126">
        <f ca="1"/>
        <v>0</v>
      </c>
      <c r="O126">
        <f ca="1"/>
        <v>0</v>
      </c>
      <c r="P126">
        <f ca="1"/>
        <v>0</v>
      </c>
      <c r="Q126">
        <f ca="1"/>
        <v>0</v>
      </c>
      <c r="R126">
        <f ca="1"/>
        <v>0</v>
      </c>
      <c r="S126">
        <f ca="1"/>
        <v>0</v>
      </c>
      <c r="T126">
        <f ca="1"/>
        <v>0</v>
      </c>
      <c r="U126">
        <f ca="1"/>
        <v>0</v>
      </c>
    </row>
    <row r="127" spans="4:21" x14ac:dyDescent="0.25">
      <c r="D127">
        <v>16</v>
      </c>
      <c r="G127">
        <f ca="1"/>
        <v>0</v>
      </c>
      <c r="H127">
        <f ca="1"/>
        <v>0</v>
      </c>
      <c r="I127">
        <f ca="1"/>
        <v>0</v>
      </c>
      <c r="J127">
        <f ca="1"/>
        <v>0</v>
      </c>
      <c r="K127">
        <f ca="1"/>
        <v>0</v>
      </c>
      <c r="L127">
        <f ca="1"/>
        <v>0</v>
      </c>
      <c r="M127">
        <f ca="1"/>
        <v>0</v>
      </c>
      <c r="N127">
        <f ca="1"/>
        <v>0</v>
      </c>
      <c r="O127">
        <f ca="1"/>
        <v>0</v>
      </c>
      <c r="P127">
        <f ca="1"/>
        <v>0</v>
      </c>
      <c r="Q127">
        <f ca="1"/>
        <v>0</v>
      </c>
      <c r="R127">
        <f ca="1"/>
        <v>0</v>
      </c>
      <c r="S127">
        <f ca="1"/>
        <v>0</v>
      </c>
      <c r="T127">
        <f ca="1"/>
        <v>0</v>
      </c>
      <c r="U127">
        <f ca="1"/>
        <v>0</v>
      </c>
    </row>
    <row r="128" spans="4:21" x14ac:dyDescent="0.25">
      <c r="D128">
        <v>17</v>
      </c>
      <c r="G128">
        <f ca="1"/>
        <v>0</v>
      </c>
      <c r="H128">
        <f ca="1"/>
        <v>0</v>
      </c>
      <c r="I128">
        <f ca="1"/>
        <v>0</v>
      </c>
      <c r="J128">
        <f ca="1"/>
        <v>0</v>
      </c>
      <c r="K128">
        <f ca="1"/>
        <v>0</v>
      </c>
      <c r="L128">
        <f ca="1"/>
        <v>0</v>
      </c>
      <c r="M128">
        <f ca="1"/>
        <v>0</v>
      </c>
      <c r="N128">
        <f ca="1"/>
        <v>0</v>
      </c>
      <c r="O128">
        <f ca="1"/>
        <v>0</v>
      </c>
      <c r="P128">
        <f ca="1"/>
        <v>0</v>
      </c>
      <c r="Q128">
        <f ca="1"/>
        <v>0</v>
      </c>
      <c r="R128">
        <f ca="1"/>
        <v>0</v>
      </c>
      <c r="S128">
        <f ca="1"/>
        <v>0</v>
      </c>
      <c r="T128">
        <f ca="1"/>
        <v>0</v>
      </c>
      <c r="U128">
        <f ca="1"/>
        <v>0</v>
      </c>
    </row>
    <row r="129" spans="4:21" x14ac:dyDescent="0.25">
      <c r="D129">
        <v>18</v>
      </c>
      <c r="G129">
        <f ca="1"/>
        <v>0</v>
      </c>
      <c r="H129">
        <f ca="1"/>
        <v>0</v>
      </c>
      <c r="I129">
        <f ca="1"/>
        <v>0</v>
      </c>
      <c r="J129">
        <f ca="1"/>
        <v>0</v>
      </c>
      <c r="K129">
        <f ca="1"/>
        <v>0</v>
      </c>
      <c r="L129">
        <f ca="1"/>
        <v>0</v>
      </c>
      <c r="M129">
        <f ca="1"/>
        <v>0</v>
      </c>
      <c r="N129">
        <f ca="1"/>
        <v>0</v>
      </c>
      <c r="O129">
        <f ca="1"/>
        <v>0</v>
      </c>
      <c r="P129">
        <f ca="1"/>
        <v>0</v>
      </c>
      <c r="Q129">
        <f ca="1"/>
        <v>0</v>
      </c>
      <c r="R129">
        <f ca="1"/>
        <v>0</v>
      </c>
      <c r="S129">
        <f ca="1"/>
        <v>0</v>
      </c>
      <c r="T129">
        <f ca="1"/>
        <v>0</v>
      </c>
      <c r="U129">
        <f ca="1"/>
        <v>0</v>
      </c>
    </row>
    <row r="130" spans="4:21" x14ac:dyDescent="0.25">
      <c r="D130">
        <v>19</v>
      </c>
      <c r="G130">
        <f ca="1"/>
        <v>0</v>
      </c>
      <c r="H130">
        <f ca="1"/>
        <v>0</v>
      </c>
      <c r="I130">
        <f ca="1"/>
        <v>0</v>
      </c>
      <c r="J130">
        <f ca="1"/>
        <v>0</v>
      </c>
      <c r="K130">
        <f ca="1"/>
        <v>0</v>
      </c>
      <c r="L130">
        <f ca="1"/>
        <v>0</v>
      </c>
      <c r="M130">
        <f ca="1"/>
        <v>0</v>
      </c>
      <c r="N130">
        <f ca="1"/>
        <v>0</v>
      </c>
      <c r="O130">
        <f ca="1"/>
        <v>0</v>
      </c>
      <c r="P130">
        <f ca="1"/>
        <v>0</v>
      </c>
      <c r="Q130">
        <f ca="1"/>
        <v>0</v>
      </c>
      <c r="R130">
        <f ca="1"/>
        <v>0</v>
      </c>
      <c r="S130">
        <f ca="1"/>
        <v>0</v>
      </c>
      <c r="T130">
        <f ca="1"/>
        <v>0</v>
      </c>
      <c r="U130">
        <f ca="1"/>
        <v>0</v>
      </c>
    </row>
    <row r="131" spans="4:21" x14ac:dyDescent="0.25">
      <c r="D131">
        <v>20</v>
      </c>
      <c r="G131">
        <f ca="1"/>
        <v>0</v>
      </c>
      <c r="H131">
        <f ca="1"/>
        <v>0</v>
      </c>
      <c r="I131">
        <f ca="1"/>
        <v>0</v>
      </c>
      <c r="J131">
        <f ca="1"/>
        <v>0</v>
      </c>
      <c r="K131">
        <f ca="1"/>
        <v>0</v>
      </c>
      <c r="L131">
        <f ca="1"/>
        <v>0</v>
      </c>
      <c r="M131">
        <f ca="1"/>
        <v>0</v>
      </c>
      <c r="N131">
        <f ca="1"/>
        <v>0</v>
      </c>
      <c r="O131">
        <f ca="1"/>
        <v>0</v>
      </c>
      <c r="P131">
        <f ca="1"/>
        <v>0</v>
      </c>
      <c r="Q131">
        <f ca="1"/>
        <v>0</v>
      </c>
      <c r="R131">
        <f ca="1"/>
        <v>0</v>
      </c>
      <c r="S131">
        <f ca="1"/>
        <v>0</v>
      </c>
      <c r="T131">
        <f ca="1"/>
        <v>0</v>
      </c>
      <c r="U131">
        <f ca="1"/>
        <v>0</v>
      </c>
    </row>
    <row r="132" spans="4:21" x14ac:dyDescent="0.25">
      <c r="D132">
        <v>21</v>
      </c>
      <c r="G132">
        <f ca="1"/>
        <v>0</v>
      </c>
      <c r="H132">
        <f ca="1"/>
        <v>0</v>
      </c>
      <c r="I132">
        <f ca="1"/>
        <v>0</v>
      </c>
      <c r="J132">
        <f ca="1"/>
        <v>0</v>
      </c>
      <c r="K132">
        <f ca="1"/>
        <v>0</v>
      </c>
      <c r="L132">
        <f ca="1"/>
        <v>0</v>
      </c>
      <c r="M132">
        <f ca="1"/>
        <v>0</v>
      </c>
      <c r="N132">
        <f ca="1"/>
        <v>0</v>
      </c>
      <c r="O132">
        <f ca="1"/>
        <v>0</v>
      </c>
      <c r="P132">
        <f ca="1"/>
        <v>0</v>
      </c>
      <c r="Q132">
        <f ca="1"/>
        <v>0</v>
      </c>
      <c r="R132">
        <f ca="1"/>
        <v>0</v>
      </c>
      <c r="S132">
        <f ca="1"/>
        <v>0</v>
      </c>
      <c r="T132">
        <f ca="1"/>
        <v>0</v>
      </c>
      <c r="U132">
        <f ca="1"/>
        <v>0</v>
      </c>
    </row>
    <row r="133" spans="4:21" x14ac:dyDescent="0.25">
      <c r="D133">
        <v>22</v>
      </c>
      <c r="G133">
        <f ca="1"/>
        <v>0</v>
      </c>
      <c r="H133">
        <f ca="1"/>
        <v>0</v>
      </c>
      <c r="I133">
        <f ca="1"/>
        <v>0</v>
      </c>
      <c r="J133">
        <f ca="1"/>
        <v>0</v>
      </c>
      <c r="K133">
        <f ca="1"/>
        <v>0</v>
      </c>
      <c r="L133">
        <f ca="1"/>
        <v>0</v>
      </c>
      <c r="M133">
        <f ca="1"/>
        <v>0</v>
      </c>
      <c r="N133">
        <f ca="1"/>
        <v>0</v>
      </c>
      <c r="O133">
        <f ca="1"/>
        <v>0</v>
      </c>
      <c r="P133">
        <f ca="1"/>
        <v>0</v>
      </c>
      <c r="Q133">
        <f ca="1"/>
        <v>0</v>
      </c>
      <c r="R133">
        <f ca="1"/>
        <v>0</v>
      </c>
      <c r="S133">
        <f ca="1"/>
        <v>0</v>
      </c>
      <c r="T133">
        <f ca="1"/>
        <v>0</v>
      </c>
      <c r="U133">
        <f ca="1"/>
        <v>0</v>
      </c>
    </row>
    <row r="134" spans="4:21" x14ac:dyDescent="0.25">
      <c r="D134">
        <v>23</v>
      </c>
      <c r="G134">
        <f ca="1"/>
        <v>0</v>
      </c>
      <c r="H134">
        <f ca="1"/>
        <v>0</v>
      </c>
      <c r="I134">
        <f ca="1"/>
        <v>0</v>
      </c>
      <c r="J134">
        <f ca="1"/>
        <v>0</v>
      </c>
      <c r="K134">
        <f ca="1"/>
        <v>0</v>
      </c>
      <c r="L134">
        <f ca="1"/>
        <v>0</v>
      </c>
      <c r="M134">
        <f ca="1"/>
        <v>0</v>
      </c>
      <c r="N134">
        <f ca="1"/>
        <v>0</v>
      </c>
      <c r="O134">
        <f ca="1"/>
        <v>0</v>
      </c>
      <c r="P134">
        <f ca="1"/>
        <v>0</v>
      </c>
      <c r="Q134">
        <f ca="1"/>
        <v>0</v>
      </c>
      <c r="R134">
        <f ca="1"/>
        <v>0</v>
      </c>
      <c r="S134">
        <f ca="1"/>
        <v>0</v>
      </c>
      <c r="T134">
        <f ca="1"/>
        <v>0</v>
      </c>
      <c r="U134">
        <f ca="1"/>
        <v>0</v>
      </c>
    </row>
    <row r="135" spans="4:21" x14ac:dyDescent="0.25">
      <c r="D135">
        <v>24</v>
      </c>
      <c r="G135">
        <f ca="1"/>
        <v>0</v>
      </c>
      <c r="H135">
        <f ca="1"/>
        <v>0</v>
      </c>
      <c r="I135">
        <f ca="1"/>
        <v>0</v>
      </c>
      <c r="J135">
        <f ca="1"/>
        <v>0</v>
      </c>
      <c r="K135">
        <f ca="1"/>
        <v>0</v>
      </c>
      <c r="L135">
        <f ca="1"/>
        <v>0</v>
      </c>
      <c r="M135">
        <f ca="1"/>
        <v>0</v>
      </c>
      <c r="N135">
        <f ca="1"/>
        <v>0</v>
      </c>
      <c r="O135">
        <f ca="1"/>
        <v>0</v>
      </c>
      <c r="P135">
        <f ca="1"/>
        <v>0</v>
      </c>
      <c r="Q135">
        <f ca="1"/>
        <v>0</v>
      </c>
      <c r="R135">
        <f ca="1"/>
        <v>0</v>
      </c>
      <c r="S135">
        <f ca="1"/>
        <v>0</v>
      </c>
      <c r="T135">
        <f ca="1"/>
        <v>0</v>
      </c>
      <c r="U135">
        <f ca="1"/>
        <v>0</v>
      </c>
    </row>
    <row r="136" spans="4:21" x14ac:dyDescent="0.25">
      <c r="D136">
        <v>25</v>
      </c>
      <c r="G136">
        <f ca="1"/>
        <v>0</v>
      </c>
      <c r="H136">
        <f ca="1"/>
        <v>0</v>
      </c>
      <c r="I136">
        <f ca="1"/>
        <v>0</v>
      </c>
      <c r="J136">
        <f ca="1"/>
        <v>0</v>
      </c>
      <c r="K136">
        <f ca="1"/>
        <v>0</v>
      </c>
      <c r="L136">
        <f ca="1"/>
        <v>0</v>
      </c>
      <c r="M136">
        <f ca="1"/>
        <v>0</v>
      </c>
      <c r="N136">
        <f ca="1"/>
        <v>0</v>
      </c>
      <c r="O136">
        <f ca="1"/>
        <v>0</v>
      </c>
      <c r="P136">
        <f ca="1"/>
        <v>0</v>
      </c>
      <c r="Q136">
        <f ca="1"/>
        <v>0</v>
      </c>
      <c r="R136">
        <f ca="1"/>
        <v>0</v>
      </c>
      <c r="S136">
        <f ca="1"/>
        <v>0</v>
      </c>
      <c r="T136">
        <f ca="1"/>
        <v>0</v>
      </c>
      <c r="U136">
        <f ca="1"/>
        <v>0</v>
      </c>
    </row>
    <row r="137" spans="4:21" x14ac:dyDescent="0.25">
      <c r="D137">
        <v>26</v>
      </c>
      <c r="G137">
        <f ca="1"/>
        <v>0</v>
      </c>
      <c r="H137">
        <f ca="1"/>
        <v>0</v>
      </c>
      <c r="I137">
        <f ca="1"/>
        <v>0</v>
      </c>
      <c r="J137">
        <f ca="1"/>
        <v>0</v>
      </c>
      <c r="K137">
        <f ca="1"/>
        <v>0</v>
      </c>
      <c r="L137">
        <f ca="1"/>
        <v>0</v>
      </c>
      <c r="M137">
        <f ca="1"/>
        <v>0</v>
      </c>
      <c r="N137">
        <f ca="1"/>
        <v>0</v>
      </c>
      <c r="O137">
        <f ca="1"/>
        <v>0</v>
      </c>
      <c r="P137">
        <f ca="1"/>
        <v>0</v>
      </c>
      <c r="Q137">
        <f ca="1"/>
        <v>0</v>
      </c>
      <c r="R137">
        <f ca="1"/>
        <v>0</v>
      </c>
      <c r="S137">
        <f ca="1"/>
        <v>0</v>
      </c>
      <c r="T137">
        <f ca="1"/>
        <v>0</v>
      </c>
      <c r="U137">
        <f ca="1"/>
        <v>0</v>
      </c>
    </row>
    <row r="138" spans="4:21" x14ac:dyDescent="0.25">
      <c r="G138">
        <f ca="1"/>
        <v>0</v>
      </c>
      <c r="H138">
        <f ca="1"/>
        <v>0</v>
      </c>
      <c r="I138">
        <f ca="1"/>
        <v>0</v>
      </c>
      <c r="J138">
        <f ca="1"/>
        <v>0</v>
      </c>
      <c r="K138">
        <f ca="1"/>
        <v>0</v>
      </c>
      <c r="L138">
        <f ca="1"/>
        <v>0</v>
      </c>
      <c r="M138">
        <f ca="1"/>
        <v>0</v>
      </c>
      <c r="N138">
        <f ca="1"/>
        <v>0</v>
      </c>
      <c r="O138">
        <f ca="1"/>
        <v>0</v>
      </c>
      <c r="P138">
        <f ca="1"/>
        <v>0</v>
      </c>
      <c r="Q138">
        <f ca="1"/>
        <v>0</v>
      </c>
      <c r="R138">
        <f ca="1"/>
        <v>0</v>
      </c>
      <c r="S138">
        <f ca="1"/>
        <v>0</v>
      </c>
      <c r="T138">
        <f ca="1"/>
        <v>0</v>
      </c>
      <c r="U138">
        <f ca="1"/>
        <v>0</v>
      </c>
    </row>
    <row r="140" spans="4:21" ht="72" customHeight="1" x14ac:dyDescent="0.25"/>
  </sheetData>
  <sortState xmlns:xlrd2="http://schemas.microsoft.com/office/spreadsheetml/2017/richdata2" ref="A7:AT42">
    <sortCondition ref="D7:D42"/>
  </sortState>
  <phoneticPr fontId="3" type="noConversion"/>
  <pageMargins left="0.7" right="0.7" top="0.75" bottom="0.75" header="0.3" footer="0.3"/>
  <pageSetup orientation="portrait" r:id="rId1"/>
  <extLst>
    <ext xmlns:x14="http://schemas.microsoft.com/office/spreadsheetml/2009/9/main" uri="{05C60535-1F16-4fd2-B633-F4F36F0B64E0}">
      <x14:sparklineGroups xmlns:xm="http://schemas.microsoft.com/office/excel/2006/main">
        <x14:sparklineGroup type="column" displayEmptyCellsAs="gap" xr2:uid="{7EA7115D-8F08-46A4-8C67-77542ED7A81E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Summary!G112:G138</xm:f>
              <xm:sqref>G140</xm:sqref>
            </x14:sparkline>
            <x14:sparkline>
              <xm:f>Summary!H112:H138</xm:f>
              <xm:sqref>H140</xm:sqref>
            </x14:sparkline>
            <x14:sparkline>
              <xm:f>Summary!I112:I138</xm:f>
              <xm:sqref>I140</xm:sqref>
            </x14:sparkline>
            <x14:sparkline>
              <xm:f>Summary!J112:J138</xm:f>
              <xm:sqref>J140</xm:sqref>
            </x14:sparkline>
            <x14:sparkline>
              <xm:f>Summary!K112:K138</xm:f>
              <xm:sqref>K140</xm:sqref>
            </x14:sparkline>
            <x14:sparkline>
              <xm:f>Summary!L112:L138</xm:f>
              <xm:sqref>L140</xm:sqref>
            </x14:sparkline>
            <x14:sparkline>
              <xm:f>Summary!M112:M138</xm:f>
              <xm:sqref>M140</xm:sqref>
            </x14:sparkline>
            <x14:sparkline>
              <xm:f>Summary!N112:N138</xm:f>
              <xm:sqref>N140</xm:sqref>
            </x14:sparkline>
            <x14:sparkline>
              <xm:f>Summary!O112:O138</xm:f>
              <xm:sqref>O140</xm:sqref>
            </x14:sparkline>
            <x14:sparkline>
              <xm:f>Summary!P112:P138</xm:f>
              <xm:sqref>P140</xm:sqref>
            </x14:sparkline>
            <x14:sparkline>
              <xm:f>Summary!Q112:Q138</xm:f>
              <xm:sqref>Q140</xm:sqref>
            </x14:sparkline>
            <x14:sparkline>
              <xm:f>Summary!R112:R138</xm:f>
              <xm:sqref>R140</xm:sqref>
            </x14:sparkline>
            <x14:sparkline>
              <xm:f>Summary!S112:S138</xm:f>
              <xm:sqref>S140</xm:sqref>
            </x14:sparkline>
            <x14:sparkline>
              <xm:f>Summary!T112:T138</xm:f>
              <xm:sqref>T140</xm:sqref>
            </x14:sparkline>
            <x14:sparkline>
              <xm:f>Summary!U112:U138</xm:f>
              <xm:sqref>U140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1DC583-90F0-4F00-A64E-D903AAA37754}">
  <sheetPr codeName="Sheet2"/>
  <dimension ref="A1:R29"/>
  <sheetViews>
    <sheetView workbookViewId="0"/>
  </sheetViews>
  <sheetFormatPr defaultRowHeight="15" x14ac:dyDescent="0.25"/>
  <cols>
    <col min="1" max="1" width="26.5703125" bestFit="1" customWidth="1"/>
    <col min="2" max="2" width="14.140625" bestFit="1" customWidth="1"/>
    <col min="3" max="3" width="18.28515625" bestFit="1" customWidth="1"/>
    <col min="4" max="4" width="8" bestFit="1" customWidth="1"/>
    <col min="5" max="5" width="5.7109375" bestFit="1" customWidth="1"/>
    <col min="6" max="6" width="2" bestFit="1" customWidth="1"/>
    <col min="7" max="7" width="9" bestFit="1" customWidth="1"/>
    <col min="8" max="8" width="8.7109375" bestFit="1" customWidth="1"/>
    <col min="9" max="9" width="7" bestFit="1" customWidth="1"/>
    <col min="10" max="10" width="7.7109375" bestFit="1" customWidth="1"/>
    <col min="11" max="12" width="7" bestFit="1" customWidth="1"/>
    <col min="13" max="14" width="8" bestFit="1" customWidth="1"/>
    <col min="15" max="15" width="5.42578125" bestFit="1" customWidth="1"/>
    <col min="16" max="16" width="7" bestFit="1" customWidth="1"/>
    <col min="17" max="17" width="5" bestFit="1" customWidth="1"/>
    <col min="18" max="18" width="5.42578125" bestFit="1" customWidth="1"/>
  </cols>
  <sheetData>
    <row r="1" spans="1:18" x14ac:dyDescent="0.25">
      <c r="A1" t="s">
        <v>86</v>
      </c>
      <c r="B1" t="s">
        <v>87</v>
      </c>
    </row>
    <row r="2" spans="1:18" x14ac:dyDescent="0.25">
      <c r="A2" t="s">
        <v>88</v>
      </c>
      <c r="B2" t="s">
        <v>89</v>
      </c>
    </row>
    <row r="3" spans="1:18" x14ac:dyDescent="0.25">
      <c r="A3" t="s">
        <v>90</v>
      </c>
      <c r="B3" t="s">
        <v>91</v>
      </c>
    </row>
    <row r="4" spans="1:18" x14ac:dyDescent="0.25">
      <c r="A4" t="s">
        <v>92</v>
      </c>
      <c r="B4" t="s">
        <v>93</v>
      </c>
    </row>
    <row r="5" spans="1:18" x14ac:dyDescent="0.25">
      <c r="A5" t="s">
        <v>94</v>
      </c>
    </row>
    <row r="6" spans="1:18" x14ac:dyDescent="0.25">
      <c r="A6" t="s">
        <v>95</v>
      </c>
    </row>
    <row r="7" spans="1:18" x14ac:dyDescent="0.25">
      <c r="A7" t="s">
        <v>96</v>
      </c>
    </row>
    <row r="8" spans="1:18" x14ac:dyDescent="0.25">
      <c r="A8" t="s">
        <v>88</v>
      </c>
    </row>
    <row r="9" spans="1:18" x14ac:dyDescent="0.25">
      <c r="A9" t="s">
        <v>97</v>
      </c>
    </row>
    <row r="10" spans="1:18" x14ac:dyDescent="0.25">
      <c r="A10">
        <v>4</v>
      </c>
      <c r="B10" t="s">
        <v>98</v>
      </c>
      <c r="C10" t="s">
        <v>99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P10">
        <v>0</v>
      </c>
      <c r="Q10">
        <v>0.05</v>
      </c>
      <c r="R10" t="s">
        <v>100</v>
      </c>
    </row>
    <row r="11" spans="1:18" x14ac:dyDescent="0.25">
      <c r="A11">
        <v>5</v>
      </c>
      <c r="B11" t="s">
        <v>101</v>
      </c>
      <c r="C11" t="s">
        <v>99</v>
      </c>
      <c r="D11">
        <v>62.5</v>
      </c>
      <c r="E11">
        <v>37.5</v>
      </c>
      <c r="F11">
        <v>0</v>
      </c>
      <c r="G11">
        <v>62.479500000000002</v>
      </c>
      <c r="H11">
        <v>37.5167</v>
      </c>
      <c r="I11">
        <v>8.7999999999999995E-2</v>
      </c>
      <c r="J11">
        <v>-2.0500000000000001E-2</v>
      </c>
      <c r="K11">
        <v>1.67E-2</v>
      </c>
      <c r="L11">
        <v>8.7999999999999995E-2</v>
      </c>
      <c r="P11">
        <v>0.18379999999999999</v>
      </c>
      <c r="Q11">
        <v>0.05</v>
      </c>
      <c r="R11" t="s">
        <v>102</v>
      </c>
    </row>
    <row r="12" spans="1:18" x14ac:dyDescent="0.25">
      <c r="A12">
        <v>6</v>
      </c>
      <c r="B12" t="s">
        <v>103</v>
      </c>
      <c r="C12" t="s">
        <v>99</v>
      </c>
      <c r="D12">
        <v>-63.5</v>
      </c>
      <c r="E12">
        <v>37.5</v>
      </c>
      <c r="F12">
        <v>0</v>
      </c>
      <c r="G12">
        <v>-63.4514</v>
      </c>
      <c r="H12">
        <v>37.5167</v>
      </c>
      <c r="I12">
        <v>7.1099999999999997E-2</v>
      </c>
      <c r="J12">
        <v>4.8599999999999997E-2</v>
      </c>
      <c r="K12">
        <v>1.67E-2</v>
      </c>
      <c r="L12">
        <v>7.1099999999999997E-2</v>
      </c>
      <c r="P12">
        <v>0.1754</v>
      </c>
      <c r="Q12">
        <v>0.05</v>
      </c>
      <c r="R12" t="s">
        <v>102</v>
      </c>
    </row>
    <row r="13" spans="1:18" x14ac:dyDescent="0.25">
      <c r="A13">
        <v>7</v>
      </c>
      <c r="B13" t="s">
        <v>104</v>
      </c>
      <c r="C13" t="s">
        <v>99</v>
      </c>
      <c r="D13">
        <v>-62.5</v>
      </c>
      <c r="E13">
        <v>-36.5</v>
      </c>
      <c r="F13">
        <v>0</v>
      </c>
      <c r="G13">
        <v>-62.478299999999997</v>
      </c>
      <c r="H13">
        <v>-36.4619</v>
      </c>
      <c r="I13">
        <v>8.8300000000000003E-2</v>
      </c>
      <c r="J13">
        <v>2.1700000000000001E-2</v>
      </c>
      <c r="K13">
        <v>3.8100000000000002E-2</v>
      </c>
      <c r="L13">
        <v>8.8300000000000003E-2</v>
      </c>
      <c r="P13">
        <v>0.19719999999999999</v>
      </c>
      <c r="Q13">
        <v>0.05</v>
      </c>
      <c r="R13" t="s">
        <v>102</v>
      </c>
    </row>
    <row r="14" spans="1:18" x14ac:dyDescent="0.25">
      <c r="A14">
        <v>8</v>
      </c>
      <c r="B14" t="s">
        <v>105</v>
      </c>
      <c r="C14" t="s">
        <v>99</v>
      </c>
      <c r="D14">
        <v>61.5</v>
      </c>
      <c r="E14">
        <v>-37.5</v>
      </c>
      <c r="F14">
        <v>0</v>
      </c>
      <c r="G14">
        <v>61.441099999999999</v>
      </c>
      <c r="H14">
        <v>-37.465499999999999</v>
      </c>
      <c r="I14">
        <v>7.1499999999999994E-2</v>
      </c>
      <c r="J14">
        <v>-5.8900000000000001E-2</v>
      </c>
      <c r="K14">
        <v>3.4500000000000003E-2</v>
      </c>
      <c r="L14">
        <v>7.1499999999999994E-2</v>
      </c>
      <c r="P14">
        <v>0.19769999999999999</v>
      </c>
      <c r="Q14">
        <v>0.05</v>
      </c>
      <c r="R14" t="s">
        <v>102</v>
      </c>
    </row>
    <row r="15" spans="1:18" x14ac:dyDescent="0.25">
      <c r="A15">
        <v>9</v>
      </c>
      <c r="B15" t="s">
        <v>0</v>
      </c>
      <c r="C15" t="s">
        <v>106</v>
      </c>
      <c r="D15">
        <v>25.4</v>
      </c>
      <c r="G15">
        <v>25.3979</v>
      </c>
      <c r="J15">
        <v>-2.0999999999999999E-3</v>
      </c>
      <c r="M15">
        <v>25.5</v>
      </c>
      <c r="N15">
        <v>25.3</v>
      </c>
      <c r="O15" t="s">
        <v>100</v>
      </c>
      <c r="P15">
        <v>4.0000000000000001E-3</v>
      </c>
      <c r="Q15">
        <v>0.05</v>
      </c>
      <c r="R15" t="s">
        <v>100</v>
      </c>
    </row>
    <row r="16" spans="1:18" x14ac:dyDescent="0.25">
      <c r="A16">
        <v>10</v>
      </c>
      <c r="B16" t="s">
        <v>1</v>
      </c>
      <c r="C16" t="s">
        <v>106</v>
      </c>
      <c r="D16">
        <v>25.4</v>
      </c>
      <c r="G16">
        <v>25.401800000000001</v>
      </c>
      <c r="J16">
        <v>1.8E-3</v>
      </c>
      <c r="M16">
        <v>25.5</v>
      </c>
      <c r="N16">
        <v>25.3</v>
      </c>
      <c r="O16" t="s">
        <v>100</v>
      </c>
      <c r="P16">
        <v>5.0000000000000001E-3</v>
      </c>
      <c r="Q16">
        <v>0.05</v>
      </c>
      <c r="R16" t="s">
        <v>100</v>
      </c>
    </row>
    <row r="17" spans="1:18" x14ac:dyDescent="0.25">
      <c r="A17">
        <v>11</v>
      </c>
      <c r="B17" t="s">
        <v>2</v>
      </c>
      <c r="C17" t="s">
        <v>106</v>
      </c>
      <c r="D17">
        <v>25.4</v>
      </c>
      <c r="G17">
        <v>25.4008</v>
      </c>
      <c r="J17">
        <v>8.0000000000000004E-4</v>
      </c>
      <c r="M17">
        <v>25.5</v>
      </c>
      <c r="N17">
        <v>25.3</v>
      </c>
      <c r="O17" t="s">
        <v>100</v>
      </c>
      <c r="P17">
        <v>5.4999999999999997E-3</v>
      </c>
      <c r="Q17">
        <v>0.05</v>
      </c>
      <c r="R17" t="s">
        <v>100</v>
      </c>
    </row>
    <row r="18" spans="1:18" x14ac:dyDescent="0.25">
      <c r="A18">
        <v>12</v>
      </c>
      <c r="B18" t="s">
        <v>3</v>
      </c>
      <c r="C18" t="s">
        <v>106</v>
      </c>
      <c r="D18">
        <v>25.4</v>
      </c>
      <c r="G18">
        <v>25.403199999999998</v>
      </c>
      <c r="J18">
        <v>3.2000000000000002E-3</v>
      </c>
      <c r="M18">
        <v>25.5</v>
      </c>
      <c r="N18">
        <v>25.3</v>
      </c>
      <c r="O18" t="s">
        <v>100</v>
      </c>
      <c r="P18">
        <v>4.7999999999999996E-3</v>
      </c>
      <c r="Q18">
        <v>0.05</v>
      </c>
      <c r="R18" t="s">
        <v>100</v>
      </c>
    </row>
    <row r="19" spans="1:18" x14ac:dyDescent="0.25">
      <c r="A19">
        <v>13</v>
      </c>
      <c r="B19" t="s">
        <v>4</v>
      </c>
      <c r="C19" t="s">
        <v>106</v>
      </c>
      <c r="D19">
        <v>25.4</v>
      </c>
      <c r="G19">
        <v>25.401499999999999</v>
      </c>
      <c r="J19">
        <v>1.5E-3</v>
      </c>
      <c r="M19">
        <v>25.5</v>
      </c>
      <c r="N19">
        <v>25.3</v>
      </c>
      <c r="O19" t="s">
        <v>100</v>
      </c>
      <c r="P19">
        <v>5.1999999999999998E-3</v>
      </c>
      <c r="Q19">
        <v>0.05</v>
      </c>
      <c r="R19" t="s">
        <v>100</v>
      </c>
    </row>
    <row r="20" spans="1:18" x14ac:dyDescent="0.25">
      <c r="A20">
        <v>14</v>
      </c>
      <c r="B20" t="s">
        <v>5</v>
      </c>
      <c r="C20" t="s">
        <v>107</v>
      </c>
      <c r="D20">
        <v>72.887</v>
      </c>
      <c r="G20">
        <v>72.878</v>
      </c>
      <c r="J20">
        <v>-8.9999999999999993E-3</v>
      </c>
      <c r="M20">
        <v>72.986999999999995</v>
      </c>
      <c r="N20">
        <v>72.787000000000006</v>
      </c>
      <c r="O20" t="s">
        <v>100</v>
      </c>
    </row>
    <row r="21" spans="1:18" x14ac:dyDescent="0.25">
      <c r="A21">
        <v>15</v>
      </c>
      <c r="B21" t="s">
        <v>6</v>
      </c>
      <c r="C21" t="s">
        <v>107</v>
      </c>
      <c r="D21">
        <v>73.745999999999995</v>
      </c>
      <c r="G21">
        <v>73.712900000000005</v>
      </c>
      <c r="J21">
        <v>-3.3099999999999997E-2</v>
      </c>
      <c r="M21">
        <v>73.846000000000004</v>
      </c>
      <c r="N21">
        <v>73.646000000000001</v>
      </c>
      <c r="O21" t="s">
        <v>100</v>
      </c>
    </row>
    <row r="22" spans="1:18" x14ac:dyDescent="0.25">
      <c r="A22">
        <v>16</v>
      </c>
      <c r="B22" t="s">
        <v>7</v>
      </c>
      <c r="C22" t="s">
        <v>107</v>
      </c>
      <c r="D22">
        <v>72.376999999999995</v>
      </c>
      <c r="G22">
        <v>72.339500000000001</v>
      </c>
      <c r="J22">
        <v>-3.7499999999999999E-2</v>
      </c>
      <c r="M22">
        <v>72.477000000000004</v>
      </c>
      <c r="N22">
        <v>72.277000000000001</v>
      </c>
      <c r="O22" t="s">
        <v>100</v>
      </c>
    </row>
    <row r="23" spans="1:18" x14ac:dyDescent="0.25">
      <c r="A23">
        <v>17</v>
      </c>
      <c r="B23" t="s">
        <v>8</v>
      </c>
      <c r="C23" t="s">
        <v>107</v>
      </c>
      <c r="D23">
        <v>72.031000000000006</v>
      </c>
      <c r="G23">
        <v>71.962999999999994</v>
      </c>
      <c r="J23">
        <v>-6.8000000000000005E-2</v>
      </c>
      <c r="M23">
        <v>72.131</v>
      </c>
      <c r="N23">
        <v>71.930999999999997</v>
      </c>
      <c r="O23" t="s">
        <v>100</v>
      </c>
    </row>
    <row r="24" spans="1:18" x14ac:dyDescent="0.25">
      <c r="A24">
        <v>18</v>
      </c>
      <c r="B24" t="s">
        <v>9</v>
      </c>
      <c r="C24" t="s">
        <v>107</v>
      </c>
      <c r="D24">
        <v>75.007000000000005</v>
      </c>
      <c r="G24">
        <v>74.989400000000003</v>
      </c>
      <c r="J24">
        <v>-1.7600000000000001E-2</v>
      </c>
      <c r="M24">
        <v>75.106999999999999</v>
      </c>
      <c r="N24">
        <v>74.906999999999996</v>
      </c>
      <c r="O24" t="s">
        <v>100</v>
      </c>
    </row>
    <row r="25" spans="1:18" x14ac:dyDescent="0.25">
      <c r="A25">
        <v>19</v>
      </c>
      <c r="B25" t="s">
        <v>10</v>
      </c>
      <c r="C25" t="s">
        <v>107</v>
      </c>
      <c r="D25">
        <v>74.007000000000005</v>
      </c>
      <c r="G25">
        <v>73.984999999999999</v>
      </c>
      <c r="J25">
        <v>-2.1999999999999999E-2</v>
      </c>
      <c r="M25">
        <v>74.106999999999999</v>
      </c>
      <c r="N25">
        <v>73.906999999999996</v>
      </c>
      <c r="O25" t="s">
        <v>100</v>
      </c>
    </row>
    <row r="26" spans="1:18" x14ac:dyDescent="0.25">
      <c r="A26">
        <v>20</v>
      </c>
      <c r="B26" t="s">
        <v>11</v>
      </c>
      <c r="C26" t="s">
        <v>107</v>
      </c>
      <c r="D26">
        <v>126</v>
      </c>
      <c r="G26">
        <v>125.93089999999999</v>
      </c>
      <c r="J26">
        <v>-6.9099999999999995E-2</v>
      </c>
      <c r="M26">
        <v>126.1</v>
      </c>
      <c r="N26">
        <v>125.9</v>
      </c>
      <c r="O26" t="s">
        <v>100</v>
      </c>
    </row>
    <row r="27" spans="1:18" x14ac:dyDescent="0.25">
      <c r="A27">
        <v>21</v>
      </c>
      <c r="B27" t="s">
        <v>12</v>
      </c>
      <c r="C27" t="s">
        <v>107</v>
      </c>
      <c r="D27">
        <v>124.004</v>
      </c>
      <c r="G27">
        <v>123.9234</v>
      </c>
      <c r="J27">
        <v>-8.0600000000000005E-2</v>
      </c>
      <c r="M27">
        <v>124.104</v>
      </c>
      <c r="N27">
        <v>123.904</v>
      </c>
      <c r="O27" t="s">
        <v>100</v>
      </c>
    </row>
    <row r="28" spans="1:18" x14ac:dyDescent="0.25">
      <c r="A28">
        <v>22</v>
      </c>
      <c r="B28" t="s">
        <v>13</v>
      </c>
      <c r="C28" t="s">
        <v>107</v>
      </c>
      <c r="D28">
        <v>145.262</v>
      </c>
      <c r="G28">
        <v>145.21459999999999</v>
      </c>
      <c r="J28">
        <v>-4.7399999999999998E-2</v>
      </c>
      <c r="M28">
        <v>145.36199999999999</v>
      </c>
      <c r="N28">
        <v>145.16200000000001</v>
      </c>
      <c r="O28" t="s">
        <v>100</v>
      </c>
    </row>
    <row r="29" spans="1:18" x14ac:dyDescent="0.25">
      <c r="A29">
        <v>23</v>
      </c>
      <c r="B29" t="s">
        <v>14</v>
      </c>
      <c r="C29" t="s">
        <v>107</v>
      </c>
      <c r="D29">
        <v>145.774</v>
      </c>
      <c r="G29">
        <v>145.67250000000001</v>
      </c>
      <c r="J29">
        <v>-0.10150000000000001</v>
      </c>
      <c r="M29">
        <v>145.874</v>
      </c>
      <c r="N29">
        <v>145.67400000000001</v>
      </c>
      <c r="O29" t="s">
        <v>102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BB230-33CD-42C6-B1F6-DA1EE35743E1}">
  <sheetPr codeName="Sheet3"/>
  <dimension ref="A1:R29"/>
  <sheetViews>
    <sheetView workbookViewId="0"/>
  </sheetViews>
  <sheetFormatPr defaultRowHeight="15" x14ac:dyDescent="0.25"/>
  <cols>
    <col min="1" max="1" width="26.5703125" bestFit="1" customWidth="1"/>
    <col min="2" max="2" width="14.140625" bestFit="1" customWidth="1"/>
    <col min="3" max="3" width="18.28515625" bestFit="1" customWidth="1"/>
    <col min="4" max="4" width="8" bestFit="1" customWidth="1"/>
    <col min="5" max="5" width="5.7109375" bestFit="1" customWidth="1"/>
    <col min="6" max="6" width="2" bestFit="1" customWidth="1"/>
    <col min="7" max="7" width="9" bestFit="1" customWidth="1"/>
    <col min="8" max="8" width="8.7109375" bestFit="1" customWidth="1"/>
    <col min="9" max="9" width="7" bestFit="1" customWidth="1"/>
    <col min="10" max="10" width="7.7109375" bestFit="1" customWidth="1"/>
    <col min="11" max="12" width="7" bestFit="1" customWidth="1"/>
    <col min="13" max="14" width="8" bestFit="1" customWidth="1"/>
    <col min="15" max="15" width="5.42578125" bestFit="1" customWidth="1"/>
    <col min="16" max="16" width="7" bestFit="1" customWidth="1"/>
    <col min="17" max="17" width="5" bestFit="1" customWidth="1"/>
    <col min="18" max="18" width="5.42578125" bestFit="1" customWidth="1"/>
  </cols>
  <sheetData>
    <row r="1" spans="1:18" x14ac:dyDescent="0.25">
      <c r="A1" t="s">
        <v>86</v>
      </c>
      <c r="B1" t="s">
        <v>87</v>
      </c>
    </row>
    <row r="2" spans="1:18" x14ac:dyDescent="0.25">
      <c r="A2" t="s">
        <v>88</v>
      </c>
      <c r="B2" t="s">
        <v>89</v>
      </c>
    </row>
    <row r="3" spans="1:18" x14ac:dyDescent="0.25">
      <c r="A3" t="s">
        <v>90</v>
      </c>
      <c r="B3" t="s">
        <v>108</v>
      </c>
    </row>
    <row r="4" spans="1:18" x14ac:dyDescent="0.25">
      <c r="A4" t="s">
        <v>92</v>
      </c>
      <c r="B4" t="s">
        <v>109</v>
      </c>
    </row>
    <row r="5" spans="1:18" x14ac:dyDescent="0.25">
      <c r="A5" t="s">
        <v>94</v>
      </c>
    </row>
    <row r="6" spans="1:18" x14ac:dyDescent="0.25">
      <c r="A6" t="s">
        <v>95</v>
      </c>
    </row>
    <row r="7" spans="1:18" x14ac:dyDescent="0.25">
      <c r="A7" t="s">
        <v>96</v>
      </c>
    </row>
    <row r="8" spans="1:18" x14ac:dyDescent="0.25">
      <c r="A8" t="s">
        <v>88</v>
      </c>
    </row>
    <row r="9" spans="1:18" x14ac:dyDescent="0.25">
      <c r="A9" t="s">
        <v>97</v>
      </c>
    </row>
    <row r="10" spans="1:18" x14ac:dyDescent="0.25">
      <c r="A10">
        <v>4</v>
      </c>
      <c r="B10" t="s">
        <v>98</v>
      </c>
      <c r="C10" t="s">
        <v>99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P10">
        <v>0</v>
      </c>
      <c r="Q10">
        <v>0.05</v>
      </c>
      <c r="R10" t="s">
        <v>100</v>
      </c>
    </row>
    <row r="11" spans="1:18" x14ac:dyDescent="0.25">
      <c r="A11">
        <v>5</v>
      </c>
      <c r="B11" t="s">
        <v>101</v>
      </c>
      <c r="C11" t="s">
        <v>99</v>
      </c>
      <c r="D11">
        <v>62.5</v>
      </c>
      <c r="E11">
        <v>37.5</v>
      </c>
      <c r="F11">
        <v>0</v>
      </c>
      <c r="G11">
        <v>62.479199999999999</v>
      </c>
      <c r="H11">
        <v>37.516800000000003</v>
      </c>
      <c r="I11">
        <v>8.8400000000000006E-2</v>
      </c>
      <c r="J11">
        <v>-2.0799999999999999E-2</v>
      </c>
      <c r="K11">
        <v>1.6799999999999999E-2</v>
      </c>
      <c r="L11">
        <v>8.8400000000000006E-2</v>
      </c>
      <c r="P11">
        <v>0.1847</v>
      </c>
      <c r="Q11">
        <v>0.05</v>
      </c>
      <c r="R11" t="s">
        <v>102</v>
      </c>
    </row>
    <row r="12" spans="1:18" x14ac:dyDescent="0.25">
      <c r="A12">
        <v>6</v>
      </c>
      <c r="B12" t="s">
        <v>103</v>
      </c>
      <c r="C12" t="s">
        <v>99</v>
      </c>
      <c r="D12">
        <v>-63.5</v>
      </c>
      <c r="E12">
        <v>37.5</v>
      </c>
      <c r="F12">
        <v>0</v>
      </c>
      <c r="G12">
        <v>-63.451900000000002</v>
      </c>
      <c r="H12">
        <v>37.516800000000003</v>
      </c>
      <c r="I12">
        <v>7.2300000000000003E-2</v>
      </c>
      <c r="J12">
        <v>4.8099999999999997E-2</v>
      </c>
      <c r="K12">
        <v>1.6799999999999999E-2</v>
      </c>
      <c r="L12">
        <v>7.2300000000000003E-2</v>
      </c>
      <c r="P12">
        <v>0.1769</v>
      </c>
      <c r="Q12">
        <v>0.05</v>
      </c>
      <c r="R12" t="s">
        <v>102</v>
      </c>
    </row>
    <row r="13" spans="1:18" x14ac:dyDescent="0.25">
      <c r="A13">
        <v>7</v>
      </c>
      <c r="B13" t="s">
        <v>104</v>
      </c>
      <c r="C13" t="s">
        <v>99</v>
      </c>
      <c r="D13">
        <v>-62.5</v>
      </c>
      <c r="E13">
        <v>-36.5</v>
      </c>
      <c r="F13">
        <v>0</v>
      </c>
      <c r="G13">
        <v>-62.478499999999997</v>
      </c>
      <c r="H13">
        <v>-36.461399999999998</v>
      </c>
      <c r="I13">
        <v>8.8599999999999998E-2</v>
      </c>
      <c r="J13">
        <v>2.1499999999999998E-2</v>
      </c>
      <c r="K13">
        <v>3.8600000000000002E-2</v>
      </c>
      <c r="L13">
        <v>8.8599999999999998E-2</v>
      </c>
      <c r="P13">
        <v>0.1981</v>
      </c>
      <c r="Q13">
        <v>0.05</v>
      </c>
      <c r="R13" t="s">
        <v>102</v>
      </c>
    </row>
    <row r="14" spans="1:18" x14ac:dyDescent="0.25">
      <c r="A14">
        <v>8</v>
      </c>
      <c r="B14" t="s">
        <v>105</v>
      </c>
      <c r="C14" t="s">
        <v>99</v>
      </c>
      <c r="D14">
        <v>61.5</v>
      </c>
      <c r="E14">
        <v>-37.5</v>
      </c>
      <c r="F14">
        <v>0</v>
      </c>
      <c r="G14">
        <v>61.440100000000001</v>
      </c>
      <c r="H14">
        <v>-37.465699999999998</v>
      </c>
      <c r="I14">
        <v>7.2800000000000004E-2</v>
      </c>
      <c r="J14">
        <v>-5.9900000000000002E-2</v>
      </c>
      <c r="K14">
        <v>3.4299999999999997E-2</v>
      </c>
      <c r="L14">
        <v>7.2800000000000004E-2</v>
      </c>
      <c r="P14">
        <v>0.2006</v>
      </c>
      <c r="Q14">
        <v>0.05</v>
      </c>
      <c r="R14" t="s">
        <v>102</v>
      </c>
    </row>
    <row r="15" spans="1:18" x14ac:dyDescent="0.25">
      <c r="A15">
        <v>9</v>
      </c>
      <c r="B15" t="s">
        <v>0</v>
      </c>
      <c r="C15" t="s">
        <v>106</v>
      </c>
      <c r="D15">
        <v>25.4</v>
      </c>
      <c r="G15">
        <v>25.397500000000001</v>
      </c>
      <c r="J15">
        <v>-2.5000000000000001E-3</v>
      </c>
      <c r="M15">
        <v>25.5</v>
      </c>
      <c r="N15">
        <v>25.3</v>
      </c>
      <c r="O15" t="s">
        <v>100</v>
      </c>
      <c r="P15">
        <v>5.5999999999999999E-3</v>
      </c>
      <c r="Q15">
        <v>0.05</v>
      </c>
      <c r="R15" t="s">
        <v>100</v>
      </c>
    </row>
    <row r="16" spans="1:18" x14ac:dyDescent="0.25">
      <c r="A16">
        <v>10</v>
      </c>
      <c r="B16" t="s">
        <v>1</v>
      </c>
      <c r="C16" t="s">
        <v>106</v>
      </c>
      <c r="D16">
        <v>25.4</v>
      </c>
      <c r="G16">
        <v>25.401900000000001</v>
      </c>
      <c r="J16">
        <v>1.9E-3</v>
      </c>
      <c r="M16">
        <v>25.5</v>
      </c>
      <c r="N16">
        <v>25.3</v>
      </c>
      <c r="O16" t="s">
        <v>100</v>
      </c>
      <c r="P16">
        <v>7.7000000000000002E-3</v>
      </c>
      <c r="Q16">
        <v>0.05</v>
      </c>
      <c r="R16" t="s">
        <v>100</v>
      </c>
    </row>
    <row r="17" spans="1:18" x14ac:dyDescent="0.25">
      <c r="A17">
        <v>11</v>
      </c>
      <c r="B17" t="s">
        <v>2</v>
      </c>
      <c r="C17" t="s">
        <v>106</v>
      </c>
      <c r="D17">
        <v>25.4</v>
      </c>
      <c r="G17">
        <v>25.401800000000001</v>
      </c>
      <c r="J17">
        <v>1.8E-3</v>
      </c>
      <c r="M17">
        <v>25.5</v>
      </c>
      <c r="N17">
        <v>25.3</v>
      </c>
      <c r="O17" t="s">
        <v>100</v>
      </c>
      <c r="P17">
        <v>4.1000000000000003E-3</v>
      </c>
      <c r="Q17">
        <v>0.05</v>
      </c>
      <c r="R17" t="s">
        <v>100</v>
      </c>
    </row>
    <row r="18" spans="1:18" x14ac:dyDescent="0.25">
      <c r="A18">
        <v>12</v>
      </c>
      <c r="B18" t="s">
        <v>3</v>
      </c>
      <c r="C18" t="s">
        <v>106</v>
      </c>
      <c r="D18">
        <v>25.4</v>
      </c>
      <c r="G18">
        <v>25.403300000000002</v>
      </c>
      <c r="J18">
        <v>3.3E-3</v>
      </c>
      <c r="M18">
        <v>25.5</v>
      </c>
      <c r="N18">
        <v>25.3</v>
      </c>
      <c r="O18" t="s">
        <v>100</v>
      </c>
      <c r="P18">
        <v>6.4999999999999997E-3</v>
      </c>
      <c r="Q18">
        <v>0.05</v>
      </c>
      <c r="R18" t="s">
        <v>100</v>
      </c>
    </row>
    <row r="19" spans="1:18" x14ac:dyDescent="0.25">
      <c r="A19">
        <v>13</v>
      </c>
      <c r="B19" t="s">
        <v>4</v>
      </c>
      <c r="C19" t="s">
        <v>106</v>
      </c>
      <c r="D19">
        <v>25.4</v>
      </c>
      <c r="G19">
        <v>25.400600000000001</v>
      </c>
      <c r="J19">
        <v>5.9999999999999995E-4</v>
      </c>
      <c r="M19">
        <v>25.5</v>
      </c>
      <c r="N19">
        <v>25.3</v>
      </c>
      <c r="O19" t="s">
        <v>100</v>
      </c>
      <c r="P19">
        <v>5.0000000000000001E-3</v>
      </c>
      <c r="Q19">
        <v>0.05</v>
      </c>
      <c r="R19" t="s">
        <v>100</v>
      </c>
    </row>
    <row r="20" spans="1:18" x14ac:dyDescent="0.25">
      <c r="A20">
        <v>14</v>
      </c>
      <c r="B20" t="s">
        <v>5</v>
      </c>
      <c r="C20" t="s">
        <v>107</v>
      </c>
      <c r="D20">
        <v>72.887</v>
      </c>
      <c r="G20">
        <v>72.877799999999993</v>
      </c>
      <c r="J20">
        <v>-9.1999999999999998E-3</v>
      </c>
      <c r="M20">
        <v>72.986999999999995</v>
      </c>
      <c r="N20">
        <v>72.787000000000006</v>
      </c>
      <c r="O20" t="s">
        <v>100</v>
      </c>
    </row>
    <row r="21" spans="1:18" x14ac:dyDescent="0.25">
      <c r="A21">
        <v>15</v>
      </c>
      <c r="B21" t="s">
        <v>6</v>
      </c>
      <c r="C21" t="s">
        <v>107</v>
      </c>
      <c r="D21">
        <v>73.745999999999995</v>
      </c>
      <c r="G21">
        <v>73.713300000000004</v>
      </c>
      <c r="J21">
        <v>-3.27E-2</v>
      </c>
      <c r="M21">
        <v>73.846000000000004</v>
      </c>
      <c r="N21">
        <v>73.646000000000001</v>
      </c>
      <c r="O21" t="s">
        <v>100</v>
      </c>
    </row>
    <row r="22" spans="1:18" x14ac:dyDescent="0.25">
      <c r="A22">
        <v>16</v>
      </c>
      <c r="B22" t="s">
        <v>7</v>
      </c>
      <c r="C22" t="s">
        <v>107</v>
      </c>
      <c r="D22">
        <v>72.376999999999995</v>
      </c>
      <c r="G22">
        <v>72.339500000000001</v>
      </c>
      <c r="J22">
        <v>-3.7499999999999999E-2</v>
      </c>
      <c r="M22">
        <v>72.477000000000004</v>
      </c>
      <c r="N22">
        <v>72.277000000000001</v>
      </c>
      <c r="O22" t="s">
        <v>100</v>
      </c>
    </row>
    <row r="23" spans="1:18" x14ac:dyDescent="0.25">
      <c r="A23">
        <v>17</v>
      </c>
      <c r="B23" t="s">
        <v>8</v>
      </c>
      <c r="C23" t="s">
        <v>107</v>
      </c>
      <c r="D23">
        <v>72.031000000000006</v>
      </c>
      <c r="G23">
        <v>71.962299999999999</v>
      </c>
      <c r="J23">
        <v>-6.8699999999999997E-2</v>
      </c>
      <c r="M23">
        <v>72.131</v>
      </c>
      <c r="N23">
        <v>71.930999999999997</v>
      </c>
      <c r="O23" t="s">
        <v>100</v>
      </c>
    </row>
    <row r="24" spans="1:18" x14ac:dyDescent="0.25">
      <c r="A24">
        <v>18</v>
      </c>
      <c r="B24" t="s">
        <v>9</v>
      </c>
      <c r="C24" t="s">
        <v>107</v>
      </c>
      <c r="D24">
        <v>75.007000000000005</v>
      </c>
      <c r="G24">
        <v>74.989699999999999</v>
      </c>
      <c r="J24">
        <v>-1.7299999999999999E-2</v>
      </c>
      <c r="M24">
        <v>75.106999999999999</v>
      </c>
      <c r="N24">
        <v>74.906999999999996</v>
      </c>
      <c r="O24" t="s">
        <v>100</v>
      </c>
    </row>
    <row r="25" spans="1:18" x14ac:dyDescent="0.25">
      <c r="A25">
        <v>19</v>
      </c>
      <c r="B25" t="s">
        <v>10</v>
      </c>
      <c r="C25" t="s">
        <v>107</v>
      </c>
      <c r="D25">
        <v>74.007000000000005</v>
      </c>
      <c r="G25">
        <v>73.984499999999997</v>
      </c>
      <c r="J25">
        <v>-2.2499999999999999E-2</v>
      </c>
      <c r="M25">
        <v>74.106999999999999</v>
      </c>
      <c r="N25">
        <v>73.906999999999996</v>
      </c>
      <c r="O25" t="s">
        <v>100</v>
      </c>
    </row>
    <row r="26" spans="1:18" x14ac:dyDescent="0.25">
      <c r="A26">
        <v>20</v>
      </c>
      <c r="B26" t="s">
        <v>11</v>
      </c>
      <c r="C26" t="s">
        <v>107</v>
      </c>
      <c r="D26">
        <v>126</v>
      </c>
      <c r="G26">
        <v>125.9311</v>
      </c>
      <c r="J26">
        <v>-6.8900000000000003E-2</v>
      </c>
      <c r="M26">
        <v>126.1</v>
      </c>
      <c r="N26">
        <v>125.9</v>
      </c>
      <c r="O26" t="s">
        <v>100</v>
      </c>
    </row>
    <row r="27" spans="1:18" x14ac:dyDescent="0.25">
      <c r="A27">
        <v>21</v>
      </c>
      <c r="B27" t="s">
        <v>12</v>
      </c>
      <c r="C27" t="s">
        <v>107</v>
      </c>
      <c r="D27">
        <v>124.004</v>
      </c>
      <c r="G27">
        <v>123.92270000000001</v>
      </c>
      <c r="J27">
        <v>-8.1299999999999997E-2</v>
      </c>
      <c r="M27">
        <v>124.104</v>
      </c>
      <c r="N27">
        <v>123.904</v>
      </c>
      <c r="O27" t="s">
        <v>100</v>
      </c>
    </row>
    <row r="28" spans="1:18" x14ac:dyDescent="0.25">
      <c r="A28">
        <v>22</v>
      </c>
      <c r="B28" t="s">
        <v>13</v>
      </c>
      <c r="C28" t="s">
        <v>107</v>
      </c>
      <c r="D28">
        <v>145.262</v>
      </c>
      <c r="G28">
        <v>145.21440000000001</v>
      </c>
      <c r="J28">
        <v>-4.7600000000000003E-2</v>
      </c>
      <c r="M28">
        <v>145.36199999999999</v>
      </c>
      <c r="N28">
        <v>145.16200000000001</v>
      </c>
      <c r="O28" t="s">
        <v>100</v>
      </c>
    </row>
    <row r="29" spans="1:18" x14ac:dyDescent="0.25">
      <c r="A29">
        <v>23</v>
      </c>
      <c r="B29" t="s">
        <v>14</v>
      </c>
      <c r="C29" t="s">
        <v>107</v>
      </c>
      <c r="D29">
        <v>145.774</v>
      </c>
      <c r="G29">
        <v>145.6722</v>
      </c>
      <c r="J29">
        <v>-0.1018</v>
      </c>
      <c r="M29">
        <v>145.874</v>
      </c>
      <c r="N29">
        <v>145.67400000000001</v>
      </c>
      <c r="O29" t="s">
        <v>102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F329B-25B5-4B31-B14D-BD1974354E1A}">
  <sheetPr codeName="Sheet4"/>
  <dimension ref="A1:R29"/>
  <sheetViews>
    <sheetView workbookViewId="0"/>
  </sheetViews>
  <sheetFormatPr defaultRowHeight="15" x14ac:dyDescent="0.25"/>
  <cols>
    <col min="1" max="1" width="26.5703125" bestFit="1" customWidth="1"/>
    <col min="2" max="2" width="14.140625" bestFit="1" customWidth="1"/>
    <col min="3" max="3" width="18.28515625" bestFit="1" customWidth="1"/>
    <col min="4" max="4" width="8" bestFit="1" customWidth="1"/>
    <col min="5" max="5" width="5.7109375" bestFit="1" customWidth="1"/>
    <col min="6" max="6" width="2" bestFit="1" customWidth="1"/>
    <col min="7" max="7" width="9" bestFit="1" customWidth="1"/>
    <col min="8" max="8" width="8.7109375" bestFit="1" customWidth="1"/>
    <col min="9" max="9" width="7" bestFit="1" customWidth="1"/>
    <col min="10" max="10" width="7.7109375" bestFit="1" customWidth="1"/>
    <col min="11" max="12" width="7" bestFit="1" customWidth="1"/>
    <col min="13" max="14" width="8" bestFit="1" customWidth="1"/>
    <col min="15" max="15" width="5.42578125" bestFit="1" customWidth="1"/>
    <col min="16" max="16" width="7" bestFit="1" customWidth="1"/>
    <col min="17" max="17" width="5" bestFit="1" customWidth="1"/>
    <col min="18" max="18" width="5.42578125" bestFit="1" customWidth="1"/>
  </cols>
  <sheetData>
    <row r="1" spans="1:18" x14ac:dyDescent="0.25">
      <c r="A1" t="s">
        <v>86</v>
      </c>
      <c r="B1" t="s">
        <v>87</v>
      </c>
    </row>
    <row r="2" spans="1:18" x14ac:dyDescent="0.25">
      <c r="A2" t="s">
        <v>88</v>
      </c>
      <c r="B2" t="s">
        <v>89</v>
      </c>
    </row>
    <row r="3" spans="1:18" x14ac:dyDescent="0.25">
      <c r="A3" t="s">
        <v>90</v>
      </c>
      <c r="B3" t="s">
        <v>110</v>
      </c>
    </row>
    <row r="4" spans="1:18" x14ac:dyDescent="0.25">
      <c r="A4" t="s">
        <v>92</v>
      </c>
      <c r="B4" t="s">
        <v>93</v>
      </c>
    </row>
    <row r="5" spans="1:18" x14ac:dyDescent="0.25">
      <c r="A5" t="s">
        <v>94</v>
      </c>
    </row>
    <row r="6" spans="1:18" x14ac:dyDescent="0.25">
      <c r="A6" t="s">
        <v>95</v>
      </c>
    </row>
    <row r="7" spans="1:18" x14ac:dyDescent="0.25">
      <c r="A7" t="s">
        <v>96</v>
      </c>
    </row>
    <row r="8" spans="1:18" x14ac:dyDescent="0.25">
      <c r="A8" t="s">
        <v>88</v>
      </c>
    </row>
    <row r="9" spans="1:18" x14ac:dyDescent="0.25">
      <c r="A9" t="s">
        <v>97</v>
      </c>
    </row>
    <row r="10" spans="1:18" x14ac:dyDescent="0.25">
      <c r="A10">
        <v>4</v>
      </c>
      <c r="B10" t="s">
        <v>98</v>
      </c>
      <c r="C10" t="s">
        <v>99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P10">
        <v>0</v>
      </c>
      <c r="Q10">
        <v>0.05</v>
      </c>
      <c r="R10" t="s">
        <v>100</v>
      </c>
    </row>
    <row r="11" spans="1:18" x14ac:dyDescent="0.25">
      <c r="A11">
        <v>5</v>
      </c>
      <c r="B11" t="s">
        <v>101</v>
      </c>
      <c r="C11" t="s">
        <v>99</v>
      </c>
      <c r="D11">
        <v>62.5</v>
      </c>
      <c r="E11">
        <v>37.5</v>
      </c>
      <c r="F11">
        <v>0</v>
      </c>
      <c r="G11">
        <v>62.481099999999998</v>
      </c>
      <c r="H11">
        <v>37.517200000000003</v>
      </c>
      <c r="I11">
        <v>8.7800000000000003E-2</v>
      </c>
      <c r="J11">
        <v>-1.89E-2</v>
      </c>
      <c r="K11">
        <v>1.72E-2</v>
      </c>
      <c r="L11">
        <v>8.7800000000000003E-2</v>
      </c>
      <c r="P11">
        <v>0.18290000000000001</v>
      </c>
      <c r="Q11">
        <v>0.05</v>
      </c>
      <c r="R11" t="s">
        <v>102</v>
      </c>
    </row>
    <row r="12" spans="1:18" x14ac:dyDescent="0.25">
      <c r="A12">
        <v>6</v>
      </c>
      <c r="B12" t="s">
        <v>103</v>
      </c>
      <c r="C12" t="s">
        <v>99</v>
      </c>
      <c r="D12">
        <v>-63.5</v>
      </c>
      <c r="E12">
        <v>37.5</v>
      </c>
      <c r="F12">
        <v>0</v>
      </c>
      <c r="G12">
        <v>-63.450600000000001</v>
      </c>
      <c r="H12">
        <v>37.517200000000003</v>
      </c>
      <c r="I12">
        <v>7.1400000000000005E-2</v>
      </c>
      <c r="J12">
        <v>4.9399999999999999E-2</v>
      </c>
      <c r="K12">
        <v>1.72E-2</v>
      </c>
      <c r="L12">
        <v>7.1400000000000005E-2</v>
      </c>
      <c r="P12">
        <v>0.17699999999999999</v>
      </c>
      <c r="Q12">
        <v>0.05</v>
      </c>
      <c r="R12" t="s">
        <v>102</v>
      </c>
    </row>
    <row r="13" spans="1:18" x14ac:dyDescent="0.25">
      <c r="A13">
        <v>7</v>
      </c>
      <c r="B13" t="s">
        <v>104</v>
      </c>
      <c r="C13" t="s">
        <v>99</v>
      </c>
      <c r="D13">
        <v>-62.5</v>
      </c>
      <c r="E13">
        <v>-36.5</v>
      </c>
      <c r="F13">
        <v>0</v>
      </c>
      <c r="G13">
        <v>-62.477499999999999</v>
      </c>
      <c r="H13">
        <v>-36.461100000000002</v>
      </c>
      <c r="I13">
        <v>8.7999999999999995E-2</v>
      </c>
      <c r="J13">
        <v>2.2499999999999999E-2</v>
      </c>
      <c r="K13">
        <v>3.8899999999999997E-2</v>
      </c>
      <c r="L13">
        <v>8.7999999999999995E-2</v>
      </c>
      <c r="P13">
        <v>0.19769999999999999</v>
      </c>
      <c r="Q13">
        <v>0.05</v>
      </c>
      <c r="R13" t="s">
        <v>102</v>
      </c>
    </row>
    <row r="14" spans="1:18" x14ac:dyDescent="0.25">
      <c r="A14">
        <v>8</v>
      </c>
      <c r="B14" t="s">
        <v>105</v>
      </c>
      <c r="C14" t="s">
        <v>99</v>
      </c>
      <c r="D14">
        <v>61.5</v>
      </c>
      <c r="E14">
        <v>-37.5</v>
      </c>
      <c r="F14">
        <v>0</v>
      </c>
      <c r="G14">
        <v>61.441099999999999</v>
      </c>
      <c r="H14">
        <v>-37.466099999999997</v>
      </c>
      <c r="I14">
        <v>7.1900000000000006E-2</v>
      </c>
      <c r="J14">
        <v>-5.8900000000000001E-2</v>
      </c>
      <c r="K14">
        <v>3.39E-2</v>
      </c>
      <c r="L14">
        <v>7.1900000000000006E-2</v>
      </c>
      <c r="P14">
        <v>0.1978</v>
      </c>
      <c r="Q14">
        <v>0.05</v>
      </c>
      <c r="R14" t="s">
        <v>102</v>
      </c>
    </row>
    <row r="15" spans="1:18" x14ac:dyDescent="0.25">
      <c r="A15">
        <v>9</v>
      </c>
      <c r="B15" t="s">
        <v>0</v>
      </c>
      <c r="C15" t="s">
        <v>106</v>
      </c>
      <c r="D15">
        <v>25.4</v>
      </c>
      <c r="G15">
        <v>25.3979</v>
      </c>
      <c r="J15">
        <v>-2.0999999999999999E-3</v>
      </c>
      <c r="M15">
        <v>25.5</v>
      </c>
      <c r="N15">
        <v>25.3</v>
      </c>
      <c r="O15" t="s">
        <v>100</v>
      </c>
      <c r="P15">
        <v>4.1999999999999997E-3</v>
      </c>
      <c r="Q15">
        <v>0.05</v>
      </c>
      <c r="R15" t="s">
        <v>100</v>
      </c>
    </row>
    <row r="16" spans="1:18" x14ac:dyDescent="0.25">
      <c r="A16">
        <v>10</v>
      </c>
      <c r="B16" t="s">
        <v>1</v>
      </c>
      <c r="C16" t="s">
        <v>106</v>
      </c>
      <c r="D16">
        <v>25.4</v>
      </c>
      <c r="G16">
        <v>25.401700000000002</v>
      </c>
      <c r="J16">
        <v>1.6999999999999999E-3</v>
      </c>
      <c r="M16">
        <v>25.5</v>
      </c>
      <c r="N16">
        <v>25.3</v>
      </c>
      <c r="O16" t="s">
        <v>100</v>
      </c>
      <c r="P16">
        <v>6.0000000000000001E-3</v>
      </c>
      <c r="Q16">
        <v>0.05</v>
      </c>
      <c r="R16" t="s">
        <v>100</v>
      </c>
    </row>
    <row r="17" spans="1:18" x14ac:dyDescent="0.25">
      <c r="A17">
        <v>11</v>
      </c>
      <c r="B17" t="s">
        <v>2</v>
      </c>
      <c r="C17" t="s">
        <v>106</v>
      </c>
      <c r="D17">
        <v>25.4</v>
      </c>
      <c r="G17">
        <v>25.401199999999999</v>
      </c>
      <c r="J17">
        <v>1.1999999999999999E-3</v>
      </c>
      <c r="M17">
        <v>25.5</v>
      </c>
      <c r="N17">
        <v>25.3</v>
      </c>
      <c r="O17" t="s">
        <v>100</v>
      </c>
      <c r="P17">
        <v>5.5999999999999999E-3</v>
      </c>
      <c r="Q17">
        <v>0.05</v>
      </c>
      <c r="R17" t="s">
        <v>100</v>
      </c>
    </row>
    <row r="18" spans="1:18" x14ac:dyDescent="0.25">
      <c r="A18">
        <v>12</v>
      </c>
      <c r="B18" t="s">
        <v>3</v>
      </c>
      <c r="C18" t="s">
        <v>106</v>
      </c>
      <c r="D18">
        <v>25.4</v>
      </c>
      <c r="G18">
        <v>25.402799999999999</v>
      </c>
      <c r="J18">
        <v>2.8E-3</v>
      </c>
      <c r="M18">
        <v>25.5</v>
      </c>
      <c r="N18">
        <v>25.3</v>
      </c>
      <c r="O18" t="s">
        <v>100</v>
      </c>
      <c r="P18">
        <v>6.7000000000000002E-3</v>
      </c>
      <c r="Q18">
        <v>0.05</v>
      </c>
      <c r="R18" t="s">
        <v>100</v>
      </c>
    </row>
    <row r="19" spans="1:18" x14ac:dyDescent="0.25">
      <c r="A19">
        <v>13</v>
      </c>
      <c r="B19" t="s">
        <v>4</v>
      </c>
      <c r="C19" t="s">
        <v>106</v>
      </c>
      <c r="D19">
        <v>25.4</v>
      </c>
      <c r="G19">
        <v>25.401599999999998</v>
      </c>
      <c r="J19">
        <v>1.6000000000000001E-3</v>
      </c>
      <c r="M19">
        <v>25.5</v>
      </c>
      <c r="N19">
        <v>25.3</v>
      </c>
      <c r="O19" t="s">
        <v>100</v>
      </c>
      <c r="P19">
        <v>5.1999999999999998E-3</v>
      </c>
      <c r="Q19">
        <v>0.05</v>
      </c>
      <c r="R19" t="s">
        <v>100</v>
      </c>
    </row>
    <row r="20" spans="1:18" x14ac:dyDescent="0.25">
      <c r="A20">
        <v>14</v>
      </c>
      <c r="B20" t="s">
        <v>5</v>
      </c>
      <c r="C20" t="s">
        <v>107</v>
      </c>
      <c r="D20">
        <v>72.887</v>
      </c>
      <c r="G20">
        <v>72.879599999999996</v>
      </c>
      <c r="J20">
        <v>-7.4000000000000003E-3</v>
      </c>
      <c r="M20">
        <v>72.986999999999995</v>
      </c>
      <c r="N20">
        <v>72.787000000000006</v>
      </c>
      <c r="O20" t="s">
        <v>100</v>
      </c>
    </row>
    <row r="21" spans="1:18" x14ac:dyDescent="0.25">
      <c r="A21">
        <v>15</v>
      </c>
      <c r="B21" t="s">
        <v>6</v>
      </c>
      <c r="C21" t="s">
        <v>107</v>
      </c>
      <c r="D21">
        <v>73.745999999999995</v>
      </c>
      <c r="G21">
        <v>73.712500000000006</v>
      </c>
      <c r="J21">
        <v>-3.3500000000000002E-2</v>
      </c>
      <c r="M21">
        <v>73.846000000000004</v>
      </c>
      <c r="N21">
        <v>73.646000000000001</v>
      </c>
      <c r="O21" t="s">
        <v>100</v>
      </c>
    </row>
    <row r="22" spans="1:18" x14ac:dyDescent="0.25">
      <c r="A22">
        <v>16</v>
      </c>
      <c r="B22" t="s">
        <v>7</v>
      </c>
      <c r="C22" t="s">
        <v>107</v>
      </c>
      <c r="D22">
        <v>72.376999999999995</v>
      </c>
      <c r="G22">
        <v>72.338499999999996</v>
      </c>
      <c r="J22">
        <v>-3.85E-2</v>
      </c>
      <c r="M22">
        <v>72.477000000000004</v>
      </c>
      <c r="N22">
        <v>72.277000000000001</v>
      </c>
      <c r="O22" t="s">
        <v>100</v>
      </c>
    </row>
    <row r="23" spans="1:18" x14ac:dyDescent="0.25">
      <c r="A23">
        <v>17</v>
      </c>
      <c r="B23" t="s">
        <v>8</v>
      </c>
      <c r="C23" t="s">
        <v>107</v>
      </c>
      <c r="D23">
        <v>72.031000000000006</v>
      </c>
      <c r="G23">
        <v>71.963300000000004</v>
      </c>
      <c r="J23">
        <v>-6.7699999999999996E-2</v>
      </c>
      <c r="M23">
        <v>72.131</v>
      </c>
      <c r="N23">
        <v>71.930999999999997</v>
      </c>
      <c r="O23" t="s">
        <v>100</v>
      </c>
    </row>
    <row r="24" spans="1:18" x14ac:dyDescent="0.25">
      <c r="A24">
        <v>18</v>
      </c>
      <c r="B24" t="s">
        <v>9</v>
      </c>
      <c r="C24" t="s">
        <v>107</v>
      </c>
      <c r="D24">
        <v>75.007000000000005</v>
      </c>
      <c r="G24">
        <v>74.990499999999997</v>
      </c>
      <c r="J24">
        <v>-1.6500000000000001E-2</v>
      </c>
      <c r="M24">
        <v>75.106999999999999</v>
      </c>
      <c r="N24">
        <v>74.906999999999996</v>
      </c>
      <c r="O24" t="s">
        <v>100</v>
      </c>
    </row>
    <row r="25" spans="1:18" x14ac:dyDescent="0.25">
      <c r="A25">
        <v>19</v>
      </c>
      <c r="B25" t="s">
        <v>10</v>
      </c>
      <c r="C25" t="s">
        <v>107</v>
      </c>
      <c r="D25">
        <v>74.007000000000005</v>
      </c>
      <c r="G25">
        <v>73.984700000000004</v>
      </c>
      <c r="J25">
        <v>-2.23E-2</v>
      </c>
      <c r="M25">
        <v>74.106999999999999</v>
      </c>
      <c r="N25">
        <v>73.906999999999996</v>
      </c>
      <c r="O25" t="s">
        <v>100</v>
      </c>
    </row>
    <row r="26" spans="1:18" x14ac:dyDescent="0.25">
      <c r="A26">
        <v>20</v>
      </c>
      <c r="B26" t="s">
        <v>11</v>
      </c>
      <c r="C26" t="s">
        <v>107</v>
      </c>
      <c r="D26">
        <v>126</v>
      </c>
      <c r="G26">
        <v>125.93170000000001</v>
      </c>
      <c r="J26">
        <v>-6.83E-2</v>
      </c>
      <c r="M26">
        <v>126.1</v>
      </c>
      <c r="N26">
        <v>125.9</v>
      </c>
      <c r="O26" t="s">
        <v>100</v>
      </c>
    </row>
    <row r="27" spans="1:18" x14ac:dyDescent="0.25">
      <c r="A27">
        <v>21</v>
      </c>
      <c r="B27" t="s">
        <v>12</v>
      </c>
      <c r="C27" t="s">
        <v>107</v>
      </c>
      <c r="D27">
        <v>124.004</v>
      </c>
      <c r="G27">
        <v>123.9226</v>
      </c>
      <c r="J27">
        <v>-8.14E-2</v>
      </c>
      <c r="M27">
        <v>124.104</v>
      </c>
      <c r="N27">
        <v>123.904</v>
      </c>
      <c r="O27" t="s">
        <v>100</v>
      </c>
    </row>
    <row r="28" spans="1:18" x14ac:dyDescent="0.25">
      <c r="A28">
        <v>22</v>
      </c>
      <c r="B28" t="s">
        <v>13</v>
      </c>
      <c r="C28" t="s">
        <v>107</v>
      </c>
      <c r="D28">
        <v>145.262</v>
      </c>
      <c r="G28">
        <v>145.21510000000001</v>
      </c>
      <c r="J28">
        <v>-4.6899999999999997E-2</v>
      </c>
      <c r="M28">
        <v>145.36199999999999</v>
      </c>
      <c r="N28">
        <v>145.16200000000001</v>
      </c>
      <c r="O28" t="s">
        <v>100</v>
      </c>
    </row>
    <row r="29" spans="1:18" x14ac:dyDescent="0.25">
      <c r="A29">
        <v>23</v>
      </c>
      <c r="B29" t="s">
        <v>14</v>
      </c>
      <c r="C29" t="s">
        <v>107</v>
      </c>
      <c r="D29">
        <v>145.774</v>
      </c>
      <c r="G29">
        <v>145.67240000000001</v>
      </c>
      <c r="J29">
        <v>-0.1016</v>
      </c>
      <c r="M29">
        <v>145.874</v>
      </c>
      <c r="N29">
        <v>145.67400000000001</v>
      </c>
      <c r="O29" t="s">
        <v>102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79E1D6-8DD1-416E-A6F3-C491FB20C25E}">
  <sheetPr codeName="Sheet5"/>
  <dimension ref="A1:R29"/>
  <sheetViews>
    <sheetView workbookViewId="0"/>
  </sheetViews>
  <sheetFormatPr defaultRowHeight="15" x14ac:dyDescent="0.25"/>
  <cols>
    <col min="1" max="1" width="26.5703125" bestFit="1" customWidth="1"/>
    <col min="2" max="2" width="14.140625" bestFit="1" customWidth="1"/>
    <col min="3" max="3" width="18.28515625" bestFit="1" customWidth="1"/>
    <col min="4" max="4" width="8" bestFit="1" customWidth="1"/>
    <col min="5" max="5" width="5.7109375" bestFit="1" customWidth="1"/>
    <col min="6" max="6" width="2" bestFit="1" customWidth="1"/>
    <col min="7" max="7" width="9" bestFit="1" customWidth="1"/>
    <col min="8" max="8" width="8.7109375" bestFit="1" customWidth="1"/>
    <col min="9" max="9" width="7" bestFit="1" customWidth="1"/>
    <col min="10" max="10" width="7.7109375" bestFit="1" customWidth="1"/>
    <col min="11" max="12" width="7" bestFit="1" customWidth="1"/>
    <col min="13" max="14" width="8" bestFit="1" customWidth="1"/>
    <col min="15" max="15" width="5.42578125" bestFit="1" customWidth="1"/>
    <col min="16" max="16" width="7" bestFit="1" customWidth="1"/>
    <col min="17" max="17" width="5" bestFit="1" customWidth="1"/>
    <col min="18" max="18" width="5.42578125" bestFit="1" customWidth="1"/>
  </cols>
  <sheetData>
    <row r="1" spans="1:18" x14ac:dyDescent="0.25">
      <c r="A1" t="s">
        <v>86</v>
      </c>
      <c r="B1" t="s">
        <v>87</v>
      </c>
    </row>
    <row r="2" spans="1:18" x14ac:dyDescent="0.25">
      <c r="A2" t="s">
        <v>88</v>
      </c>
      <c r="B2" t="s">
        <v>89</v>
      </c>
    </row>
    <row r="3" spans="1:18" x14ac:dyDescent="0.25">
      <c r="A3" t="s">
        <v>90</v>
      </c>
      <c r="B3" t="s">
        <v>111</v>
      </c>
    </row>
    <row r="4" spans="1:18" x14ac:dyDescent="0.25">
      <c r="A4" t="s">
        <v>92</v>
      </c>
      <c r="B4" t="s">
        <v>109</v>
      </c>
    </row>
    <row r="5" spans="1:18" x14ac:dyDescent="0.25">
      <c r="A5" t="s">
        <v>94</v>
      </c>
    </row>
    <row r="6" spans="1:18" x14ac:dyDescent="0.25">
      <c r="A6" t="s">
        <v>95</v>
      </c>
    </row>
    <row r="7" spans="1:18" x14ac:dyDescent="0.25">
      <c r="A7" t="s">
        <v>96</v>
      </c>
    </row>
    <row r="8" spans="1:18" x14ac:dyDescent="0.25">
      <c r="A8" t="s">
        <v>88</v>
      </c>
    </row>
    <row r="9" spans="1:18" x14ac:dyDescent="0.25">
      <c r="A9" t="s">
        <v>97</v>
      </c>
    </row>
    <row r="10" spans="1:18" x14ac:dyDescent="0.25">
      <c r="A10">
        <v>4</v>
      </c>
      <c r="B10" t="s">
        <v>98</v>
      </c>
      <c r="C10" t="s">
        <v>99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P10">
        <v>0</v>
      </c>
      <c r="Q10">
        <v>0.05</v>
      </c>
      <c r="R10" t="s">
        <v>100</v>
      </c>
    </row>
    <row r="11" spans="1:18" x14ac:dyDescent="0.25">
      <c r="A11">
        <v>5</v>
      </c>
      <c r="B11" t="s">
        <v>101</v>
      </c>
      <c r="C11" t="s">
        <v>99</v>
      </c>
      <c r="D11">
        <v>62.5</v>
      </c>
      <c r="E11">
        <v>37.5</v>
      </c>
      <c r="F11">
        <v>0</v>
      </c>
      <c r="G11">
        <v>62.480200000000004</v>
      </c>
      <c r="H11">
        <v>37.517000000000003</v>
      </c>
      <c r="I11">
        <v>8.7900000000000006E-2</v>
      </c>
      <c r="J11">
        <v>-1.9800000000000002E-2</v>
      </c>
      <c r="K11">
        <v>1.7000000000000001E-2</v>
      </c>
      <c r="L11">
        <v>8.7900000000000006E-2</v>
      </c>
      <c r="P11">
        <v>0.18340000000000001</v>
      </c>
      <c r="Q11">
        <v>0.05</v>
      </c>
      <c r="R11" t="s">
        <v>102</v>
      </c>
    </row>
    <row r="12" spans="1:18" x14ac:dyDescent="0.25">
      <c r="A12">
        <v>6</v>
      </c>
      <c r="B12" t="s">
        <v>103</v>
      </c>
      <c r="C12" t="s">
        <v>99</v>
      </c>
      <c r="D12">
        <v>-63.5</v>
      </c>
      <c r="E12">
        <v>37.5</v>
      </c>
      <c r="F12">
        <v>0</v>
      </c>
      <c r="G12">
        <v>-63.450899999999997</v>
      </c>
      <c r="H12">
        <v>37.517000000000003</v>
      </c>
      <c r="I12">
        <v>7.0999999999999994E-2</v>
      </c>
      <c r="J12">
        <v>4.9099999999999998E-2</v>
      </c>
      <c r="K12">
        <v>1.7000000000000001E-2</v>
      </c>
      <c r="L12">
        <v>7.0999999999999994E-2</v>
      </c>
      <c r="P12">
        <v>0.1759</v>
      </c>
      <c r="Q12">
        <v>0.05</v>
      </c>
      <c r="R12" t="s">
        <v>102</v>
      </c>
    </row>
    <row r="13" spans="1:18" x14ac:dyDescent="0.25">
      <c r="A13">
        <v>7</v>
      </c>
      <c r="B13" t="s">
        <v>104</v>
      </c>
      <c r="C13" t="s">
        <v>99</v>
      </c>
      <c r="D13">
        <v>-62.5</v>
      </c>
      <c r="E13">
        <v>-36.5</v>
      </c>
      <c r="F13">
        <v>0</v>
      </c>
      <c r="G13">
        <v>-62.478499999999997</v>
      </c>
      <c r="H13">
        <v>-36.4619</v>
      </c>
      <c r="I13">
        <v>8.8200000000000001E-2</v>
      </c>
      <c r="J13">
        <v>2.1499999999999998E-2</v>
      </c>
      <c r="K13">
        <v>3.8100000000000002E-2</v>
      </c>
      <c r="L13">
        <v>8.8200000000000001E-2</v>
      </c>
      <c r="P13">
        <v>0.1968</v>
      </c>
      <c r="Q13">
        <v>0.05</v>
      </c>
      <c r="R13" t="s">
        <v>102</v>
      </c>
    </row>
    <row r="14" spans="1:18" x14ac:dyDescent="0.25">
      <c r="A14">
        <v>8</v>
      </c>
      <c r="B14" t="s">
        <v>105</v>
      </c>
      <c r="C14" t="s">
        <v>99</v>
      </c>
      <c r="D14">
        <v>61.5</v>
      </c>
      <c r="E14">
        <v>-37.5</v>
      </c>
      <c r="F14">
        <v>0</v>
      </c>
      <c r="G14">
        <v>61.440199999999997</v>
      </c>
      <c r="H14">
        <v>-37.465699999999998</v>
      </c>
      <c r="I14">
        <v>7.1400000000000005E-2</v>
      </c>
      <c r="J14">
        <v>-5.9799999999999999E-2</v>
      </c>
      <c r="K14">
        <v>3.4299999999999997E-2</v>
      </c>
      <c r="L14">
        <v>7.1400000000000005E-2</v>
      </c>
      <c r="P14">
        <v>0.19850000000000001</v>
      </c>
      <c r="Q14">
        <v>0.05</v>
      </c>
      <c r="R14" t="s">
        <v>102</v>
      </c>
    </row>
    <row r="15" spans="1:18" x14ac:dyDescent="0.25">
      <c r="A15">
        <v>9</v>
      </c>
      <c r="B15" t="s">
        <v>0</v>
      </c>
      <c r="C15" t="s">
        <v>106</v>
      </c>
      <c r="D15">
        <v>25.4</v>
      </c>
      <c r="G15">
        <v>25.3978</v>
      </c>
      <c r="J15">
        <v>-2.2000000000000001E-3</v>
      </c>
      <c r="M15">
        <v>25.5</v>
      </c>
      <c r="N15">
        <v>25.3</v>
      </c>
      <c r="O15" t="s">
        <v>100</v>
      </c>
      <c r="P15">
        <v>4.7000000000000002E-3</v>
      </c>
      <c r="Q15">
        <v>0.05</v>
      </c>
      <c r="R15" t="s">
        <v>100</v>
      </c>
    </row>
    <row r="16" spans="1:18" x14ac:dyDescent="0.25">
      <c r="A16">
        <v>10</v>
      </c>
      <c r="B16" t="s">
        <v>1</v>
      </c>
      <c r="C16" t="s">
        <v>106</v>
      </c>
      <c r="D16">
        <v>25.4</v>
      </c>
      <c r="G16">
        <v>25.401900000000001</v>
      </c>
      <c r="J16">
        <v>1.9E-3</v>
      </c>
      <c r="M16">
        <v>25.5</v>
      </c>
      <c r="N16">
        <v>25.3</v>
      </c>
      <c r="O16" t="s">
        <v>100</v>
      </c>
      <c r="P16">
        <v>6.3E-3</v>
      </c>
      <c r="Q16">
        <v>0.05</v>
      </c>
      <c r="R16" t="s">
        <v>100</v>
      </c>
    </row>
    <row r="17" spans="1:18" x14ac:dyDescent="0.25">
      <c r="A17">
        <v>11</v>
      </c>
      <c r="B17" t="s">
        <v>2</v>
      </c>
      <c r="C17" t="s">
        <v>106</v>
      </c>
      <c r="D17">
        <v>25.4</v>
      </c>
      <c r="G17">
        <v>25.402100000000001</v>
      </c>
      <c r="J17">
        <v>2.0999999999999999E-3</v>
      </c>
      <c r="M17">
        <v>25.5</v>
      </c>
      <c r="N17">
        <v>25.3</v>
      </c>
      <c r="O17" t="s">
        <v>100</v>
      </c>
      <c r="P17">
        <v>5.4000000000000003E-3</v>
      </c>
      <c r="Q17">
        <v>0.05</v>
      </c>
      <c r="R17" t="s">
        <v>100</v>
      </c>
    </row>
    <row r="18" spans="1:18" x14ac:dyDescent="0.25">
      <c r="A18">
        <v>12</v>
      </c>
      <c r="B18" t="s">
        <v>3</v>
      </c>
      <c r="C18" t="s">
        <v>106</v>
      </c>
      <c r="D18">
        <v>25.4</v>
      </c>
      <c r="G18">
        <v>25.403400000000001</v>
      </c>
      <c r="J18">
        <v>3.3999999999999998E-3</v>
      </c>
      <c r="M18">
        <v>25.5</v>
      </c>
      <c r="N18">
        <v>25.3</v>
      </c>
      <c r="O18" t="s">
        <v>100</v>
      </c>
      <c r="P18">
        <v>5.7999999999999996E-3</v>
      </c>
      <c r="Q18">
        <v>0.05</v>
      </c>
      <c r="R18" t="s">
        <v>100</v>
      </c>
    </row>
    <row r="19" spans="1:18" x14ac:dyDescent="0.25">
      <c r="A19">
        <v>13</v>
      </c>
      <c r="B19" t="s">
        <v>4</v>
      </c>
      <c r="C19" t="s">
        <v>106</v>
      </c>
      <c r="D19">
        <v>25.4</v>
      </c>
      <c r="G19">
        <v>25.401499999999999</v>
      </c>
      <c r="J19">
        <v>1.5E-3</v>
      </c>
      <c r="M19">
        <v>25.5</v>
      </c>
      <c r="N19">
        <v>25.3</v>
      </c>
      <c r="O19" t="s">
        <v>100</v>
      </c>
      <c r="P19">
        <v>5.0000000000000001E-3</v>
      </c>
      <c r="Q19">
        <v>0.05</v>
      </c>
      <c r="R19" t="s">
        <v>100</v>
      </c>
    </row>
    <row r="20" spans="1:18" x14ac:dyDescent="0.25">
      <c r="A20">
        <v>14</v>
      </c>
      <c r="B20" t="s">
        <v>5</v>
      </c>
      <c r="C20" t="s">
        <v>107</v>
      </c>
      <c r="D20">
        <v>72.887</v>
      </c>
      <c r="G20">
        <v>72.878699999999995</v>
      </c>
      <c r="J20">
        <v>-8.3000000000000001E-3</v>
      </c>
      <c r="M20">
        <v>72.986999999999995</v>
      </c>
      <c r="N20">
        <v>72.787000000000006</v>
      </c>
      <c r="O20" t="s">
        <v>100</v>
      </c>
    </row>
    <row r="21" spans="1:18" x14ac:dyDescent="0.25">
      <c r="A21">
        <v>15</v>
      </c>
      <c r="B21" t="s">
        <v>6</v>
      </c>
      <c r="C21" t="s">
        <v>107</v>
      </c>
      <c r="D21">
        <v>73.745999999999995</v>
      </c>
      <c r="G21">
        <v>73.712599999999995</v>
      </c>
      <c r="J21">
        <v>-3.3399999999999999E-2</v>
      </c>
      <c r="M21">
        <v>73.846000000000004</v>
      </c>
      <c r="N21">
        <v>73.646000000000001</v>
      </c>
      <c r="O21" t="s">
        <v>100</v>
      </c>
    </row>
    <row r="22" spans="1:18" x14ac:dyDescent="0.25">
      <c r="A22">
        <v>16</v>
      </c>
      <c r="B22" t="s">
        <v>7</v>
      </c>
      <c r="C22" t="s">
        <v>107</v>
      </c>
      <c r="D22">
        <v>72.376999999999995</v>
      </c>
      <c r="G22">
        <v>72.339699999999993</v>
      </c>
      <c r="J22">
        <v>-3.73E-2</v>
      </c>
      <c r="M22">
        <v>72.477000000000004</v>
      </c>
      <c r="N22">
        <v>72.277000000000001</v>
      </c>
      <c r="O22" t="s">
        <v>100</v>
      </c>
    </row>
    <row r="23" spans="1:18" x14ac:dyDescent="0.25">
      <c r="A23">
        <v>17</v>
      </c>
      <c r="B23" t="s">
        <v>8</v>
      </c>
      <c r="C23" t="s">
        <v>107</v>
      </c>
      <c r="D23">
        <v>72.031000000000006</v>
      </c>
      <c r="G23">
        <v>71.962400000000002</v>
      </c>
      <c r="J23">
        <v>-6.8599999999999994E-2</v>
      </c>
      <c r="M23">
        <v>72.131</v>
      </c>
      <c r="N23">
        <v>71.930999999999997</v>
      </c>
      <c r="O23" t="s">
        <v>100</v>
      </c>
    </row>
    <row r="24" spans="1:18" x14ac:dyDescent="0.25">
      <c r="A24">
        <v>18</v>
      </c>
      <c r="B24" t="s">
        <v>9</v>
      </c>
      <c r="C24" t="s">
        <v>107</v>
      </c>
      <c r="D24">
        <v>75.007000000000005</v>
      </c>
      <c r="G24">
        <v>74.989900000000006</v>
      </c>
      <c r="J24">
        <v>-1.7100000000000001E-2</v>
      </c>
      <c r="M24">
        <v>75.106999999999999</v>
      </c>
      <c r="N24">
        <v>74.906999999999996</v>
      </c>
      <c r="O24" t="s">
        <v>100</v>
      </c>
    </row>
    <row r="25" spans="1:18" x14ac:dyDescent="0.25">
      <c r="A25">
        <v>19</v>
      </c>
      <c r="B25" t="s">
        <v>10</v>
      </c>
      <c r="C25" t="s">
        <v>107</v>
      </c>
      <c r="D25">
        <v>74.007000000000005</v>
      </c>
      <c r="G25">
        <v>73.985200000000006</v>
      </c>
      <c r="J25">
        <v>-2.18E-2</v>
      </c>
      <c r="M25">
        <v>74.106999999999999</v>
      </c>
      <c r="N25">
        <v>73.906999999999996</v>
      </c>
      <c r="O25" t="s">
        <v>100</v>
      </c>
    </row>
    <row r="26" spans="1:18" x14ac:dyDescent="0.25">
      <c r="A26">
        <v>20</v>
      </c>
      <c r="B26" t="s">
        <v>11</v>
      </c>
      <c r="C26" t="s">
        <v>107</v>
      </c>
      <c r="D26">
        <v>126</v>
      </c>
      <c r="G26">
        <v>125.9311</v>
      </c>
      <c r="J26">
        <v>-6.8900000000000003E-2</v>
      </c>
      <c r="M26">
        <v>126.1</v>
      </c>
      <c r="N26">
        <v>125.9</v>
      </c>
      <c r="O26" t="s">
        <v>100</v>
      </c>
    </row>
    <row r="27" spans="1:18" x14ac:dyDescent="0.25">
      <c r="A27">
        <v>21</v>
      </c>
      <c r="B27" t="s">
        <v>12</v>
      </c>
      <c r="C27" t="s">
        <v>107</v>
      </c>
      <c r="D27">
        <v>124.004</v>
      </c>
      <c r="G27">
        <v>123.9228</v>
      </c>
      <c r="J27">
        <v>-8.1199999999999994E-2</v>
      </c>
      <c r="M27">
        <v>124.104</v>
      </c>
      <c r="N27">
        <v>123.904</v>
      </c>
      <c r="O27" t="s">
        <v>100</v>
      </c>
    </row>
    <row r="28" spans="1:18" x14ac:dyDescent="0.25">
      <c r="A28">
        <v>22</v>
      </c>
      <c r="B28" t="s">
        <v>13</v>
      </c>
      <c r="C28" t="s">
        <v>107</v>
      </c>
      <c r="D28">
        <v>145.262</v>
      </c>
      <c r="G28">
        <v>145.21549999999999</v>
      </c>
      <c r="J28">
        <v>-4.65E-2</v>
      </c>
      <c r="M28">
        <v>145.36199999999999</v>
      </c>
      <c r="N28">
        <v>145.16200000000001</v>
      </c>
      <c r="O28" t="s">
        <v>100</v>
      </c>
    </row>
    <row r="29" spans="1:18" x14ac:dyDescent="0.25">
      <c r="A29">
        <v>23</v>
      </c>
      <c r="B29" t="s">
        <v>14</v>
      </c>
      <c r="C29" t="s">
        <v>107</v>
      </c>
      <c r="D29">
        <v>145.774</v>
      </c>
      <c r="G29">
        <v>145.67150000000001</v>
      </c>
      <c r="J29">
        <v>-0.10249999999999999</v>
      </c>
      <c r="M29">
        <v>145.874</v>
      </c>
      <c r="N29">
        <v>145.67400000000001</v>
      </c>
      <c r="O29" t="s">
        <v>102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2C97F-6E2C-4BE8-8F44-920CE8EB09C3}">
  <sheetPr codeName="Sheet6"/>
  <dimension ref="A1:R29"/>
  <sheetViews>
    <sheetView workbookViewId="0"/>
  </sheetViews>
  <sheetFormatPr defaultRowHeight="15" x14ac:dyDescent="0.25"/>
  <cols>
    <col min="1" max="1" width="26.5703125" bestFit="1" customWidth="1"/>
    <col min="2" max="2" width="14.140625" bestFit="1" customWidth="1"/>
    <col min="3" max="3" width="18.28515625" bestFit="1" customWidth="1"/>
    <col min="4" max="4" width="8" bestFit="1" customWidth="1"/>
    <col min="5" max="5" width="5.7109375" bestFit="1" customWidth="1"/>
    <col min="6" max="6" width="2" bestFit="1" customWidth="1"/>
    <col min="7" max="7" width="9" bestFit="1" customWidth="1"/>
    <col min="8" max="8" width="8.7109375" bestFit="1" customWidth="1"/>
    <col min="9" max="9" width="7" bestFit="1" customWidth="1"/>
    <col min="10" max="10" width="7.7109375" bestFit="1" customWidth="1"/>
    <col min="11" max="12" width="7" bestFit="1" customWidth="1"/>
    <col min="13" max="14" width="8" bestFit="1" customWidth="1"/>
    <col min="15" max="15" width="5.42578125" bestFit="1" customWidth="1"/>
    <col min="16" max="16" width="7" bestFit="1" customWidth="1"/>
    <col min="17" max="17" width="5" bestFit="1" customWidth="1"/>
    <col min="18" max="18" width="5.42578125" bestFit="1" customWidth="1"/>
  </cols>
  <sheetData>
    <row r="1" spans="1:18" x14ac:dyDescent="0.25">
      <c r="A1" t="s">
        <v>86</v>
      </c>
      <c r="B1" t="s">
        <v>87</v>
      </c>
    </row>
    <row r="2" spans="1:18" x14ac:dyDescent="0.25">
      <c r="A2" t="s">
        <v>88</v>
      </c>
      <c r="B2" t="s">
        <v>89</v>
      </c>
    </row>
    <row r="3" spans="1:18" x14ac:dyDescent="0.25">
      <c r="A3" t="s">
        <v>90</v>
      </c>
      <c r="B3" t="s">
        <v>112</v>
      </c>
    </row>
    <row r="4" spans="1:18" x14ac:dyDescent="0.25">
      <c r="A4" t="s">
        <v>92</v>
      </c>
      <c r="B4" t="s">
        <v>93</v>
      </c>
    </row>
    <row r="5" spans="1:18" x14ac:dyDescent="0.25">
      <c r="A5" t="s">
        <v>94</v>
      </c>
    </row>
    <row r="6" spans="1:18" x14ac:dyDescent="0.25">
      <c r="A6" t="s">
        <v>95</v>
      </c>
    </row>
    <row r="7" spans="1:18" x14ac:dyDescent="0.25">
      <c r="A7" t="s">
        <v>96</v>
      </c>
    </row>
    <row r="8" spans="1:18" x14ac:dyDescent="0.25">
      <c r="A8" t="s">
        <v>88</v>
      </c>
    </row>
    <row r="9" spans="1:18" x14ac:dyDescent="0.25">
      <c r="A9" t="s">
        <v>97</v>
      </c>
    </row>
    <row r="10" spans="1:18" x14ac:dyDescent="0.25">
      <c r="A10">
        <v>4</v>
      </c>
      <c r="B10" t="s">
        <v>98</v>
      </c>
      <c r="C10" t="s">
        <v>99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P10">
        <v>0</v>
      </c>
      <c r="Q10">
        <v>0.05</v>
      </c>
      <c r="R10" t="s">
        <v>100</v>
      </c>
    </row>
    <row r="11" spans="1:18" x14ac:dyDescent="0.25">
      <c r="A11">
        <v>5</v>
      </c>
      <c r="B11" t="s">
        <v>101</v>
      </c>
      <c r="C11" t="s">
        <v>99</v>
      </c>
      <c r="D11">
        <v>62.5</v>
      </c>
      <c r="E11">
        <v>37.5</v>
      </c>
      <c r="F11">
        <v>0</v>
      </c>
      <c r="G11">
        <v>62.4803</v>
      </c>
      <c r="H11">
        <v>37.516599999999997</v>
      </c>
      <c r="I11">
        <v>8.8400000000000006E-2</v>
      </c>
      <c r="J11">
        <v>-1.9699999999999999E-2</v>
      </c>
      <c r="K11">
        <v>1.66E-2</v>
      </c>
      <c r="L11">
        <v>8.8400000000000006E-2</v>
      </c>
      <c r="P11">
        <v>0.1842</v>
      </c>
      <c r="Q11">
        <v>0.05</v>
      </c>
      <c r="R11" t="s">
        <v>102</v>
      </c>
    </row>
    <row r="12" spans="1:18" x14ac:dyDescent="0.25">
      <c r="A12">
        <v>6</v>
      </c>
      <c r="B12" t="s">
        <v>103</v>
      </c>
      <c r="C12" t="s">
        <v>99</v>
      </c>
      <c r="D12">
        <v>-63.5</v>
      </c>
      <c r="E12">
        <v>37.5</v>
      </c>
      <c r="F12">
        <v>0</v>
      </c>
      <c r="G12">
        <v>-63.4514</v>
      </c>
      <c r="H12">
        <v>37.516599999999997</v>
      </c>
      <c r="I12">
        <v>7.1999999999999995E-2</v>
      </c>
      <c r="J12">
        <v>4.8599999999999997E-2</v>
      </c>
      <c r="K12">
        <v>1.66E-2</v>
      </c>
      <c r="L12">
        <v>7.1999999999999995E-2</v>
      </c>
      <c r="P12">
        <v>0.17680000000000001</v>
      </c>
      <c r="Q12">
        <v>0.05</v>
      </c>
      <c r="R12" t="s">
        <v>102</v>
      </c>
    </row>
    <row r="13" spans="1:18" x14ac:dyDescent="0.25">
      <c r="A13">
        <v>7</v>
      </c>
      <c r="B13" t="s">
        <v>104</v>
      </c>
      <c r="C13" t="s">
        <v>99</v>
      </c>
      <c r="D13">
        <v>-62.5</v>
      </c>
      <c r="E13">
        <v>-36.5</v>
      </c>
      <c r="F13">
        <v>0</v>
      </c>
      <c r="G13">
        <v>-62.478099999999998</v>
      </c>
      <c r="H13">
        <v>-36.4617</v>
      </c>
      <c r="I13">
        <v>8.8700000000000001E-2</v>
      </c>
      <c r="J13">
        <v>2.1899999999999999E-2</v>
      </c>
      <c r="K13">
        <v>3.8300000000000001E-2</v>
      </c>
      <c r="L13">
        <v>8.8700000000000001E-2</v>
      </c>
      <c r="P13">
        <v>0.1981</v>
      </c>
      <c r="Q13">
        <v>0.05</v>
      </c>
      <c r="R13" t="s">
        <v>102</v>
      </c>
    </row>
    <row r="14" spans="1:18" x14ac:dyDescent="0.25">
      <c r="A14">
        <v>8</v>
      </c>
      <c r="B14" t="s">
        <v>105</v>
      </c>
      <c r="C14" t="s">
        <v>99</v>
      </c>
      <c r="D14">
        <v>61.5</v>
      </c>
      <c r="E14">
        <v>-37.5</v>
      </c>
      <c r="F14">
        <v>0</v>
      </c>
      <c r="G14">
        <v>61.440800000000003</v>
      </c>
      <c r="H14">
        <v>-37.465800000000002</v>
      </c>
      <c r="I14">
        <v>7.2400000000000006E-2</v>
      </c>
      <c r="J14">
        <v>-5.9200000000000003E-2</v>
      </c>
      <c r="K14">
        <v>3.4200000000000001E-2</v>
      </c>
      <c r="L14">
        <v>7.2400000000000006E-2</v>
      </c>
      <c r="P14">
        <v>0.1993</v>
      </c>
      <c r="Q14">
        <v>0.05</v>
      </c>
      <c r="R14" t="s">
        <v>102</v>
      </c>
    </row>
    <row r="15" spans="1:18" x14ac:dyDescent="0.25">
      <c r="A15">
        <v>9</v>
      </c>
      <c r="B15" t="s">
        <v>0</v>
      </c>
      <c r="C15" t="s">
        <v>106</v>
      </c>
      <c r="D15">
        <v>25.4</v>
      </c>
      <c r="G15">
        <v>25.398299999999999</v>
      </c>
      <c r="J15">
        <v>-1.6999999999999999E-3</v>
      </c>
      <c r="M15">
        <v>25.5</v>
      </c>
      <c r="N15">
        <v>25.3</v>
      </c>
      <c r="O15" t="s">
        <v>100</v>
      </c>
      <c r="P15">
        <v>4.1999999999999997E-3</v>
      </c>
      <c r="Q15">
        <v>0.05</v>
      </c>
      <c r="R15" t="s">
        <v>100</v>
      </c>
    </row>
    <row r="16" spans="1:18" x14ac:dyDescent="0.25">
      <c r="A16">
        <v>10</v>
      </c>
      <c r="B16" t="s">
        <v>1</v>
      </c>
      <c r="C16" t="s">
        <v>106</v>
      </c>
      <c r="D16">
        <v>25.4</v>
      </c>
      <c r="G16">
        <v>25.401900000000001</v>
      </c>
      <c r="J16">
        <v>1.9E-3</v>
      </c>
      <c r="M16">
        <v>25.5</v>
      </c>
      <c r="N16">
        <v>25.3</v>
      </c>
      <c r="O16" t="s">
        <v>100</v>
      </c>
      <c r="P16">
        <v>4.3E-3</v>
      </c>
      <c r="Q16">
        <v>0.05</v>
      </c>
      <c r="R16" t="s">
        <v>100</v>
      </c>
    </row>
    <row r="17" spans="1:18" x14ac:dyDescent="0.25">
      <c r="A17">
        <v>11</v>
      </c>
      <c r="B17" t="s">
        <v>2</v>
      </c>
      <c r="C17" t="s">
        <v>106</v>
      </c>
      <c r="D17">
        <v>25.4</v>
      </c>
      <c r="G17">
        <v>25.401399999999999</v>
      </c>
      <c r="J17">
        <v>1.4E-3</v>
      </c>
      <c r="M17">
        <v>25.5</v>
      </c>
      <c r="N17">
        <v>25.3</v>
      </c>
      <c r="O17" t="s">
        <v>100</v>
      </c>
      <c r="P17">
        <v>4.7999999999999996E-3</v>
      </c>
      <c r="Q17">
        <v>0.05</v>
      </c>
      <c r="R17" t="s">
        <v>100</v>
      </c>
    </row>
    <row r="18" spans="1:18" x14ac:dyDescent="0.25">
      <c r="A18">
        <v>12</v>
      </c>
      <c r="B18" t="s">
        <v>3</v>
      </c>
      <c r="C18" t="s">
        <v>106</v>
      </c>
      <c r="D18">
        <v>25.4</v>
      </c>
      <c r="G18">
        <v>25.403099999999998</v>
      </c>
      <c r="J18">
        <v>3.0999999999999999E-3</v>
      </c>
      <c r="M18">
        <v>25.5</v>
      </c>
      <c r="N18">
        <v>25.3</v>
      </c>
      <c r="O18" t="s">
        <v>100</v>
      </c>
      <c r="P18">
        <v>5.5999999999999999E-3</v>
      </c>
      <c r="Q18">
        <v>0.05</v>
      </c>
      <c r="R18" t="s">
        <v>100</v>
      </c>
    </row>
    <row r="19" spans="1:18" x14ac:dyDescent="0.25">
      <c r="A19">
        <v>13</v>
      </c>
      <c r="B19" t="s">
        <v>4</v>
      </c>
      <c r="C19" t="s">
        <v>106</v>
      </c>
      <c r="D19">
        <v>25.4</v>
      </c>
      <c r="G19">
        <v>25.402000000000001</v>
      </c>
      <c r="J19">
        <v>2E-3</v>
      </c>
      <c r="M19">
        <v>25.5</v>
      </c>
      <c r="N19">
        <v>25.3</v>
      </c>
      <c r="O19" t="s">
        <v>100</v>
      </c>
      <c r="P19">
        <v>4.4000000000000003E-3</v>
      </c>
      <c r="Q19">
        <v>0.05</v>
      </c>
      <c r="R19" t="s">
        <v>100</v>
      </c>
    </row>
    <row r="20" spans="1:18" x14ac:dyDescent="0.25">
      <c r="A20">
        <v>14</v>
      </c>
      <c r="B20" t="s">
        <v>5</v>
      </c>
      <c r="C20" t="s">
        <v>107</v>
      </c>
      <c r="D20">
        <v>72.887</v>
      </c>
      <c r="G20">
        <v>72.878600000000006</v>
      </c>
      <c r="J20">
        <v>-8.3999999999999995E-3</v>
      </c>
      <c r="M20">
        <v>72.986999999999995</v>
      </c>
      <c r="N20">
        <v>72.787000000000006</v>
      </c>
      <c r="O20" t="s">
        <v>100</v>
      </c>
    </row>
    <row r="21" spans="1:18" x14ac:dyDescent="0.25">
      <c r="A21">
        <v>15</v>
      </c>
      <c r="B21" t="s">
        <v>6</v>
      </c>
      <c r="C21" t="s">
        <v>107</v>
      </c>
      <c r="D21">
        <v>73.745999999999995</v>
      </c>
      <c r="G21">
        <v>73.712800000000001</v>
      </c>
      <c r="J21">
        <v>-3.32E-2</v>
      </c>
      <c r="M21">
        <v>73.846000000000004</v>
      </c>
      <c r="N21">
        <v>73.646000000000001</v>
      </c>
      <c r="O21" t="s">
        <v>100</v>
      </c>
    </row>
    <row r="22" spans="1:18" x14ac:dyDescent="0.25">
      <c r="A22">
        <v>16</v>
      </c>
      <c r="B22" t="s">
        <v>7</v>
      </c>
      <c r="C22" t="s">
        <v>107</v>
      </c>
      <c r="D22">
        <v>72.376999999999995</v>
      </c>
      <c r="G22">
        <v>72.339299999999994</v>
      </c>
      <c r="J22">
        <v>-3.7699999999999997E-2</v>
      </c>
      <c r="M22">
        <v>72.477000000000004</v>
      </c>
      <c r="N22">
        <v>72.277000000000001</v>
      </c>
      <c r="O22" t="s">
        <v>100</v>
      </c>
    </row>
    <row r="23" spans="1:18" x14ac:dyDescent="0.25">
      <c r="A23">
        <v>17</v>
      </c>
      <c r="B23" t="s">
        <v>8</v>
      </c>
      <c r="C23" t="s">
        <v>107</v>
      </c>
      <c r="D23">
        <v>72.031000000000006</v>
      </c>
      <c r="G23">
        <v>71.962900000000005</v>
      </c>
      <c r="J23">
        <v>-6.8099999999999994E-2</v>
      </c>
      <c r="M23">
        <v>72.131</v>
      </c>
      <c r="N23">
        <v>71.930999999999997</v>
      </c>
      <c r="O23" t="s">
        <v>100</v>
      </c>
    </row>
    <row r="24" spans="1:18" x14ac:dyDescent="0.25">
      <c r="A24">
        <v>18</v>
      </c>
      <c r="B24" t="s">
        <v>9</v>
      </c>
      <c r="C24" t="s">
        <v>107</v>
      </c>
      <c r="D24">
        <v>75.007000000000005</v>
      </c>
      <c r="G24">
        <v>74.989599999999996</v>
      </c>
      <c r="J24">
        <v>-1.7399999999999999E-2</v>
      </c>
      <c r="M24">
        <v>75.106999999999999</v>
      </c>
      <c r="N24">
        <v>74.906999999999996</v>
      </c>
      <c r="O24" t="s">
        <v>100</v>
      </c>
    </row>
    <row r="25" spans="1:18" x14ac:dyDescent="0.25">
      <c r="A25">
        <v>19</v>
      </c>
      <c r="B25" t="s">
        <v>10</v>
      </c>
      <c r="C25" t="s">
        <v>107</v>
      </c>
      <c r="D25">
        <v>74.007000000000005</v>
      </c>
      <c r="G25">
        <v>73.984700000000004</v>
      </c>
      <c r="J25">
        <v>-2.23E-2</v>
      </c>
      <c r="M25">
        <v>74.106999999999999</v>
      </c>
      <c r="N25">
        <v>73.906999999999996</v>
      </c>
      <c r="O25" t="s">
        <v>100</v>
      </c>
    </row>
    <row r="26" spans="1:18" x14ac:dyDescent="0.25">
      <c r="A26">
        <v>20</v>
      </c>
      <c r="B26" t="s">
        <v>11</v>
      </c>
      <c r="C26" t="s">
        <v>107</v>
      </c>
      <c r="D26">
        <v>126</v>
      </c>
      <c r="G26">
        <v>125.93170000000001</v>
      </c>
      <c r="J26">
        <v>-6.83E-2</v>
      </c>
      <c r="M26">
        <v>126.1</v>
      </c>
      <c r="N26">
        <v>125.9</v>
      </c>
      <c r="O26" t="s">
        <v>100</v>
      </c>
    </row>
    <row r="27" spans="1:18" x14ac:dyDescent="0.25">
      <c r="A27">
        <v>21</v>
      </c>
      <c r="B27" t="s">
        <v>12</v>
      </c>
      <c r="C27" t="s">
        <v>107</v>
      </c>
      <c r="D27">
        <v>124.004</v>
      </c>
      <c r="G27">
        <v>123.923</v>
      </c>
      <c r="J27">
        <v>-8.1000000000000003E-2</v>
      </c>
      <c r="M27">
        <v>124.104</v>
      </c>
      <c r="N27">
        <v>123.904</v>
      </c>
      <c r="O27" t="s">
        <v>100</v>
      </c>
    </row>
    <row r="28" spans="1:18" x14ac:dyDescent="0.25">
      <c r="A28">
        <v>22</v>
      </c>
      <c r="B28" t="s">
        <v>13</v>
      </c>
      <c r="C28" t="s">
        <v>107</v>
      </c>
      <c r="D28">
        <v>145.262</v>
      </c>
      <c r="G28">
        <v>145.215</v>
      </c>
      <c r="J28">
        <v>-4.7E-2</v>
      </c>
      <c r="M28">
        <v>145.36199999999999</v>
      </c>
      <c r="N28">
        <v>145.16200000000001</v>
      </c>
      <c r="O28" t="s">
        <v>100</v>
      </c>
    </row>
    <row r="29" spans="1:18" x14ac:dyDescent="0.25">
      <c r="A29">
        <v>23</v>
      </c>
      <c r="B29" t="s">
        <v>14</v>
      </c>
      <c r="C29" t="s">
        <v>107</v>
      </c>
      <c r="D29">
        <v>145.774</v>
      </c>
      <c r="G29">
        <v>145.6722</v>
      </c>
      <c r="J29">
        <v>-0.1018</v>
      </c>
      <c r="M29">
        <v>145.874</v>
      </c>
      <c r="N29">
        <v>145.67400000000001</v>
      </c>
      <c r="O29" t="s">
        <v>102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924E0-6773-4373-99CC-AE2A11042E0B}">
  <sheetPr codeName="Sheet7"/>
  <dimension ref="A1:R29"/>
  <sheetViews>
    <sheetView workbookViewId="0"/>
  </sheetViews>
  <sheetFormatPr defaultRowHeight="15" x14ac:dyDescent="0.25"/>
  <cols>
    <col min="1" max="1" width="26.5703125" bestFit="1" customWidth="1"/>
    <col min="2" max="2" width="14.140625" bestFit="1" customWidth="1"/>
    <col min="3" max="3" width="18.28515625" bestFit="1" customWidth="1"/>
    <col min="4" max="4" width="8" bestFit="1" customWidth="1"/>
    <col min="5" max="5" width="5.7109375" bestFit="1" customWidth="1"/>
    <col min="6" max="6" width="2" bestFit="1" customWidth="1"/>
    <col min="7" max="7" width="9" bestFit="1" customWidth="1"/>
    <col min="8" max="8" width="8.7109375" bestFit="1" customWidth="1"/>
    <col min="9" max="9" width="7" bestFit="1" customWidth="1"/>
    <col min="10" max="10" width="7.7109375" bestFit="1" customWidth="1"/>
    <col min="11" max="12" width="7" bestFit="1" customWidth="1"/>
    <col min="13" max="14" width="8" bestFit="1" customWidth="1"/>
    <col min="15" max="15" width="5.42578125" bestFit="1" customWidth="1"/>
    <col min="16" max="16" width="7" bestFit="1" customWidth="1"/>
    <col min="17" max="17" width="5" bestFit="1" customWidth="1"/>
    <col min="18" max="18" width="5.42578125" bestFit="1" customWidth="1"/>
  </cols>
  <sheetData>
    <row r="1" spans="1:18" x14ac:dyDescent="0.25">
      <c r="A1" t="s">
        <v>86</v>
      </c>
      <c r="B1" t="s">
        <v>87</v>
      </c>
    </row>
    <row r="2" spans="1:18" x14ac:dyDescent="0.25">
      <c r="A2" t="s">
        <v>88</v>
      </c>
      <c r="B2" t="s">
        <v>89</v>
      </c>
    </row>
    <row r="3" spans="1:18" x14ac:dyDescent="0.25">
      <c r="A3" t="s">
        <v>90</v>
      </c>
      <c r="B3" t="s">
        <v>113</v>
      </c>
    </row>
    <row r="4" spans="1:18" x14ac:dyDescent="0.25">
      <c r="A4" t="s">
        <v>92</v>
      </c>
      <c r="B4" t="s">
        <v>109</v>
      </c>
    </row>
    <row r="5" spans="1:18" x14ac:dyDescent="0.25">
      <c r="A5" t="s">
        <v>94</v>
      </c>
    </row>
    <row r="6" spans="1:18" x14ac:dyDescent="0.25">
      <c r="A6" t="s">
        <v>95</v>
      </c>
    </row>
    <row r="7" spans="1:18" x14ac:dyDescent="0.25">
      <c r="A7" t="s">
        <v>96</v>
      </c>
    </row>
    <row r="8" spans="1:18" x14ac:dyDescent="0.25">
      <c r="A8" t="s">
        <v>88</v>
      </c>
    </row>
    <row r="9" spans="1:18" x14ac:dyDescent="0.25">
      <c r="A9" t="s">
        <v>97</v>
      </c>
    </row>
    <row r="10" spans="1:18" x14ac:dyDescent="0.25">
      <c r="A10">
        <v>4</v>
      </c>
      <c r="B10" t="s">
        <v>98</v>
      </c>
      <c r="C10" t="s">
        <v>99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P10">
        <v>0</v>
      </c>
      <c r="Q10">
        <v>0.05</v>
      </c>
      <c r="R10" t="s">
        <v>100</v>
      </c>
    </row>
    <row r="11" spans="1:18" x14ac:dyDescent="0.25">
      <c r="A11">
        <v>5</v>
      </c>
      <c r="B11" t="s">
        <v>101</v>
      </c>
      <c r="C11" t="s">
        <v>99</v>
      </c>
      <c r="D11">
        <v>62.5</v>
      </c>
      <c r="E11">
        <v>37.5</v>
      </c>
      <c r="F11">
        <v>0</v>
      </c>
      <c r="G11">
        <v>62.479500000000002</v>
      </c>
      <c r="H11">
        <v>37.5167</v>
      </c>
      <c r="I11">
        <v>8.8400000000000006E-2</v>
      </c>
      <c r="J11">
        <v>-2.0500000000000001E-2</v>
      </c>
      <c r="K11">
        <v>1.67E-2</v>
      </c>
      <c r="L11">
        <v>8.8400000000000006E-2</v>
      </c>
      <c r="P11">
        <v>0.1845</v>
      </c>
      <c r="Q11">
        <v>0.05</v>
      </c>
      <c r="R11" t="s">
        <v>102</v>
      </c>
    </row>
    <row r="12" spans="1:18" x14ac:dyDescent="0.25">
      <c r="A12">
        <v>6</v>
      </c>
      <c r="B12" t="s">
        <v>103</v>
      </c>
      <c r="C12" t="s">
        <v>99</v>
      </c>
      <c r="D12">
        <v>-63.5</v>
      </c>
      <c r="E12">
        <v>37.5</v>
      </c>
      <c r="F12">
        <v>0</v>
      </c>
      <c r="G12">
        <v>-63.451500000000003</v>
      </c>
      <c r="H12">
        <v>37.5167</v>
      </c>
      <c r="I12">
        <v>7.2300000000000003E-2</v>
      </c>
      <c r="J12">
        <v>4.8500000000000001E-2</v>
      </c>
      <c r="K12">
        <v>1.67E-2</v>
      </c>
      <c r="L12">
        <v>7.2300000000000003E-2</v>
      </c>
      <c r="P12">
        <v>0.1772</v>
      </c>
      <c r="Q12">
        <v>0.05</v>
      </c>
      <c r="R12" t="s">
        <v>102</v>
      </c>
    </row>
    <row r="13" spans="1:18" x14ac:dyDescent="0.25">
      <c r="A13">
        <v>7</v>
      </c>
      <c r="B13" t="s">
        <v>104</v>
      </c>
      <c r="C13" t="s">
        <v>99</v>
      </c>
      <c r="D13">
        <v>-62.5</v>
      </c>
      <c r="E13">
        <v>-36.5</v>
      </c>
      <c r="F13">
        <v>0</v>
      </c>
      <c r="G13">
        <v>-62.478400000000001</v>
      </c>
      <c r="H13">
        <v>-36.4617</v>
      </c>
      <c r="I13">
        <v>8.8599999999999998E-2</v>
      </c>
      <c r="J13">
        <v>2.1600000000000001E-2</v>
      </c>
      <c r="K13">
        <v>3.8300000000000001E-2</v>
      </c>
      <c r="L13">
        <v>8.8599999999999998E-2</v>
      </c>
      <c r="P13">
        <v>0.1978</v>
      </c>
      <c r="Q13">
        <v>0.05</v>
      </c>
      <c r="R13" t="s">
        <v>102</v>
      </c>
    </row>
    <row r="14" spans="1:18" x14ac:dyDescent="0.25">
      <c r="A14">
        <v>8</v>
      </c>
      <c r="B14" t="s">
        <v>105</v>
      </c>
      <c r="C14" t="s">
        <v>99</v>
      </c>
      <c r="D14">
        <v>61.5</v>
      </c>
      <c r="E14">
        <v>-37.5</v>
      </c>
      <c r="F14">
        <v>0</v>
      </c>
      <c r="G14">
        <v>61.439799999999998</v>
      </c>
      <c r="H14">
        <v>-37.465600000000002</v>
      </c>
      <c r="I14">
        <v>7.2700000000000001E-2</v>
      </c>
      <c r="J14">
        <v>-6.0199999999999997E-2</v>
      </c>
      <c r="K14">
        <v>3.44E-2</v>
      </c>
      <c r="L14">
        <v>7.2700000000000001E-2</v>
      </c>
      <c r="P14">
        <v>0.2009</v>
      </c>
      <c r="Q14">
        <v>0.05</v>
      </c>
      <c r="R14" t="s">
        <v>102</v>
      </c>
    </row>
    <row r="15" spans="1:18" x14ac:dyDescent="0.25">
      <c r="A15">
        <v>9</v>
      </c>
      <c r="B15" t="s">
        <v>0</v>
      </c>
      <c r="C15" t="s">
        <v>106</v>
      </c>
      <c r="D15">
        <v>25.4</v>
      </c>
      <c r="G15">
        <v>25.397600000000001</v>
      </c>
      <c r="J15">
        <v>-2.3999999999999998E-3</v>
      </c>
      <c r="M15">
        <v>25.5</v>
      </c>
      <c r="N15">
        <v>25.3</v>
      </c>
      <c r="O15" t="s">
        <v>100</v>
      </c>
      <c r="P15">
        <v>5.0000000000000001E-3</v>
      </c>
      <c r="Q15">
        <v>0.05</v>
      </c>
      <c r="R15" t="s">
        <v>100</v>
      </c>
    </row>
    <row r="16" spans="1:18" x14ac:dyDescent="0.25">
      <c r="A16">
        <v>10</v>
      </c>
      <c r="B16" t="s">
        <v>1</v>
      </c>
      <c r="C16" t="s">
        <v>106</v>
      </c>
      <c r="D16">
        <v>25.4</v>
      </c>
      <c r="G16">
        <v>25.401499999999999</v>
      </c>
      <c r="J16">
        <v>1.5E-3</v>
      </c>
      <c r="M16">
        <v>25.5</v>
      </c>
      <c r="N16">
        <v>25.3</v>
      </c>
      <c r="O16" t="s">
        <v>100</v>
      </c>
      <c r="P16">
        <v>5.4999999999999997E-3</v>
      </c>
      <c r="Q16">
        <v>0.05</v>
      </c>
      <c r="R16" t="s">
        <v>100</v>
      </c>
    </row>
    <row r="17" spans="1:18" x14ac:dyDescent="0.25">
      <c r="A17">
        <v>11</v>
      </c>
      <c r="B17" t="s">
        <v>2</v>
      </c>
      <c r="C17" t="s">
        <v>106</v>
      </c>
      <c r="D17">
        <v>25.4</v>
      </c>
      <c r="G17">
        <v>25.4011</v>
      </c>
      <c r="J17">
        <v>1.1000000000000001E-3</v>
      </c>
      <c r="M17">
        <v>25.5</v>
      </c>
      <c r="N17">
        <v>25.3</v>
      </c>
      <c r="O17" t="s">
        <v>100</v>
      </c>
      <c r="P17">
        <v>5.7999999999999996E-3</v>
      </c>
      <c r="Q17">
        <v>0.05</v>
      </c>
      <c r="R17" t="s">
        <v>100</v>
      </c>
    </row>
    <row r="18" spans="1:18" x14ac:dyDescent="0.25">
      <c r="A18">
        <v>12</v>
      </c>
      <c r="B18" t="s">
        <v>3</v>
      </c>
      <c r="C18" t="s">
        <v>106</v>
      </c>
      <c r="D18">
        <v>25.4</v>
      </c>
      <c r="G18">
        <v>25.403099999999998</v>
      </c>
      <c r="J18">
        <v>3.0999999999999999E-3</v>
      </c>
      <c r="M18">
        <v>25.5</v>
      </c>
      <c r="N18">
        <v>25.3</v>
      </c>
      <c r="O18" t="s">
        <v>100</v>
      </c>
      <c r="P18">
        <v>4.7999999999999996E-3</v>
      </c>
      <c r="Q18">
        <v>0.05</v>
      </c>
      <c r="R18" t="s">
        <v>100</v>
      </c>
    </row>
    <row r="19" spans="1:18" x14ac:dyDescent="0.25">
      <c r="A19">
        <v>13</v>
      </c>
      <c r="B19" t="s">
        <v>4</v>
      </c>
      <c r="C19" t="s">
        <v>106</v>
      </c>
      <c r="D19">
        <v>25.4</v>
      </c>
      <c r="G19">
        <v>25.401</v>
      </c>
      <c r="J19">
        <v>1E-3</v>
      </c>
      <c r="M19">
        <v>25.5</v>
      </c>
      <c r="N19">
        <v>25.3</v>
      </c>
      <c r="O19" t="s">
        <v>100</v>
      </c>
      <c r="P19">
        <v>5.4000000000000003E-3</v>
      </c>
      <c r="Q19">
        <v>0.05</v>
      </c>
      <c r="R19" t="s">
        <v>100</v>
      </c>
    </row>
    <row r="20" spans="1:18" x14ac:dyDescent="0.25">
      <c r="A20">
        <v>14</v>
      </c>
      <c r="B20" t="s">
        <v>5</v>
      </c>
      <c r="C20" t="s">
        <v>107</v>
      </c>
      <c r="D20">
        <v>72.887</v>
      </c>
      <c r="G20">
        <v>72.878</v>
      </c>
      <c r="J20">
        <v>-8.9999999999999993E-3</v>
      </c>
      <c r="M20">
        <v>72.986999999999995</v>
      </c>
      <c r="N20">
        <v>72.787000000000006</v>
      </c>
      <c r="O20" t="s">
        <v>100</v>
      </c>
    </row>
    <row r="21" spans="1:18" x14ac:dyDescent="0.25">
      <c r="A21">
        <v>15</v>
      </c>
      <c r="B21" t="s">
        <v>6</v>
      </c>
      <c r="C21" t="s">
        <v>107</v>
      </c>
      <c r="D21">
        <v>73.745999999999995</v>
      </c>
      <c r="G21">
        <v>73.712999999999994</v>
      </c>
      <c r="J21">
        <v>-3.3000000000000002E-2</v>
      </c>
      <c r="M21">
        <v>73.846000000000004</v>
      </c>
      <c r="N21">
        <v>73.646000000000001</v>
      </c>
      <c r="O21" t="s">
        <v>100</v>
      </c>
    </row>
    <row r="22" spans="1:18" x14ac:dyDescent="0.25">
      <c r="A22">
        <v>16</v>
      </c>
      <c r="B22" t="s">
        <v>7</v>
      </c>
      <c r="C22" t="s">
        <v>107</v>
      </c>
      <c r="D22">
        <v>72.376999999999995</v>
      </c>
      <c r="G22">
        <v>72.339600000000004</v>
      </c>
      <c r="J22">
        <v>-3.7400000000000003E-2</v>
      </c>
      <c r="M22">
        <v>72.477000000000004</v>
      </c>
      <c r="N22">
        <v>72.277000000000001</v>
      </c>
      <c r="O22" t="s">
        <v>100</v>
      </c>
    </row>
    <row r="23" spans="1:18" x14ac:dyDescent="0.25">
      <c r="A23">
        <v>17</v>
      </c>
      <c r="B23" t="s">
        <v>8</v>
      </c>
      <c r="C23" t="s">
        <v>107</v>
      </c>
      <c r="D23">
        <v>72.031000000000006</v>
      </c>
      <c r="G23">
        <v>71.962000000000003</v>
      </c>
      <c r="J23">
        <v>-6.9000000000000006E-2</v>
      </c>
      <c r="M23">
        <v>72.131</v>
      </c>
      <c r="N23">
        <v>71.930999999999997</v>
      </c>
      <c r="O23" t="s">
        <v>100</v>
      </c>
    </row>
    <row r="24" spans="1:18" x14ac:dyDescent="0.25">
      <c r="A24">
        <v>18</v>
      </c>
      <c r="B24" t="s">
        <v>9</v>
      </c>
      <c r="C24" t="s">
        <v>107</v>
      </c>
      <c r="D24">
        <v>75.007000000000005</v>
      </c>
      <c r="G24">
        <v>74.989599999999996</v>
      </c>
      <c r="J24">
        <v>-1.7399999999999999E-2</v>
      </c>
      <c r="M24">
        <v>75.106999999999999</v>
      </c>
      <c r="N24">
        <v>74.906999999999996</v>
      </c>
      <c r="O24" t="s">
        <v>100</v>
      </c>
    </row>
    <row r="25" spans="1:18" x14ac:dyDescent="0.25">
      <c r="A25">
        <v>19</v>
      </c>
      <c r="B25" t="s">
        <v>10</v>
      </c>
      <c r="C25" t="s">
        <v>107</v>
      </c>
      <c r="D25">
        <v>74.007000000000005</v>
      </c>
      <c r="G25">
        <v>73.984800000000007</v>
      </c>
      <c r="J25">
        <v>-2.2200000000000001E-2</v>
      </c>
      <c r="M25">
        <v>74.106999999999999</v>
      </c>
      <c r="N25">
        <v>73.906999999999996</v>
      </c>
      <c r="O25" t="s">
        <v>100</v>
      </c>
    </row>
    <row r="26" spans="1:18" x14ac:dyDescent="0.25">
      <c r="A26">
        <v>20</v>
      </c>
      <c r="B26" t="s">
        <v>11</v>
      </c>
      <c r="C26" t="s">
        <v>107</v>
      </c>
      <c r="D26">
        <v>126</v>
      </c>
      <c r="G26">
        <v>125.931</v>
      </c>
      <c r="J26">
        <v>-6.9000000000000006E-2</v>
      </c>
      <c r="M26">
        <v>126.1</v>
      </c>
      <c r="N26">
        <v>125.9</v>
      </c>
      <c r="O26" t="s">
        <v>100</v>
      </c>
    </row>
    <row r="27" spans="1:18" x14ac:dyDescent="0.25">
      <c r="A27">
        <v>21</v>
      </c>
      <c r="B27" t="s">
        <v>12</v>
      </c>
      <c r="C27" t="s">
        <v>107</v>
      </c>
      <c r="D27">
        <v>124.004</v>
      </c>
      <c r="G27">
        <v>123.92230000000001</v>
      </c>
      <c r="J27">
        <v>-8.1699999999999995E-2</v>
      </c>
      <c r="M27">
        <v>124.104</v>
      </c>
      <c r="N27">
        <v>123.904</v>
      </c>
      <c r="O27" t="s">
        <v>100</v>
      </c>
    </row>
    <row r="28" spans="1:18" x14ac:dyDescent="0.25">
      <c r="A28">
        <v>22</v>
      </c>
      <c r="B28" t="s">
        <v>13</v>
      </c>
      <c r="C28" t="s">
        <v>107</v>
      </c>
      <c r="D28">
        <v>145.262</v>
      </c>
      <c r="G28">
        <v>145.21469999999999</v>
      </c>
      <c r="J28">
        <v>-4.7300000000000002E-2</v>
      </c>
      <c r="M28">
        <v>145.36199999999999</v>
      </c>
      <c r="N28">
        <v>145.16200000000001</v>
      </c>
      <c r="O28" t="s">
        <v>100</v>
      </c>
    </row>
    <row r="29" spans="1:18" x14ac:dyDescent="0.25">
      <c r="A29">
        <v>23</v>
      </c>
      <c r="B29" t="s">
        <v>14</v>
      </c>
      <c r="C29" t="s">
        <v>107</v>
      </c>
      <c r="D29">
        <v>145.774</v>
      </c>
      <c r="G29">
        <v>145.67150000000001</v>
      </c>
      <c r="J29">
        <v>-0.10249999999999999</v>
      </c>
      <c r="M29">
        <v>145.874</v>
      </c>
      <c r="N29">
        <v>145.67400000000001</v>
      </c>
      <c r="O29" t="s">
        <v>102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4A1E7-804B-495B-AB68-9AD5392399AC}">
  <sheetPr codeName="Sheet8"/>
  <dimension ref="A1:R29"/>
  <sheetViews>
    <sheetView workbookViewId="0"/>
  </sheetViews>
  <sheetFormatPr defaultRowHeight="15" x14ac:dyDescent="0.25"/>
  <cols>
    <col min="1" max="1" width="26.5703125" bestFit="1" customWidth="1"/>
    <col min="2" max="2" width="14.140625" bestFit="1" customWidth="1"/>
    <col min="3" max="3" width="18.28515625" bestFit="1" customWidth="1"/>
    <col min="4" max="4" width="8" bestFit="1" customWidth="1"/>
    <col min="5" max="5" width="5.7109375" bestFit="1" customWidth="1"/>
    <col min="6" max="6" width="2" bestFit="1" customWidth="1"/>
    <col min="7" max="7" width="9" bestFit="1" customWidth="1"/>
    <col min="8" max="8" width="8.7109375" bestFit="1" customWidth="1"/>
    <col min="9" max="9" width="7" bestFit="1" customWidth="1"/>
    <col min="10" max="10" width="7.7109375" bestFit="1" customWidth="1"/>
    <col min="11" max="12" width="7" bestFit="1" customWidth="1"/>
    <col min="13" max="14" width="8" bestFit="1" customWidth="1"/>
    <col min="15" max="15" width="5.42578125" bestFit="1" customWidth="1"/>
    <col min="16" max="16" width="7" bestFit="1" customWidth="1"/>
    <col min="17" max="17" width="5" bestFit="1" customWidth="1"/>
    <col min="18" max="18" width="5.42578125" bestFit="1" customWidth="1"/>
  </cols>
  <sheetData>
    <row r="1" spans="1:18" x14ac:dyDescent="0.25">
      <c r="A1" t="s">
        <v>86</v>
      </c>
      <c r="B1" t="s">
        <v>87</v>
      </c>
    </row>
    <row r="2" spans="1:18" x14ac:dyDescent="0.25">
      <c r="A2" t="s">
        <v>88</v>
      </c>
      <c r="B2" t="s">
        <v>89</v>
      </c>
    </row>
    <row r="3" spans="1:18" x14ac:dyDescent="0.25">
      <c r="A3" t="s">
        <v>90</v>
      </c>
      <c r="B3" t="s">
        <v>114</v>
      </c>
    </row>
    <row r="4" spans="1:18" x14ac:dyDescent="0.25">
      <c r="A4" t="s">
        <v>92</v>
      </c>
      <c r="B4" t="s">
        <v>109</v>
      </c>
    </row>
    <row r="5" spans="1:18" x14ac:dyDescent="0.25">
      <c r="A5" t="s">
        <v>94</v>
      </c>
    </row>
    <row r="6" spans="1:18" x14ac:dyDescent="0.25">
      <c r="A6" t="s">
        <v>95</v>
      </c>
    </row>
    <row r="7" spans="1:18" x14ac:dyDescent="0.25">
      <c r="A7" t="s">
        <v>96</v>
      </c>
    </row>
    <row r="8" spans="1:18" x14ac:dyDescent="0.25">
      <c r="A8" t="s">
        <v>88</v>
      </c>
    </row>
    <row r="9" spans="1:18" x14ac:dyDescent="0.25">
      <c r="A9" t="s">
        <v>97</v>
      </c>
    </row>
    <row r="10" spans="1:18" x14ac:dyDescent="0.25">
      <c r="A10">
        <v>4</v>
      </c>
      <c r="B10" t="s">
        <v>98</v>
      </c>
      <c r="C10" t="s">
        <v>99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P10">
        <v>0</v>
      </c>
      <c r="Q10">
        <v>0.05</v>
      </c>
      <c r="R10" t="s">
        <v>100</v>
      </c>
    </row>
    <row r="11" spans="1:18" x14ac:dyDescent="0.25">
      <c r="A11">
        <v>5</v>
      </c>
      <c r="B11" t="s">
        <v>101</v>
      </c>
      <c r="C11" t="s">
        <v>99</v>
      </c>
      <c r="D11">
        <v>62.5</v>
      </c>
      <c r="E11">
        <v>37.5</v>
      </c>
      <c r="F11">
        <v>0</v>
      </c>
      <c r="G11">
        <v>62.480600000000003</v>
      </c>
      <c r="H11">
        <v>37.5169</v>
      </c>
      <c r="I11">
        <v>8.7999999999999995E-2</v>
      </c>
      <c r="J11">
        <v>-1.9400000000000001E-2</v>
      </c>
      <c r="K11">
        <v>1.6899999999999998E-2</v>
      </c>
      <c r="L11">
        <v>8.7999999999999995E-2</v>
      </c>
      <c r="P11">
        <v>0.18340000000000001</v>
      </c>
      <c r="Q11">
        <v>0.05</v>
      </c>
      <c r="R11" t="s">
        <v>102</v>
      </c>
    </row>
    <row r="12" spans="1:18" x14ac:dyDescent="0.25">
      <c r="A12">
        <v>6</v>
      </c>
      <c r="B12" t="s">
        <v>103</v>
      </c>
      <c r="C12" t="s">
        <v>99</v>
      </c>
      <c r="D12">
        <v>-63.5</v>
      </c>
      <c r="E12">
        <v>37.5</v>
      </c>
      <c r="F12">
        <v>0</v>
      </c>
      <c r="G12">
        <v>-63.450899999999997</v>
      </c>
      <c r="H12">
        <v>37.5169</v>
      </c>
      <c r="I12">
        <v>7.1599999999999997E-2</v>
      </c>
      <c r="J12">
        <v>4.9099999999999998E-2</v>
      </c>
      <c r="K12">
        <v>1.6899999999999998E-2</v>
      </c>
      <c r="L12">
        <v>7.1599999999999997E-2</v>
      </c>
      <c r="P12">
        <v>0.17699999999999999</v>
      </c>
      <c r="Q12">
        <v>0.05</v>
      </c>
      <c r="R12" t="s">
        <v>102</v>
      </c>
    </row>
    <row r="13" spans="1:18" x14ac:dyDescent="0.25">
      <c r="A13">
        <v>7</v>
      </c>
      <c r="B13" t="s">
        <v>104</v>
      </c>
      <c r="C13" t="s">
        <v>99</v>
      </c>
      <c r="D13">
        <v>-62.5</v>
      </c>
      <c r="E13">
        <v>-36.5</v>
      </c>
      <c r="F13">
        <v>0</v>
      </c>
      <c r="G13">
        <v>-62.4788</v>
      </c>
      <c r="H13">
        <v>-36.4617</v>
      </c>
      <c r="I13">
        <v>8.8200000000000001E-2</v>
      </c>
      <c r="J13">
        <v>2.12E-2</v>
      </c>
      <c r="K13">
        <v>3.8300000000000001E-2</v>
      </c>
      <c r="L13">
        <v>8.8200000000000001E-2</v>
      </c>
      <c r="P13">
        <v>0.19700000000000001</v>
      </c>
      <c r="Q13">
        <v>0.05</v>
      </c>
      <c r="R13" t="s">
        <v>102</v>
      </c>
    </row>
    <row r="14" spans="1:18" x14ac:dyDescent="0.25">
      <c r="A14">
        <v>8</v>
      </c>
      <c r="B14" t="s">
        <v>105</v>
      </c>
      <c r="C14" t="s">
        <v>99</v>
      </c>
      <c r="D14">
        <v>61.5</v>
      </c>
      <c r="E14">
        <v>-37.5</v>
      </c>
      <c r="F14">
        <v>0</v>
      </c>
      <c r="G14">
        <v>61.440800000000003</v>
      </c>
      <c r="H14">
        <v>-37.465600000000002</v>
      </c>
      <c r="I14">
        <v>7.2099999999999997E-2</v>
      </c>
      <c r="J14">
        <v>-5.9200000000000003E-2</v>
      </c>
      <c r="K14">
        <v>3.44E-2</v>
      </c>
      <c r="L14">
        <v>7.2099999999999997E-2</v>
      </c>
      <c r="P14">
        <v>0.1988</v>
      </c>
      <c r="Q14">
        <v>0.05</v>
      </c>
      <c r="R14" t="s">
        <v>102</v>
      </c>
    </row>
    <row r="15" spans="1:18" x14ac:dyDescent="0.25">
      <c r="A15">
        <v>9</v>
      </c>
      <c r="B15" t="s">
        <v>0</v>
      </c>
      <c r="C15" t="s">
        <v>106</v>
      </c>
      <c r="D15">
        <v>25.4</v>
      </c>
      <c r="G15">
        <v>25.398</v>
      </c>
      <c r="J15">
        <v>-2E-3</v>
      </c>
      <c r="M15">
        <v>25.5</v>
      </c>
      <c r="N15">
        <v>25.3</v>
      </c>
      <c r="O15" t="s">
        <v>100</v>
      </c>
      <c r="P15">
        <v>4.1000000000000003E-3</v>
      </c>
      <c r="Q15">
        <v>0.05</v>
      </c>
      <c r="R15" t="s">
        <v>100</v>
      </c>
    </row>
    <row r="16" spans="1:18" x14ac:dyDescent="0.25">
      <c r="A16">
        <v>10</v>
      </c>
      <c r="B16" t="s">
        <v>1</v>
      </c>
      <c r="C16" t="s">
        <v>106</v>
      </c>
      <c r="D16">
        <v>25.4</v>
      </c>
      <c r="G16">
        <v>25.401800000000001</v>
      </c>
      <c r="J16">
        <v>1.8E-3</v>
      </c>
      <c r="M16">
        <v>25.5</v>
      </c>
      <c r="N16">
        <v>25.3</v>
      </c>
      <c r="O16" t="s">
        <v>100</v>
      </c>
      <c r="P16">
        <v>6.3E-3</v>
      </c>
      <c r="Q16">
        <v>0.05</v>
      </c>
      <c r="R16" t="s">
        <v>100</v>
      </c>
    </row>
    <row r="17" spans="1:18" x14ac:dyDescent="0.25">
      <c r="A17">
        <v>11</v>
      </c>
      <c r="B17" t="s">
        <v>2</v>
      </c>
      <c r="C17" t="s">
        <v>106</v>
      </c>
      <c r="D17">
        <v>25.4</v>
      </c>
      <c r="G17">
        <v>25.401</v>
      </c>
      <c r="J17">
        <v>1E-3</v>
      </c>
      <c r="M17">
        <v>25.5</v>
      </c>
      <c r="N17">
        <v>25.3</v>
      </c>
      <c r="O17" t="s">
        <v>100</v>
      </c>
      <c r="P17">
        <v>4.7000000000000002E-3</v>
      </c>
      <c r="Q17">
        <v>0.05</v>
      </c>
      <c r="R17" t="s">
        <v>100</v>
      </c>
    </row>
    <row r="18" spans="1:18" x14ac:dyDescent="0.25">
      <c r="A18">
        <v>12</v>
      </c>
      <c r="B18" t="s">
        <v>3</v>
      </c>
      <c r="C18" t="s">
        <v>106</v>
      </c>
      <c r="D18">
        <v>25.4</v>
      </c>
      <c r="G18">
        <v>25.402799999999999</v>
      </c>
      <c r="J18">
        <v>2.8E-3</v>
      </c>
      <c r="M18">
        <v>25.5</v>
      </c>
      <c r="N18">
        <v>25.3</v>
      </c>
      <c r="O18" t="s">
        <v>100</v>
      </c>
      <c r="P18">
        <v>4.4999999999999997E-3</v>
      </c>
      <c r="Q18">
        <v>0.05</v>
      </c>
      <c r="R18" t="s">
        <v>100</v>
      </c>
    </row>
    <row r="19" spans="1:18" x14ac:dyDescent="0.25">
      <c r="A19">
        <v>13</v>
      </c>
      <c r="B19" t="s">
        <v>4</v>
      </c>
      <c r="C19" t="s">
        <v>106</v>
      </c>
      <c r="D19">
        <v>25.4</v>
      </c>
      <c r="G19">
        <v>25.401599999999998</v>
      </c>
      <c r="J19">
        <v>1.6000000000000001E-3</v>
      </c>
      <c r="M19">
        <v>25.5</v>
      </c>
      <c r="N19">
        <v>25.3</v>
      </c>
      <c r="O19" t="s">
        <v>100</v>
      </c>
      <c r="P19">
        <v>4.1999999999999997E-3</v>
      </c>
      <c r="Q19">
        <v>0.05</v>
      </c>
      <c r="R19" t="s">
        <v>100</v>
      </c>
    </row>
    <row r="20" spans="1:18" x14ac:dyDescent="0.25">
      <c r="A20">
        <v>14</v>
      </c>
      <c r="B20" t="s">
        <v>5</v>
      </c>
      <c r="C20" t="s">
        <v>107</v>
      </c>
      <c r="D20">
        <v>72.887</v>
      </c>
      <c r="G20">
        <v>72.879000000000005</v>
      </c>
      <c r="J20">
        <v>-8.0000000000000002E-3</v>
      </c>
      <c r="M20">
        <v>72.986999999999995</v>
      </c>
      <c r="N20">
        <v>72.787000000000006</v>
      </c>
      <c r="O20" t="s">
        <v>100</v>
      </c>
    </row>
    <row r="21" spans="1:18" x14ac:dyDescent="0.25">
      <c r="A21">
        <v>15</v>
      </c>
      <c r="B21" t="s">
        <v>6</v>
      </c>
      <c r="C21" t="s">
        <v>107</v>
      </c>
      <c r="D21">
        <v>73.745999999999995</v>
      </c>
      <c r="G21">
        <v>73.712500000000006</v>
      </c>
      <c r="J21">
        <v>-3.3500000000000002E-2</v>
      </c>
      <c r="M21">
        <v>73.846000000000004</v>
      </c>
      <c r="N21">
        <v>73.646000000000001</v>
      </c>
      <c r="O21" t="s">
        <v>100</v>
      </c>
    </row>
    <row r="22" spans="1:18" x14ac:dyDescent="0.25">
      <c r="A22">
        <v>16</v>
      </c>
      <c r="B22" t="s">
        <v>7</v>
      </c>
      <c r="C22" t="s">
        <v>107</v>
      </c>
      <c r="D22">
        <v>72.376999999999995</v>
      </c>
      <c r="G22">
        <v>72.3399</v>
      </c>
      <c r="J22">
        <v>-3.7100000000000001E-2</v>
      </c>
      <c r="M22">
        <v>72.477000000000004</v>
      </c>
      <c r="N22">
        <v>72.277000000000001</v>
      </c>
      <c r="O22" t="s">
        <v>100</v>
      </c>
    </row>
    <row r="23" spans="1:18" x14ac:dyDescent="0.25">
      <c r="A23">
        <v>17</v>
      </c>
      <c r="B23" t="s">
        <v>8</v>
      </c>
      <c r="C23" t="s">
        <v>107</v>
      </c>
      <c r="D23">
        <v>72.031000000000006</v>
      </c>
      <c r="G23">
        <v>71.962800000000001</v>
      </c>
      <c r="J23">
        <v>-6.8199999999999997E-2</v>
      </c>
      <c r="M23">
        <v>72.131</v>
      </c>
      <c r="N23">
        <v>71.930999999999997</v>
      </c>
      <c r="O23" t="s">
        <v>100</v>
      </c>
    </row>
    <row r="24" spans="1:18" x14ac:dyDescent="0.25">
      <c r="A24">
        <v>18</v>
      </c>
      <c r="B24" t="s">
        <v>9</v>
      </c>
      <c r="C24" t="s">
        <v>107</v>
      </c>
      <c r="D24">
        <v>75.007000000000005</v>
      </c>
      <c r="G24">
        <v>74.989699999999999</v>
      </c>
      <c r="J24">
        <v>-1.7299999999999999E-2</v>
      </c>
      <c r="M24">
        <v>75.106999999999999</v>
      </c>
      <c r="N24">
        <v>74.906999999999996</v>
      </c>
      <c r="O24" t="s">
        <v>100</v>
      </c>
    </row>
    <row r="25" spans="1:18" x14ac:dyDescent="0.25">
      <c r="A25">
        <v>19</v>
      </c>
      <c r="B25" t="s">
        <v>10</v>
      </c>
      <c r="C25" t="s">
        <v>107</v>
      </c>
      <c r="D25">
        <v>74.007000000000005</v>
      </c>
      <c r="G25">
        <v>73.984899999999996</v>
      </c>
      <c r="J25">
        <v>-2.2100000000000002E-2</v>
      </c>
      <c r="M25">
        <v>74.106999999999999</v>
      </c>
      <c r="N25">
        <v>73.906999999999996</v>
      </c>
      <c r="O25" t="s">
        <v>100</v>
      </c>
    </row>
    <row r="26" spans="1:18" x14ac:dyDescent="0.25">
      <c r="A26">
        <v>20</v>
      </c>
      <c r="B26" t="s">
        <v>11</v>
      </c>
      <c r="C26" t="s">
        <v>107</v>
      </c>
      <c r="D26">
        <v>126</v>
      </c>
      <c r="G26">
        <v>125.9315</v>
      </c>
      <c r="J26">
        <v>-6.8500000000000005E-2</v>
      </c>
      <c r="M26">
        <v>126.1</v>
      </c>
      <c r="N26">
        <v>125.9</v>
      </c>
      <c r="O26" t="s">
        <v>100</v>
      </c>
    </row>
    <row r="27" spans="1:18" x14ac:dyDescent="0.25">
      <c r="A27">
        <v>21</v>
      </c>
      <c r="B27" t="s">
        <v>12</v>
      </c>
      <c r="C27" t="s">
        <v>107</v>
      </c>
      <c r="D27">
        <v>124.004</v>
      </c>
      <c r="G27">
        <v>123.9237</v>
      </c>
      <c r="J27">
        <v>-8.0299999999999996E-2</v>
      </c>
      <c r="M27">
        <v>124.104</v>
      </c>
      <c r="N27">
        <v>123.904</v>
      </c>
      <c r="O27" t="s">
        <v>100</v>
      </c>
    </row>
    <row r="28" spans="1:18" x14ac:dyDescent="0.25">
      <c r="A28">
        <v>22</v>
      </c>
      <c r="B28" t="s">
        <v>13</v>
      </c>
      <c r="C28" t="s">
        <v>107</v>
      </c>
      <c r="D28">
        <v>145.262</v>
      </c>
      <c r="G28">
        <v>145.21600000000001</v>
      </c>
      <c r="J28">
        <v>-4.5999999999999999E-2</v>
      </c>
      <c r="M28">
        <v>145.36199999999999</v>
      </c>
      <c r="N28">
        <v>145.16200000000001</v>
      </c>
      <c r="O28" t="s">
        <v>100</v>
      </c>
    </row>
    <row r="29" spans="1:18" x14ac:dyDescent="0.25">
      <c r="A29">
        <v>23</v>
      </c>
      <c r="B29" t="s">
        <v>14</v>
      </c>
      <c r="C29" t="s">
        <v>107</v>
      </c>
      <c r="D29">
        <v>145.774</v>
      </c>
      <c r="G29">
        <v>145.67189999999999</v>
      </c>
      <c r="J29">
        <v>-0.1021</v>
      </c>
      <c r="M29">
        <v>145.874</v>
      </c>
      <c r="N29">
        <v>145.67400000000001</v>
      </c>
      <c r="O29" t="s">
        <v>102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2AB4F-298D-4504-AE20-5B8C31956DBC}">
  <sheetPr codeName="Sheet9"/>
  <dimension ref="A1:R29"/>
  <sheetViews>
    <sheetView workbookViewId="0"/>
  </sheetViews>
  <sheetFormatPr defaultRowHeight="15" x14ac:dyDescent="0.25"/>
  <cols>
    <col min="1" max="1" width="26.5703125" bestFit="1" customWidth="1"/>
    <col min="2" max="2" width="14.140625" bestFit="1" customWidth="1"/>
    <col min="3" max="3" width="18.28515625" bestFit="1" customWidth="1"/>
    <col min="4" max="4" width="8" bestFit="1" customWidth="1"/>
    <col min="5" max="5" width="5.7109375" bestFit="1" customWidth="1"/>
    <col min="6" max="6" width="2" bestFit="1" customWidth="1"/>
    <col min="7" max="7" width="9" bestFit="1" customWidth="1"/>
    <col min="8" max="8" width="8.7109375" bestFit="1" customWidth="1"/>
    <col min="9" max="9" width="7" bestFit="1" customWidth="1"/>
    <col min="10" max="10" width="7.7109375" bestFit="1" customWidth="1"/>
    <col min="11" max="12" width="7" bestFit="1" customWidth="1"/>
    <col min="13" max="14" width="8" bestFit="1" customWidth="1"/>
    <col min="15" max="15" width="5.42578125" bestFit="1" customWidth="1"/>
    <col min="16" max="16" width="7" bestFit="1" customWidth="1"/>
    <col min="17" max="17" width="5" bestFit="1" customWidth="1"/>
    <col min="18" max="18" width="5.42578125" bestFit="1" customWidth="1"/>
  </cols>
  <sheetData>
    <row r="1" spans="1:18" x14ac:dyDescent="0.25">
      <c r="A1" t="s">
        <v>86</v>
      </c>
      <c r="B1" t="s">
        <v>87</v>
      </c>
    </row>
    <row r="2" spans="1:18" x14ac:dyDescent="0.25">
      <c r="A2" t="s">
        <v>88</v>
      </c>
      <c r="B2" t="s">
        <v>89</v>
      </c>
    </row>
    <row r="3" spans="1:18" x14ac:dyDescent="0.25">
      <c r="A3" t="s">
        <v>90</v>
      </c>
      <c r="B3" t="s">
        <v>115</v>
      </c>
    </row>
    <row r="4" spans="1:18" x14ac:dyDescent="0.25">
      <c r="A4" t="s">
        <v>92</v>
      </c>
      <c r="B4" t="s">
        <v>109</v>
      </c>
    </row>
    <row r="5" spans="1:18" x14ac:dyDescent="0.25">
      <c r="A5" t="s">
        <v>94</v>
      </c>
    </row>
    <row r="6" spans="1:18" x14ac:dyDescent="0.25">
      <c r="A6" t="s">
        <v>95</v>
      </c>
    </row>
    <row r="7" spans="1:18" x14ac:dyDescent="0.25">
      <c r="A7" t="s">
        <v>96</v>
      </c>
    </row>
    <row r="8" spans="1:18" x14ac:dyDescent="0.25">
      <c r="A8" t="s">
        <v>88</v>
      </c>
    </row>
    <row r="9" spans="1:18" x14ac:dyDescent="0.25">
      <c r="A9" t="s">
        <v>97</v>
      </c>
    </row>
    <row r="10" spans="1:18" x14ac:dyDescent="0.25">
      <c r="A10">
        <v>4</v>
      </c>
      <c r="B10" t="s">
        <v>98</v>
      </c>
      <c r="C10" t="s">
        <v>99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P10">
        <v>0</v>
      </c>
      <c r="Q10">
        <v>0.05</v>
      </c>
      <c r="R10" t="s">
        <v>100</v>
      </c>
    </row>
    <row r="11" spans="1:18" x14ac:dyDescent="0.25">
      <c r="A11">
        <v>5</v>
      </c>
      <c r="B11" t="s">
        <v>101</v>
      </c>
      <c r="C11" t="s">
        <v>99</v>
      </c>
      <c r="D11">
        <v>62.5</v>
      </c>
      <c r="E11">
        <v>37.5</v>
      </c>
      <c r="F11">
        <v>0</v>
      </c>
      <c r="G11">
        <v>62.48</v>
      </c>
      <c r="H11">
        <v>37.516800000000003</v>
      </c>
      <c r="I11">
        <v>8.77E-2</v>
      </c>
      <c r="J11">
        <v>-0.02</v>
      </c>
      <c r="K11">
        <v>1.6799999999999999E-2</v>
      </c>
      <c r="L11">
        <v>8.77E-2</v>
      </c>
      <c r="P11">
        <v>0.18310000000000001</v>
      </c>
      <c r="Q11">
        <v>0.05</v>
      </c>
      <c r="R11" t="s">
        <v>102</v>
      </c>
    </row>
    <row r="12" spans="1:18" x14ac:dyDescent="0.25">
      <c r="A12">
        <v>6</v>
      </c>
      <c r="B12" t="s">
        <v>103</v>
      </c>
      <c r="C12" t="s">
        <v>99</v>
      </c>
      <c r="D12">
        <v>-63.5</v>
      </c>
      <c r="E12">
        <v>37.5</v>
      </c>
      <c r="F12">
        <v>0</v>
      </c>
      <c r="G12">
        <v>-63.450699999999998</v>
      </c>
      <c r="H12">
        <v>37.516800000000003</v>
      </c>
      <c r="I12">
        <v>7.1300000000000002E-2</v>
      </c>
      <c r="J12">
        <v>4.9299999999999997E-2</v>
      </c>
      <c r="K12">
        <v>1.6799999999999999E-2</v>
      </c>
      <c r="L12">
        <v>7.1300000000000002E-2</v>
      </c>
      <c r="P12">
        <v>0.17649999999999999</v>
      </c>
      <c r="Q12">
        <v>0.05</v>
      </c>
      <c r="R12" t="s">
        <v>102</v>
      </c>
    </row>
    <row r="13" spans="1:18" x14ac:dyDescent="0.25">
      <c r="A13">
        <v>7</v>
      </c>
      <c r="B13" t="s">
        <v>104</v>
      </c>
      <c r="C13" t="s">
        <v>99</v>
      </c>
      <c r="D13">
        <v>-62.5</v>
      </c>
      <c r="E13">
        <v>-36.5</v>
      </c>
      <c r="F13">
        <v>0</v>
      </c>
      <c r="G13">
        <v>-62.479100000000003</v>
      </c>
      <c r="H13">
        <v>-36.461599999999997</v>
      </c>
      <c r="I13">
        <v>8.7900000000000006E-2</v>
      </c>
      <c r="J13">
        <v>2.0899999999999998E-2</v>
      </c>
      <c r="K13">
        <v>3.8399999999999997E-2</v>
      </c>
      <c r="L13">
        <v>8.7900000000000006E-2</v>
      </c>
      <c r="P13">
        <v>0.19639999999999999</v>
      </c>
      <c r="Q13">
        <v>0.05</v>
      </c>
      <c r="R13" t="s">
        <v>102</v>
      </c>
    </row>
    <row r="14" spans="1:18" x14ac:dyDescent="0.25">
      <c r="A14">
        <v>8</v>
      </c>
      <c r="B14" t="s">
        <v>105</v>
      </c>
      <c r="C14" t="s">
        <v>99</v>
      </c>
      <c r="D14">
        <v>61.5</v>
      </c>
      <c r="E14">
        <v>-37.5</v>
      </c>
      <c r="F14">
        <v>0</v>
      </c>
      <c r="G14">
        <v>61.440100000000001</v>
      </c>
      <c r="H14">
        <v>-37.4664</v>
      </c>
      <c r="I14">
        <v>7.17E-2</v>
      </c>
      <c r="J14">
        <v>-5.9900000000000002E-2</v>
      </c>
      <c r="K14">
        <v>3.3599999999999998E-2</v>
      </c>
      <c r="L14">
        <v>7.17E-2</v>
      </c>
      <c r="P14">
        <v>0.1986</v>
      </c>
      <c r="Q14">
        <v>0.05</v>
      </c>
      <c r="R14" t="s">
        <v>102</v>
      </c>
    </row>
    <row r="15" spans="1:18" x14ac:dyDescent="0.25">
      <c r="A15">
        <v>9</v>
      </c>
      <c r="B15" t="s">
        <v>0</v>
      </c>
      <c r="C15" t="s">
        <v>106</v>
      </c>
      <c r="D15">
        <v>25.4</v>
      </c>
      <c r="G15">
        <v>25.398099999999999</v>
      </c>
      <c r="J15">
        <v>-1.9E-3</v>
      </c>
      <c r="M15">
        <v>25.5</v>
      </c>
      <c r="N15">
        <v>25.3</v>
      </c>
      <c r="O15" t="s">
        <v>100</v>
      </c>
      <c r="P15">
        <v>5.1000000000000004E-3</v>
      </c>
      <c r="Q15">
        <v>0.05</v>
      </c>
      <c r="R15" t="s">
        <v>100</v>
      </c>
    </row>
    <row r="16" spans="1:18" x14ac:dyDescent="0.25">
      <c r="A16">
        <v>10</v>
      </c>
      <c r="B16" t="s">
        <v>1</v>
      </c>
      <c r="C16" t="s">
        <v>106</v>
      </c>
      <c r="D16">
        <v>25.4</v>
      </c>
      <c r="G16">
        <v>25.401900000000001</v>
      </c>
      <c r="J16">
        <v>1.9E-3</v>
      </c>
      <c r="M16">
        <v>25.5</v>
      </c>
      <c r="N16">
        <v>25.3</v>
      </c>
      <c r="O16" t="s">
        <v>100</v>
      </c>
      <c r="P16">
        <v>5.7000000000000002E-3</v>
      </c>
      <c r="Q16">
        <v>0.05</v>
      </c>
      <c r="R16" t="s">
        <v>100</v>
      </c>
    </row>
    <row r="17" spans="1:18" x14ac:dyDescent="0.25">
      <c r="A17">
        <v>11</v>
      </c>
      <c r="B17" t="s">
        <v>2</v>
      </c>
      <c r="C17" t="s">
        <v>106</v>
      </c>
      <c r="D17">
        <v>25.4</v>
      </c>
      <c r="G17">
        <v>25.4023</v>
      </c>
      <c r="J17">
        <v>2.3E-3</v>
      </c>
      <c r="M17">
        <v>25.5</v>
      </c>
      <c r="N17">
        <v>25.3</v>
      </c>
      <c r="O17" t="s">
        <v>100</v>
      </c>
      <c r="P17">
        <v>5.7000000000000002E-3</v>
      </c>
      <c r="Q17">
        <v>0.05</v>
      </c>
      <c r="R17" t="s">
        <v>100</v>
      </c>
    </row>
    <row r="18" spans="1:18" x14ac:dyDescent="0.25">
      <c r="A18">
        <v>12</v>
      </c>
      <c r="B18" t="s">
        <v>3</v>
      </c>
      <c r="C18" t="s">
        <v>106</v>
      </c>
      <c r="D18">
        <v>25.4</v>
      </c>
      <c r="G18">
        <v>25.403700000000001</v>
      </c>
      <c r="J18">
        <v>3.7000000000000002E-3</v>
      </c>
      <c r="M18">
        <v>25.5</v>
      </c>
      <c r="N18">
        <v>25.3</v>
      </c>
      <c r="O18" t="s">
        <v>100</v>
      </c>
      <c r="P18">
        <v>5.4000000000000003E-3</v>
      </c>
      <c r="Q18">
        <v>0.05</v>
      </c>
      <c r="R18" t="s">
        <v>100</v>
      </c>
    </row>
    <row r="19" spans="1:18" x14ac:dyDescent="0.25">
      <c r="A19">
        <v>13</v>
      </c>
      <c r="B19" t="s">
        <v>4</v>
      </c>
      <c r="C19" t="s">
        <v>106</v>
      </c>
      <c r="D19">
        <v>25.4</v>
      </c>
      <c r="G19">
        <v>25.4009</v>
      </c>
      <c r="J19">
        <v>8.9999999999999998E-4</v>
      </c>
      <c r="M19">
        <v>25.5</v>
      </c>
      <c r="N19">
        <v>25.3</v>
      </c>
      <c r="O19" t="s">
        <v>100</v>
      </c>
      <c r="P19">
        <v>4.0000000000000001E-3</v>
      </c>
      <c r="Q19">
        <v>0.05</v>
      </c>
      <c r="R19" t="s">
        <v>100</v>
      </c>
    </row>
    <row r="20" spans="1:18" x14ac:dyDescent="0.25">
      <c r="A20">
        <v>14</v>
      </c>
      <c r="B20" t="s">
        <v>5</v>
      </c>
      <c r="C20" t="s">
        <v>107</v>
      </c>
      <c r="D20">
        <v>72.887</v>
      </c>
      <c r="G20">
        <v>72.878399999999999</v>
      </c>
      <c r="J20">
        <v>-8.6E-3</v>
      </c>
      <c r="M20">
        <v>72.986999999999995</v>
      </c>
      <c r="N20">
        <v>72.787000000000006</v>
      </c>
      <c r="O20" t="s">
        <v>100</v>
      </c>
    </row>
    <row r="21" spans="1:18" x14ac:dyDescent="0.25">
      <c r="A21">
        <v>15</v>
      </c>
      <c r="B21" t="s">
        <v>6</v>
      </c>
      <c r="C21" t="s">
        <v>107</v>
      </c>
      <c r="D21">
        <v>73.745999999999995</v>
      </c>
      <c r="G21">
        <v>73.712299999999999</v>
      </c>
      <c r="J21">
        <v>-3.3700000000000001E-2</v>
      </c>
      <c r="M21">
        <v>73.846000000000004</v>
      </c>
      <c r="N21">
        <v>73.646000000000001</v>
      </c>
      <c r="O21" t="s">
        <v>100</v>
      </c>
    </row>
    <row r="22" spans="1:18" x14ac:dyDescent="0.25">
      <c r="A22">
        <v>16</v>
      </c>
      <c r="B22" t="s">
        <v>7</v>
      </c>
      <c r="C22" t="s">
        <v>107</v>
      </c>
      <c r="D22">
        <v>72.376999999999995</v>
      </c>
      <c r="G22">
        <v>72.340100000000007</v>
      </c>
      <c r="J22">
        <v>-3.6900000000000002E-2</v>
      </c>
      <c r="M22">
        <v>72.477000000000004</v>
      </c>
      <c r="N22">
        <v>72.277000000000001</v>
      </c>
      <c r="O22" t="s">
        <v>100</v>
      </c>
    </row>
    <row r="23" spans="1:18" x14ac:dyDescent="0.25">
      <c r="A23">
        <v>17</v>
      </c>
      <c r="B23" t="s">
        <v>8</v>
      </c>
      <c r="C23" t="s">
        <v>107</v>
      </c>
      <c r="D23">
        <v>72.031000000000006</v>
      </c>
      <c r="G23">
        <v>71.962599999999995</v>
      </c>
      <c r="J23">
        <v>-6.8400000000000002E-2</v>
      </c>
      <c r="M23">
        <v>72.131</v>
      </c>
      <c r="N23">
        <v>71.930999999999997</v>
      </c>
      <c r="O23" t="s">
        <v>100</v>
      </c>
    </row>
    <row r="24" spans="1:18" x14ac:dyDescent="0.25">
      <c r="A24">
        <v>18</v>
      </c>
      <c r="B24" t="s">
        <v>9</v>
      </c>
      <c r="C24" t="s">
        <v>107</v>
      </c>
      <c r="D24">
        <v>75.007000000000005</v>
      </c>
      <c r="G24">
        <v>74.990399999999994</v>
      </c>
      <c r="J24">
        <v>-1.66E-2</v>
      </c>
      <c r="M24">
        <v>75.106999999999999</v>
      </c>
      <c r="N24">
        <v>74.906999999999996</v>
      </c>
      <c r="O24" t="s">
        <v>100</v>
      </c>
    </row>
    <row r="25" spans="1:18" x14ac:dyDescent="0.25">
      <c r="A25">
        <v>19</v>
      </c>
      <c r="B25" t="s">
        <v>10</v>
      </c>
      <c r="C25" t="s">
        <v>107</v>
      </c>
      <c r="D25">
        <v>74.007000000000005</v>
      </c>
      <c r="G25">
        <v>73.984800000000007</v>
      </c>
      <c r="J25">
        <v>-2.2200000000000001E-2</v>
      </c>
      <c r="M25">
        <v>74.106999999999999</v>
      </c>
      <c r="N25">
        <v>73.906999999999996</v>
      </c>
      <c r="O25" t="s">
        <v>100</v>
      </c>
    </row>
    <row r="26" spans="1:18" x14ac:dyDescent="0.25">
      <c r="A26">
        <v>20</v>
      </c>
      <c r="B26" t="s">
        <v>11</v>
      </c>
      <c r="C26" t="s">
        <v>107</v>
      </c>
      <c r="D26">
        <v>126</v>
      </c>
      <c r="G26">
        <v>125.9307</v>
      </c>
      <c r="J26">
        <v>-6.93E-2</v>
      </c>
      <c r="M26">
        <v>126.1</v>
      </c>
      <c r="N26">
        <v>125.9</v>
      </c>
      <c r="O26" t="s">
        <v>100</v>
      </c>
    </row>
    <row r="27" spans="1:18" x14ac:dyDescent="0.25">
      <c r="A27">
        <v>21</v>
      </c>
      <c r="B27" t="s">
        <v>12</v>
      </c>
      <c r="C27" t="s">
        <v>107</v>
      </c>
      <c r="D27">
        <v>124.004</v>
      </c>
      <c r="G27">
        <v>123.9233</v>
      </c>
      <c r="J27">
        <v>-8.0699999999999994E-2</v>
      </c>
      <c r="M27">
        <v>124.104</v>
      </c>
      <c r="N27">
        <v>123.904</v>
      </c>
      <c r="O27" t="s">
        <v>100</v>
      </c>
    </row>
    <row r="28" spans="1:18" x14ac:dyDescent="0.25">
      <c r="A28">
        <v>22</v>
      </c>
      <c r="B28" t="s">
        <v>13</v>
      </c>
      <c r="C28" t="s">
        <v>107</v>
      </c>
      <c r="D28">
        <v>145.262</v>
      </c>
      <c r="G28">
        <v>145.21559999999999</v>
      </c>
      <c r="J28">
        <v>-4.6399999999999997E-2</v>
      </c>
      <c r="M28">
        <v>145.36199999999999</v>
      </c>
      <c r="N28">
        <v>145.16200000000001</v>
      </c>
      <c r="O28" t="s">
        <v>100</v>
      </c>
    </row>
    <row r="29" spans="1:18" x14ac:dyDescent="0.25">
      <c r="A29">
        <v>23</v>
      </c>
      <c r="B29" t="s">
        <v>14</v>
      </c>
      <c r="C29" t="s">
        <v>107</v>
      </c>
      <c r="D29">
        <v>145.774</v>
      </c>
      <c r="G29">
        <v>145.67150000000001</v>
      </c>
      <c r="J29">
        <v>-0.10249999999999999</v>
      </c>
      <c r="M29">
        <v>145.874</v>
      </c>
      <c r="N29">
        <v>145.67400000000001</v>
      </c>
      <c r="O29" t="s">
        <v>102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143E6-9FBC-4706-9513-739A5010072B}">
  <sheetPr codeName="Sheet10"/>
  <dimension ref="A1:R29"/>
  <sheetViews>
    <sheetView workbookViewId="0"/>
  </sheetViews>
  <sheetFormatPr defaultRowHeight="15" x14ac:dyDescent="0.25"/>
  <cols>
    <col min="1" max="1" width="26.5703125" bestFit="1" customWidth="1"/>
    <col min="2" max="2" width="14.140625" bestFit="1" customWidth="1"/>
    <col min="3" max="3" width="18.28515625" bestFit="1" customWidth="1"/>
    <col min="4" max="4" width="8" bestFit="1" customWidth="1"/>
    <col min="5" max="5" width="5.7109375" bestFit="1" customWidth="1"/>
    <col min="6" max="6" width="2" bestFit="1" customWidth="1"/>
    <col min="7" max="7" width="9" bestFit="1" customWidth="1"/>
    <col min="8" max="8" width="8.7109375" bestFit="1" customWidth="1"/>
    <col min="9" max="9" width="7" bestFit="1" customWidth="1"/>
    <col min="10" max="10" width="7.7109375" bestFit="1" customWidth="1"/>
    <col min="11" max="12" width="7" bestFit="1" customWidth="1"/>
    <col min="13" max="14" width="8" bestFit="1" customWidth="1"/>
    <col min="15" max="15" width="5.42578125" bestFit="1" customWidth="1"/>
    <col min="16" max="16" width="7" bestFit="1" customWidth="1"/>
    <col min="17" max="17" width="5" bestFit="1" customWidth="1"/>
    <col min="18" max="18" width="5.42578125" bestFit="1" customWidth="1"/>
  </cols>
  <sheetData>
    <row r="1" spans="1:18" x14ac:dyDescent="0.25">
      <c r="A1" t="s">
        <v>86</v>
      </c>
      <c r="B1" t="s">
        <v>87</v>
      </c>
    </row>
    <row r="2" spans="1:18" x14ac:dyDescent="0.25">
      <c r="A2" t="s">
        <v>88</v>
      </c>
      <c r="B2" t="s">
        <v>89</v>
      </c>
    </row>
    <row r="3" spans="1:18" x14ac:dyDescent="0.25">
      <c r="A3" t="s">
        <v>90</v>
      </c>
      <c r="B3" t="s">
        <v>116</v>
      </c>
    </row>
    <row r="4" spans="1:18" x14ac:dyDescent="0.25">
      <c r="A4" t="s">
        <v>92</v>
      </c>
      <c r="B4" t="s">
        <v>109</v>
      </c>
    </row>
    <row r="5" spans="1:18" x14ac:dyDescent="0.25">
      <c r="A5" t="s">
        <v>94</v>
      </c>
    </row>
    <row r="6" spans="1:18" x14ac:dyDescent="0.25">
      <c r="A6" t="s">
        <v>95</v>
      </c>
    </row>
    <row r="7" spans="1:18" x14ac:dyDescent="0.25">
      <c r="A7" t="s">
        <v>96</v>
      </c>
    </row>
    <row r="8" spans="1:18" x14ac:dyDescent="0.25">
      <c r="A8" t="s">
        <v>88</v>
      </c>
    </row>
    <row r="9" spans="1:18" x14ac:dyDescent="0.25">
      <c r="A9" t="s">
        <v>97</v>
      </c>
    </row>
    <row r="10" spans="1:18" x14ac:dyDescent="0.25">
      <c r="A10">
        <v>4</v>
      </c>
      <c r="B10" t="s">
        <v>98</v>
      </c>
      <c r="C10" t="s">
        <v>99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P10">
        <v>0</v>
      </c>
      <c r="Q10">
        <v>0.05</v>
      </c>
      <c r="R10" t="s">
        <v>100</v>
      </c>
    </row>
    <row r="11" spans="1:18" x14ac:dyDescent="0.25">
      <c r="A11">
        <v>5</v>
      </c>
      <c r="B11" t="s">
        <v>101</v>
      </c>
      <c r="C11" t="s">
        <v>99</v>
      </c>
      <c r="D11">
        <v>62.5</v>
      </c>
      <c r="E11">
        <v>37.5</v>
      </c>
      <c r="F11">
        <v>0</v>
      </c>
      <c r="G11">
        <v>62.480699999999999</v>
      </c>
      <c r="H11">
        <v>37.5167</v>
      </c>
      <c r="I11">
        <v>8.8400000000000006E-2</v>
      </c>
      <c r="J11">
        <v>-1.9300000000000001E-2</v>
      </c>
      <c r="K11">
        <v>1.67E-2</v>
      </c>
      <c r="L11">
        <v>8.8400000000000006E-2</v>
      </c>
      <c r="P11">
        <v>0.184</v>
      </c>
      <c r="Q11">
        <v>0.05</v>
      </c>
      <c r="R11" t="s">
        <v>102</v>
      </c>
    </row>
    <row r="12" spans="1:18" x14ac:dyDescent="0.25">
      <c r="A12">
        <v>6</v>
      </c>
      <c r="B12" t="s">
        <v>103</v>
      </c>
      <c r="C12" t="s">
        <v>99</v>
      </c>
      <c r="D12">
        <v>-63.5</v>
      </c>
      <c r="E12">
        <v>37.5</v>
      </c>
      <c r="F12">
        <v>0</v>
      </c>
      <c r="G12">
        <v>-63.451799999999999</v>
      </c>
      <c r="H12">
        <v>37.5167</v>
      </c>
      <c r="I12">
        <v>7.2099999999999997E-2</v>
      </c>
      <c r="J12">
        <v>4.82E-2</v>
      </c>
      <c r="K12">
        <v>1.67E-2</v>
      </c>
      <c r="L12">
        <v>7.2099999999999997E-2</v>
      </c>
      <c r="P12">
        <v>0.17660000000000001</v>
      </c>
      <c r="Q12">
        <v>0.05</v>
      </c>
      <c r="R12" t="s">
        <v>102</v>
      </c>
    </row>
    <row r="13" spans="1:18" x14ac:dyDescent="0.25">
      <c r="A13">
        <v>7</v>
      </c>
      <c r="B13" t="s">
        <v>104</v>
      </c>
      <c r="C13" t="s">
        <v>99</v>
      </c>
      <c r="D13">
        <v>-62.5</v>
      </c>
      <c r="E13">
        <v>-36.5</v>
      </c>
      <c r="F13">
        <v>0</v>
      </c>
      <c r="G13">
        <v>-62.478299999999997</v>
      </c>
      <c r="H13">
        <v>-36.461599999999997</v>
      </c>
      <c r="I13">
        <v>8.8599999999999998E-2</v>
      </c>
      <c r="J13">
        <v>2.1700000000000001E-2</v>
      </c>
      <c r="K13">
        <v>3.8399999999999997E-2</v>
      </c>
      <c r="L13">
        <v>8.8599999999999998E-2</v>
      </c>
      <c r="P13">
        <v>0.19800000000000001</v>
      </c>
      <c r="Q13">
        <v>0.05</v>
      </c>
      <c r="R13" t="s">
        <v>102</v>
      </c>
    </row>
    <row r="14" spans="1:18" x14ac:dyDescent="0.25">
      <c r="A14">
        <v>8</v>
      </c>
      <c r="B14" t="s">
        <v>105</v>
      </c>
      <c r="C14" t="s">
        <v>99</v>
      </c>
      <c r="D14">
        <v>61.5</v>
      </c>
      <c r="E14">
        <v>-37.5</v>
      </c>
      <c r="F14">
        <v>0</v>
      </c>
      <c r="G14">
        <v>61.440899999999999</v>
      </c>
      <c r="H14">
        <v>-37.465400000000002</v>
      </c>
      <c r="I14">
        <v>7.2599999999999998E-2</v>
      </c>
      <c r="J14">
        <v>-5.91E-2</v>
      </c>
      <c r="K14">
        <v>3.4599999999999999E-2</v>
      </c>
      <c r="L14">
        <v>7.2599999999999998E-2</v>
      </c>
      <c r="P14">
        <v>0.1996</v>
      </c>
      <c r="Q14">
        <v>0.05</v>
      </c>
      <c r="R14" t="s">
        <v>102</v>
      </c>
    </row>
    <row r="15" spans="1:18" x14ac:dyDescent="0.25">
      <c r="A15">
        <v>9</v>
      </c>
      <c r="B15" t="s">
        <v>0</v>
      </c>
      <c r="C15" t="s">
        <v>106</v>
      </c>
      <c r="D15">
        <v>25.4</v>
      </c>
      <c r="G15">
        <v>25.398099999999999</v>
      </c>
      <c r="J15">
        <v>-1.9E-3</v>
      </c>
      <c r="M15">
        <v>25.5</v>
      </c>
      <c r="N15">
        <v>25.3</v>
      </c>
      <c r="O15" t="s">
        <v>100</v>
      </c>
      <c r="P15">
        <v>5.1000000000000004E-3</v>
      </c>
      <c r="Q15">
        <v>0.05</v>
      </c>
      <c r="R15" t="s">
        <v>100</v>
      </c>
    </row>
    <row r="16" spans="1:18" x14ac:dyDescent="0.25">
      <c r="A16">
        <v>10</v>
      </c>
      <c r="B16" t="s">
        <v>1</v>
      </c>
      <c r="C16" t="s">
        <v>106</v>
      </c>
      <c r="D16">
        <v>25.4</v>
      </c>
      <c r="G16">
        <v>25.401399999999999</v>
      </c>
      <c r="J16">
        <v>1.4E-3</v>
      </c>
      <c r="M16">
        <v>25.5</v>
      </c>
      <c r="N16">
        <v>25.3</v>
      </c>
      <c r="O16" t="s">
        <v>100</v>
      </c>
      <c r="P16">
        <v>5.1999999999999998E-3</v>
      </c>
      <c r="Q16">
        <v>0.05</v>
      </c>
      <c r="R16" t="s">
        <v>100</v>
      </c>
    </row>
    <row r="17" spans="1:18" x14ac:dyDescent="0.25">
      <c r="A17">
        <v>11</v>
      </c>
      <c r="B17" t="s">
        <v>2</v>
      </c>
      <c r="C17" t="s">
        <v>106</v>
      </c>
      <c r="D17">
        <v>25.4</v>
      </c>
      <c r="G17">
        <v>25.400700000000001</v>
      </c>
      <c r="J17">
        <v>6.9999999999999999E-4</v>
      </c>
      <c r="M17">
        <v>25.5</v>
      </c>
      <c r="N17">
        <v>25.3</v>
      </c>
      <c r="O17" t="s">
        <v>100</v>
      </c>
      <c r="P17">
        <v>5.4000000000000003E-3</v>
      </c>
      <c r="Q17">
        <v>0.05</v>
      </c>
      <c r="R17" t="s">
        <v>100</v>
      </c>
    </row>
    <row r="18" spans="1:18" x14ac:dyDescent="0.25">
      <c r="A18">
        <v>12</v>
      </c>
      <c r="B18" t="s">
        <v>3</v>
      </c>
      <c r="C18" t="s">
        <v>106</v>
      </c>
      <c r="D18">
        <v>25.4</v>
      </c>
      <c r="G18">
        <v>25.403199999999998</v>
      </c>
      <c r="J18">
        <v>3.2000000000000002E-3</v>
      </c>
      <c r="M18">
        <v>25.5</v>
      </c>
      <c r="N18">
        <v>25.3</v>
      </c>
      <c r="O18" t="s">
        <v>100</v>
      </c>
      <c r="P18">
        <v>6.1999999999999998E-3</v>
      </c>
      <c r="Q18">
        <v>0.05</v>
      </c>
      <c r="R18" t="s">
        <v>100</v>
      </c>
    </row>
    <row r="19" spans="1:18" x14ac:dyDescent="0.25">
      <c r="A19">
        <v>13</v>
      </c>
      <c r="B19" t="s">
        <v>4</v>
      </c>
      <c r="C19" t="s">
        <v>106</v>
      </c>
      <c r="D19">
        <v>25.4</v>
      </c>
      <c r="G19">
        <v>25.4011</v>
      </c>
      <c r="J19">
        <v>1.1000000000000001E-3</v>
      </c>
      <c r="M19">
        <v>25.5</v>
      </c>
      <c r="N19">
        <v>25.3</v>
      </c>
      <c r="O19" t="s">
        <v>100</v>
      </c>
      <c r="P19">
        <v>6.0000000000000001E-3</v>
      </c>
      <c r="Q19">
        <v>0.05</v>
      </c>
      <c r="R19" t="s">
        <v>100</v>
      </c>
    </row>
    <row r="20" spans="1:18" x14ac:dyDescent="0.25">
      <c r="A20">
        <v>14</v>
      </c>
      <c r="B20" t="s">
        <v>5</v>
      </c>
      <c r="C20" t="s">
        <v>107</v>
      </c>
      <c r="D20">
        <v>72.887</v>
      </c>
      <c r="G20">
        <v>72.879000000000005</v>
      </c>
      <c r="J20">
        <v>-8.0000000000000002E-3</v>
      </c>
      <c r="M20">
        <v>72.986999999999995</v>
      </c>
      <c r="N20">
        <v>72.787000000000006</v>
      </c>
      <c r="O20" t="s">
        <v>100</v>
      </c>
    </row>
    <row r="21" spans="1:18" x14ac:dyDescent="0.25">
      <c r="A21">
        <v>15</v>
      </c>
      <c r="B21" t="s">
        <v>6</v>
      </c>
      <c r="C21" t="s">
        <v>107</v>
      </c>
      <c r="D21">
        <v>73.745999999999995</v>
      </c>
      <c r="G21">
        <v>73.713300000000004</v>
      </c>
      <c r="J21">
        <v>-3.27E-2</v>
      </c>
      <c r="M21">
        <v>73.846000000000004</v>
      </c>
      <c r="N21">
        <v>73.646000000000001</v>
      </c>
      <c r="O21" t="s">
        <v>100</v>
      </c>
    </row>
    <row r="22" spans="1:18" x14ac:dyDescent="0.25">
      <c r="A22">
        <v>16</v>
      </c>
      <c r="B22" t="s">
        <v>7</v>
      </c>
      <c r="C22" t="s">
        <v>107</v>
      </c>
      <c r="D22">
        <v>72.376999999999995</v>
      </c>
      <c r="G22">
        <v>72.339399999999998</v>
      </c>
      <c r="J22">
        <v>-3.7600000000000001E-2</v>
      </c>
      <c r="M22">
        <v>72.477000000000004</v>
      </c>
      <c r="N22">
        <v>72.277000000000001</v>
      </c>
      <c r="O22" t="s">
        <v>100</v>
      </c>
    </row>
    <row r="23" spans="1:18" x14ac:dyDescent="0.25">
      <c r="A23">
        <v>17</v>
      </c>
      <c r="B23" t="s">
        <v>8</v>
      </c>
      <c r="C23" t="s">
        <v>107</v>
      </c>
      <c r="D23">
        <v>72.031000000000006</v>
      </c>
      <c r="G23">
        <v>71.962800000000001</v>
      </c>
      <c r="J23">
        <v>-6.8199999999999997E-2</v>
      </c>
      <c r="M23">
        <v>72.131</v>
      </c>
      <c r="N23">
        <v>71.930999999999997</v>
      </c>
      <c r="O23" t="s">
        <v>100</v>
      </c>
    </row>
    <row r="24" spans="1:18" x14ac:dyDescent="0.25">
      <c r="A24">
        <v>18</v>
      </c>
      <c r="B24" t="s">
        <v>9</v>
      </c>
      <c r="C24" t="s">
        <v>107</v>
      </c>
      <c r="D24">
        <v>75.007000000000005</v>
      </c>
      <c r="G24">
        <v>74.989400000000003</v>
      </c>
      <c r="J24">
        <v>-1.7600000000000001E-2</v>
      </c>
      <c r="M24">
        <v>75.106999999999999</v>
      </c>
      <c r="N24">
        <v>74.906999999999996</v>
      </c>
      <c r="O24" t="s">
        <v>100</v>
      </c>
    </row>
    <row r="25" spans="1:18" x14ac:dyDescent="0.25">
      <c r="A25">
        <v>19</v>
      </c>
      <c r="B25" t="s">
        <v>10</v>
      </c>
      <c r="C25" t="s">
        <v>107</v>
      </c>
      <c r="D25">
        <v>74.007000000000005</v>
      </c>
      <c r="G25">
        <v>73.984700000000004</v>
      </c>
      <c r="J25">
        <v>-2.23E-2</v>
      </c>
      <c r="M25">
        <v>74.106999999999999</v>
      </c>
      <c r="N25">
        <v>73.906999999999996</v>
      </c>
      <c r="O25" t="s">
        <v>100</v>
      </c>
    </row>
    <row r="26" spans="1:18" x14ac:dyDescent="0.25">
      <c r="A26">
        <v>20</v>
      </c>
      <c r="B26" t="s">
        <v>11</v>
      </c>
      <c r="C26" t="s">
        <v>107</v>
      </c>
      <c r="D26">
        <v>126</v>
      </c>
      <c r="G26">
        <v>125.9325</v>
      </c>
      <c r="J26">
        <v>-6.7500000000000004E-2</v>
      </c>
      <c r="M26">
        <v>126.1</v>
      </c>
      <c r="N26">
        <v>125.9</v>
      </c>
      <c r="O26" t="s">
        <v>100</v>
      </c>
    </row>
    <row r="27" spans="1:18" x14ac:dyDescent="0.25">
      <c r="A27">
        <v>21</v>
      </c>
      <c r="B27" t="s">
        <v>12</v>
      </c>
      <c r="C27" t="s">
        <v>107</v>
      </c>
      <c r="D27">
        <v>124.004</v>
      </c>
      <c r="G27">
        <v>123.92319999999999</v>
      </c>
      <c r="J27">
        <v>-8.0799999999999997E-2</v>
      </c>
      <c r="M27">
        <v>124.104</v>
      </c>
      <c r="N27">
        <v>123.904</v>
      </c>
      <c r="O27" t="s">
        <v>100</v>
      </c>
    </row>
    <row r="28" spans="1:18" x14ac:dyDescent="0.25">
      <c r="A28">
        <v>22</v>
      </c>
      <c r="B28" t="s">
        <v>13</v>
      </c>
      <c r="C28" t="s">
        <v>107</v>
      </c>
      <c r="D28">
        <v>145.262</v>
      </c>
      <c r="G28">
        <v>145.21549999999999</v>
      </c>
      <c r="J28">
        <v>-4.65E-2</v>
      </c>
      <c r="M28">
        <v>145.36199999999999</v>
      </c>
      <c r="N28">
        <v>145.16200000000001</v>
      </c>
      <c r="O28" t="s">
        <v>100</v>
      </c>
    </row>
    <row r="29" spans="1:18" x14ac:dyDescent="0.25">
      <c r="A29">
        <v>23</v>
      </c>
      <c r="B29" t="s">
        <v>14</v>
      </c>
      <c r="C29" t="s">
        <v>107</v>
      </c>
      <c r="D29">
        <v>145.774</v>
      </c>
      <c r="G29">
        <v>145.67259999999999</v>
      </c>
      <c r="J29">
        <v>-0.1014</v>
      </c>
      <c r="M29">
        <v>145.874</v>
      </c>
      <c r="N29">
        <v>145.67400000000001</v>
      </c>
      <c r="O29" t="s">
        <v>102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6C7EF-685C-4A8B-8E77-51735116451D}">
  <sheetPr codeName="Sheet11"/>
  <dimension ref="A1:R29"/>
  <sheetViews>
    <sheetView workbookViewId="0"/>
  </sheetViews>
  <sheetFormatPr defaultRowHeight="15" x14ac:dyDescent="0.25"/>
  <cols>
    <col min="1" max="1" width="26.5703125" bestFit="1" customWidth="1"/>
    <col min="2" max="2" width="14.140625" bestFit="1" customWidth="1"/>
    <col min="3" max="3" width="18.28515625" bestFit="1" customWidth="1"/>
    <col min="4" max="4" width="8" bestFit="1" customWidth="1"/>
    <col min="5" max="5" width="5.7109375" bestFit="1" customWidth="1"/>
    <col min="6" max="6" width="2" bestFit="1" customWidth="1"/>
    <col min="7" max="7" width="9" bestFit="1" customWidth="1"/>
    <col min="8" max="8" width="8.7109375" bestFit="1" customWidth="1"/>
    <col min="9" max="9" width="7" bestFit="1" customWidth="1"/>
    <col min="10" max="10" width="7.7109375" bestFit="1" customWidth="1"/>
    <col min="11" max="12" width="7" bestFit="1" customWidth="1"/>
    <col min="13" max="14" width="8" bestFit="1" customWidth="1"/>
    <col min="15" max="15" width="5.42578125" bestFit="1" customWidth="1"/>
    <col min="16" max="16" width="7" bestFit="1" customWidth="1"/>
    <col min="17" max="17" width="5" bestFit="1" customWidth="1"/>
    <col min="18" max="18" width="5.42578125" bestFit="1" customWidth="1"/>
  </cols>
  <sheetData>
    <row r="1" spans="1:18" x14ac:dyDescent="0.25">
      <c r="A1" t="s">
        <v>86</v>
      </c>
      <c r="B1" t="s">
        <v>87</v>
      </c>
    </row>
    <row r="2" spans="1:18" x14ac:dyDescent="0.25">
      <c r="A2" t="s">
        <v>88</v>
      </c>
      <c r="B2" t="s">
        <v>89</v>
      </c>
    </row>
    <row r="3" spans="1:18" x14ac:dyDescent="0.25">
      <c r="A3" t="s">
        <v>90</v>
      </c>
      <c r="B3" t="s">
        <v>117</v>
      </c>
    </row>
    <row r="4" spans="1:18" x14ac:dyDescent="0.25">
      <c r="A4" t="s">
        <v>92</v>
      </c>
      <c r="B4" t="s">
        <v>109</v>
      </c>
    </row>
    <row r="5" spans="1:18" x14ac:dyDescent="0.25">
      <c r="A5" t="s">
        <v>94</v>
      </c>
    </row>
    <row r="6" spans="1:18" x14ac:dyDescent="0.25">
      <c r="A6" t="s">
        <v>95</v>
      </c>
    </row>
    <row r="7" spans="1:18" x14ac:dyDescent="0.25">
      <c r="A7" t="s">
        <v>96</v>
      </c>
    </row>
    <row r="8" spans="1:18" x14ac:dyDescent="0.25">
      <c r="A8" t="s">
        <v>88</v>
      </c>
    </row>
    <row r="9" spans="1:18" x14ac:dyDescent="0.25">
      <c r="A9" t="s">
        <v>97</v>
      </c>
    </row>
    <row r="10" spans="1:18" x14ac:dyDescent="0.25">
      <c r="A10">
        <v>4</v>
      </c>
      <c r="B10" t="s">
        <v>98</v>
      </c>
      <c r="C10" t="s">
        <v>99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P10">
        <v>0</v>
      </c>
      <c r="Q10">
        <v>0.05</v>
      </c>
      <c r="R10" t="s">
        <v>100</v>
      </c>
    </row>
    <row r="11" spans="1:18" x14ac:dyDescent="0.25">
      <c r="A11">
        <v>5</v>
      </c>
      <c r="B11" t="s">
        <v>101</v>
      </c>
      <c r="C11" t="s">
        <v>99</v>
      </c>
      <c r="D11">
        <v>62.5</v>
      </c>
      <c r="E11">
        <v>37.5</v>
      </c>
      <c r="F11">
        <v>0</v>
      </c>
      <c r="G11">
        <v>62.479599999999998</v>
      </c>
      <c r="H11">
        <v>37.516500000000001</v>
      </c>
      <c r="I11">
        <v>8.8300000000000003E-2</v>
      </c>
      <c r="J11">
        <v>-2.0400000000000001E-2</v>
      </c>
      <c r="K11">
        <v>1.6500000000000001E-2</v>
      </c>
      <c r="L11">
        <v>8.8300000000000003E-2</v>
      </c>
      <c r="P11">
        <v>0.1842</v>
      </c>
      <c r="Q11">
        <v>0.05</v>
      </c>
      <c r="R11" t="s">
        <v>102</v>
      </c>
    </row>
    <row r="12" spans="1:18" x14ac:dyDescent="0.25">
      <c r="A12">
        <v>6</v>
      </c>
      <c r="B12" t="s">
        <v>103</v>
      </c>
      <c r="C12" t="s">
        <v>99</v>
      </c>
      <c r="D12">
        <v>-63.5</v>
      </c>
      <c r="E12">
        <v>37.5</v>
      </c>
      <c r="F12">
        <v>0</v>
      </c>
      <c r="G12">
        <v>-63.4514</v>
      </c>
      <c r="H12">
        <v>37.516500000000001</v>
      </c>
      <c r="I12">
        <v>7.2099999999999997E-2</v>
      </c>
      <c r="J12">
        <v>4.8599999999999997E-2</v>
      </c>
      <c r="K12">
        <v>1.6500000000000001E-2</v>
      </c>
      <c r="L12">
        <v>7.2099999999999997E-2</v>
      </c>
      <c r="P12">
        <v>0.17710000000000001</v>
      </c>
      <c r="Q12">
        <v>0.05</v>
      </c>
      <c r="R12" t="s">
        <v>102</v>
      </c>
    </row>
    <row r="13" spans="1:18" x14ac:dyDescent="0.25">
      <c r="A13">
        <v>7</v>
      </c>
      <c r="B13" t="s">
        <v>104</v>
      </c>
      <c r="C13" t="s">
        <v>99</v>
      </c>
      <c r="D13">
        <v>-62.5</v>
      </c>
      <c r="E13">
        <v>-36.5</v>
      </c>
      <c r="F13">
        <v>0</v>
      </c>
      <c r="G13">
        <v>-62.478400000000001</v>
      </c>
      <c r="H13">
        <v>-36.4619</v>
      </c>
      <c r="I13">
        <v>8.8499999999999995E-2</v>
      </c>
      <c r="J13">
        <v>2.1600000000000001E-2</v>
      </c>
      <c r="K13">
        <v>3.8100000000000002E-2</v>
      </c>
      <c r="L13">
        <v>8.8499999999999995E-2</v>
      </c>
      <c r="P13">
        <v>0.19750000000000001</v>
      </c>
      <c r="Q13">
        <v>0.05</v>
      </c>
      <c r="R13" t="s">
        <v>102</v>
      </c>
    </row>
    <row r="14" spans="1:18" x14ac:dyDescent="0.25">
      <c r="A14">
        <v>8</v>
      </c>
      <c r="B14" t="s">
        <v>105</v>
      </c>
      <c r="C14" t="s">
        <v>99</v>
      </c>
      <c r="D14">
        <v>61.5</v>
      </c>
      <c r="E14">
        <v>-37.5</v>
      </c>
      <c r="F14">
        <v>0</v>
      </c>
      <c r="G14">
        <v>61.439900000000002</v>
      </c>
      <c r="H14">
        <v>-37.466000000000001</v>
      </c>
      <c r="I14">
        <v>7.2599999999999998E-2</v>
      </c>
      <c r="J14">
        <v>-6.0100000000000001E-2</v>
      </c>
      <c r="K14">
        <v>3.4000000000000002E-2</v>
      </c>
      <c r="L14">
        <v>7.2599999999999998E-2</v>
      </c>
      <c r="P14">
        <v>0.20039999999999999</v>
      </c>
      <c r="Q14">
        <v>0.05</v>
      </c>
      <c r="R14" t="s">
        <v>102</v>
      </c>
    </row>
    <row r="15" spans="1:18" x14ac:dyDescent="0.25">
      <c r="A15">
        <v>9</v>
      </c>
      <c r="B15" t="s">
        <v>0</v>
      </c>
      <c r="C15" t="s">
        <v>106</v>
      </c>
      <c r="D15">
        <v>25.4</v>
      </c>
      <c r="G15">
        <v>25.398</v>
      </c>
      <c r="J15">
        <v>-2E-3</v>
      </c>
      <c r="M15">
        <v>25.5</v>
      </c>
      <c r="N15">
        <v>25.3</v>
      </c>
      <c r="O15" t="s">
        <v>100</v>
      </c>
      <c r="P15">
        <v>5.1000000000000004E-3</v>
      </c>
      <c r="Q15">
        <v>0.05</v>
      </c>
      <c r="R15" t="s">
        <v>100</v>
      </c>
    </row>
    <row r="16" spans="1:18" x14ac:dyDescent="0.25">
      <c r="A16">
        <v>10</v>
      </c>
      <c r="B16" t="s">
        <v>1</v>
      </c>
      <c r="C16" t="s">
        <v>106</v>
      </c>
      <c r="D16">
        <v>25.4</v>
      </c>
      <c r="G16">
        <v>25.401800000000001</v>
      </c>
      <c r="J16">
        <v>1.8E-3</v>
      </c>
      <c r="M16">
        <v>25.5</v>
      </c>
      <c r="N16">
        <v>25.3</v>
      </c>
      <c r="O16" t="s">
        <v>100</v>
      </c>
      <c r="P16">
        <v>6.1999999999999998E-3</v>
      </c>
      <c r="Q16">
        <v>0.05</v>
      </c>
      <c r="R16" t="s">
        <v>100</v>
      </c>
    </row>
    <row r="17" spans="1:18" x14ac:dyDescent="0.25">
      <c r="A17">
        <v>11</v>
      </c>
      <c r="B17" t="s">
        <v>2</v>
      </c>
      <c r="C17" t="s">
        <v>106</v>
      </c>
      <c r="D17">
        <v>25.4</v>
      </c>
      <c r="G17">
        <v>25.4023</v>
      </c>
      <c r="J17">
        <v>2.3E-3</v>
      </c>
      <c r="M17">
        <v>25.5</v>
      </c>
      <c r="N17">
        <v>25.3</v>
      </c>
      <c r="O17" t="s">
        <v>100</v>
      </c>
      <c r="P17">
        <v>6.3E-3</v>
      </c>
      <c r="Q17">
        <v>0.05</v>
      </c>
      <c r="R17" t="s">
        <v>100</v>
      </c>
    </row>
    <row r="18" spans="1:18" x14ac:dyDescent="0.25">
      <c r="A18">
        <v>12</v>
      </c>
      <c r="B18" t="s">
        <v>3</v>
      </c>
      <c r="C18" t="s">
        <v>106</v>
      </c>
      <c r="D18">
        <v>25.4</v>
      </c>
      <c r="G18">
        <v>25.403300000000002</v>
      </c>
      <c r="J18">
        <v>3.3E-3</v>
      </c>
      <c r="M18">
        <v>25.5</v>
      </c>
      <c r="N18">
        <v>25.3</v>
      </c>
      <c r="O18" t="s">
        <v>100</v>
      </c>
      <c r="P18">
        <v>5.3E-3</v>
      </c>
      <c r="Q18">
        <v>0.05</v>
      </c>
      <c r="R18" t="s">
        <v>100</v>
      </c>
    </row>
    <row r="19" spans="1:18" x14ac:dyDescent="0.25">
      <c r="A19">
        <v>13</v>
      </c>
      <c r="B19" t="s">
        <v>4</v>
      </c>
      <c r="C19" t="s">
        <v>106</v>
      </c>
      <c r="D19">
        <v>25.4</v>
      </c>
      <c r="G19">
        <v>25.401599999999998</v>
      </c>
      <c r="J19">
        <v>1.6000000000000001E-3</v>
      </c>
      <c r="M19">
        <v>25.5</v>
      </c>
      <c r="N19">
        <v>25.3</v>
      </c>
      <c r="O19" t="s">
        <v>100</v>
      </c>
      <c r="P19">
        <v>6.1999999999999998E-3</v>
      </c>
      <c r="Q19">
        <v>0.05</v>
      </c>
      <c r="R19" t="s">
        <v>100</v>
      </c>
    </row>
    <row r="20" spans="1:18" x14ac:dyDescent="0.25">
      <c r="A20">
        <v>14</v>
      </c>
      <c r="B20" t="s">
        <v>5</v>
      </c>
      <c r="C20" t="s">
        <v>107</v>
      </c>
      <c r="D20">
        <v>72.887</v>
      </c>
      <c r="G20">
        <v>72.878</v>
      </c>
      <c r="J20">
        <v>-8.9999999999999993E-3</v>
      </c>
      <c r="M20">
        <v>72.986999999999995</v>
      </c>
      <c r="N20">
        <v>72.787000000000006</v>
      </c>
      <c r="O20" t="s">
        <v>100</v>
      </c>
    </row>
    <row r="21" spans="1:18" x14ac:dyDescent="0.25">
      <c r="A21">
        <v>15</v>
      </c>
      <c r="B21" t="s">
        <v>6</v>
      </c>
      <c r="C21" t="s">
        <v>107</v>
      </c>
      <c r="D21">
        <v>73.745999999999995</v>
      </c>
      <c r="G21">
        <v>73.712800000000001</v>
      </c>
      <c r="J21">
        <v>-3.32E-2</v>
      </c>
      <c r="M21">
        <v>73.846000000000004</v>
      </c>
      <c r="N21">
        <v>73.646000000000001</v>
      </c>
      <c r="O21" t="s">
        <v>100</v>
      </c>
    </row>
    <row r="22" spans="1:18" x14ac:dyDescent="0.25">
      <c r="A22">
        <v>16</v>
      </c>
      <c r="B22" t="s">
        <v>7</v>
      </c>
      <c r="C22" t="s">
        <v>107</v>
      </c>
      <c r="D22">
        <v>72.376999999999995</v>
      </c>
      <c r="G22">
        <v>72.339699999999993</v>
      </c>
      <c r="J22">
        <v>-3.73E-2</v>
      </c>
      <c r="M22">
        <v>72.477000000000004</v>
      </c>
      <c r="N22">
        <v>72.277000000000001</v>
      </c>
      <c r="O22" t="s">
        <v>100</v>
      </c>
    </row>
    <row r="23" spans="1:18" x14ac:dyDescent="0.25">
      <c r="A23">
        <v>17</v>
      </c>
      <c r="B23" t="s">
        <v>8</v>
      </c>
      <c r="C23" t="s">
        <v>107</v>
      </c>
      <c r="D23">
        <v>72.031000000000006</v>
      </c>
      <c r="G23">
        <v>71.962199999999996</v>
      </c>
      <c r="J23">
        <v>-6.88E-2</v>
      </c>
      <c r="M23">
        <v>72.131</v>
      </c>
      <c r="N23">
        <v>71.930999999999997</v>
      </c>
      <c r="O23" t="s">
        <v>100</v>
      </c>
    </row>
    <row r="24" spans="1:18" x14ac:dyDescent="0.25">
      <c r="A24">
        <v>18</v>
      </c>
      <c r="B24" t="s">
        <v>9</v>
      </c>
      <c r="C24" t="s">
        <v>107</v>
      </c>
      <c r="D24">
        <v>75.007000000000005</v>
      </c>
      <c r="G24">
        <v>74.989699999999999</v>
      </c>
      <c r="J24">
        <v>-1.7299999999999999E-2</v>
      </c>
      <c r="M24">
        <v>75.106999999999999</v>
      </c>
      <c r="N24">
        <v>74.906999999999996</v>
      </c>
      <c r="O24" t="s">
        <v>100</v>
      </c>
    </row>
    <row r="25" spans="1:18" x14ac:dyDescent="0.25">
      <c r="A25">
        <v>19</v>
      </c>
      <c r="B25" t="s">
        <v>10</v>
      </c>
      <c r="C25" t="s">
        <v>107</v>
      </c>
      <c r="D25">
        <v>74.007000000000005</v>
      </c>
      <c r="G25">
        <v>73.984899999999996</v>
      </c>
      <c r="J25">
        <v>-2.2100000000000002E-2</v>
      </c>
      <c r="M25">
        <v>74.106999999999999</v>
      </c>
      <c r="N25">
        <v>73.906999999999996</v>
      </c>
      <c r="O25" t="s">
        <v>100</v>
      </c>
    </row>
    <row r="26" spans="1:18" x14ac:dyDescent="0.25">
      <c r="A26">
        <v>20</v>
      </c>
      <c r="B26" t="s">
        <v>11</v>
      </c>
      <c r="C26" t="s">
        <v>107</v>
      </c>
      <c r="D26">
        <v>126</v>
      </c>
      <c r="G26">
        <v>125.931</v>
      </c>
      <c r="J26">
        <v>-6.9000000000000006E-2</v>
      </c>
      <c r="M26">
        <v>126.1</v>
      </c>
      <c r="N26">
        <v>125.9</v>
      </c>
      <c r="O26" t="s">
        <v>100</v>
      </c>
    </row>
    <row r="27" spans="1:18" x14ac:dyDescent="0.25">
      <c r="A27">
        <v>21</v>
      </c>
      <c r="B27" t="s">
        <v>12</v>
      </c>
      <c r="C27" t="s">
        <v>107</v>
      </c>
      <c r="D27">
        <v>124.004</v>
      </c>
      <c r="G27">
        <v>123.9224</v>
      </c>
      <c r="J27">
        <v>-8.1600000000000006E-2</v>
      </c>
      <c r="M27">
        <v>124.104</v>
      </c>
      <c r="N27">
        <v>123.904</v>
      </c>
      <c r="O27" t="s">
        <v>100</v>
      </c>
    </row>
    <row r="28" spans="1:18" x14ac:dyDescent="0.25">
      <c r="A28">
        <v>22</v>
      </c>
      <c r="B28" t="s">
        <v>13</v>
      </c>
      <c r="C28" t="s">
        <v>107</v>
      </c>
      <c r="D28">
        <v>145.262</v>
      </c>
      <c r="G28">
        <v>145.2148</v>
      </c>
      <c r="J28">
        <v>-4.7199999999999999E-2</v>
      </c>
      <c r="M28">
        <v>145.36199999999999</v>
      </c>
      <c r="N28">
        <v>145.16200000000001</v>
      </c>
      <c r="O28" t="s">
        <v>100</v>
      </c>
    </row>
    <row r="29" spans="1:18" x14ac:dyDescent="0.25">
      <c r="A29">
        <v>23</v>
      </c>
      <c r="B29" t="s">
        <v>14</v>
      </c>
      <c r="C29" t="s">
        <v>107</v>
      </c>
      <c r="D29">
        <v>145.774</v>
      </c>
      <c r="G29">
        <v>145.67160000000001</v>
      </c>
      <c r="J29">
        <v>-0.1024</v>
      </c>
      <c r="M29">
        <v>145.874</v>
      </c>
      <c r="N29">
        <v>145.67400000000001</v>
      </c>
      <c r="O29" t="s">
        <v>102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0371E-028C-4011-BAD4-0E14F2E523D2}">
  <sheetPr codeName="Sheet12"/>
  <dimension ref="A1:R29"/>
  <sheetViews>
    <sheetView workbookViewId="0"/>
  </sheetViews>
  <sheetFormatPr defaultRowHeight="15" x14ac:dyDescent="0.25"/>
  <cols>
    <col min="1" max="1" width="26.5703125" bestFit="1" customWidth="1"/>
    <col min="2" max="2" width="14.140625" bestFit="1" customWidth="1"/>
    <col min="3" max="3" width="18.28515625" bestFit="1" customWidth="1"/>
    <col min="4" max="4" width="8" bestFit="1" customWidth="1"/>
    <col min="5" max="5" width="5.7109375" bestFit="1" customWidth="1"/>
    <col min="6" max="6" width="2" bestFit="1" customWidth="1"/>
    <col min="7" max="7" width="9" bestFit="1" customWidth="1"/>
    <col min="8" max="8" width="8.7109375" bestFit="1" customWidth="1"/>
    <col min="9" max="9" width="7" bestFit="1" customWidth="1"/>
    <col min="10" max="10" width="7.7109375" bestFit="1" customWidth="1"/>
    <col min="11" max="12" width="7" bestFit="1" customWidth="1"/>
    <col min="13" max="14" width="8" bestFit="1" customWidth="1"/>
    <col min="15" max="15" width="5.42578125" bestFit="1" customWidth="1"/>
    <col min="16" max="16" width="7" bestFit="1" customWidth="1"/>
    <col min="17" max="17" width="5" bestFit="1" customWidth="1"/>
    <col min="18" max="18" width="5.42578125" bestFit="1" customWidth="1"/>
  </cols>
  <sheetData>
    <row r="1" spans="1:18" x14ac:dyDescent="0.25">
      <c r="A1" t="s">
        <v>86</v>
      </c>
      <c r="B1" t="s">
        <v>87</v>
      </c>
    </row>
    <row r="2" spans="1:18" x14ac:dyDescent="0.25">
      <c r="A2" t="s">
        <v>88</v>
      </c>
      <c r="B2" t="s">
        <v>89</v>
      </c>
    </row>
    <row r="3" spans="1:18" x14ac:dyDescent="0.25">
      <c r="A3" t="s">
        <v>90</v>
      </c>
      <c r="B3" t="s">
        <v>118</v>
      </c>
    </row>
    <row r="4" spans="1:18" x14ac:dyDescent="0.25">
      <c r="A4" t="s">
        <v>92</v>
      </c>
      <c r="B4" t="s">
        <v>109</v>
      </c>
    </row>
    <row r="5" spans="1:18" x14ac:dyDescent="0.25">
      <c r="A5" t="s">
        <v>94</v>
      </c>
    </row>
    <row r="6" spans="1:18" x14ac:dyDescent="0.25">
      <c r="A6" t="s">
        <v>95</v>
      </c>
    </row>
    <row r="7" spans="1:18" x14ac:dyDescent="0.25">
      <c r="A7" t="s">
        <v>96</v>
      </c>
    </row>
    <row r="8" spans="1:18" x14ac:dyDescent="0.25">
      <c r="A8" t="s">
        <v>88</v>
      </c>
    </row>
    <row r="9" spans="1:18" x14ac:dyDescent="0.25">
      <c r="A9" t="s">
        <v>97</v>
      </c>
    </row>
    <row r="10" spans="1:18" x14ac:dyDescent="0.25">
      <c r="A10">
        <v>4</v>
      </c>
      <c r="B10" t="s">
        <v>98</v>
      </c>
      <c r="C10" t="s">
        <v>99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P10">
        <v>0</v>
      </c>
      <c r="Q10">
        <v>0.05</v>
      </c>
      <c r="R10" t="s">
        <v>100</v>
      </c>
    </row>
    <row r="11" spans="1:18" x14ac:dyDescent="0.25">
      <c r="A11">
        <v>5</v>
      </c>
      <c r="B11" t="s">
        <v>101</v>
      </c>
      <c r="C11" t="s">
        <v>99</v>
      </c>
      <c r="D11">
        <v>62.5</v>
      </c>
      <c r="E11">
        <v>37.5</v>
      </c>
      <c r="F11">
        <v>0</v>
      </c>
      <c r="G11">
        <v>62.480200000000004</v>
      </c>
      <c r="H11">
        <v>37.516599999999997</v>
      </c>
      <c r="I11">
        <v>8.8400000000000006E-2</v>
      </c>
      <c r="J11">
        <v>-1.9800000000000002E-2</v>
      </c>
      <c r="K11">
        <v>1.66E-2</v>
      </c>
      <c r="L11">
        <v>8.8400000000000006E-2</v>
      </c>
      <c r="P11">
        <v>0.1842</v>
      </c>
      <c r="Q11">
        <v>0.05</v>
      </c>
      <c r="R11" t="s">
        <v>102</v>
      </c>
    </row>
    <row r="12" spans="1:18" x14ac:dyDescent="0.25">
      <c r="A12">
        <v>6</v>
      </c>
      <c r="B12" t="s">
        <v>103</v>
      </c>
      <c r="C12" t="s">
        <v>99</v>
      </c>
      <c r="D12">
        <v>-63.5</v>
      </c>
      <c r="E12">
        <v>37.5</v>
      </c>
      <c r="F12">
        <v>0</v>
      </c>
      <c r="G12">
        <v>-63.4514</v>
      </c>
      <c r="H12">
        <v>37.516599999999997</v>
      </c>
      <c r="I12">
        <v>7.1900000000000006E-2</v>
      </c>
      <c r="J12">
        <v>4.8599999999999997E-2</v>
      </c>
      <c r="K12">
        <v>1.66E-2</v>
      </c>
      <c r="L12">
        <v>7.1900000000000006E-2</v>
      </c>
      <c r="P12">
        <v>0.1767</v>
      </c>
      <c r="Q12">
        <v>0.05</v>
      </c>
      <c r="R12" t="s">
        <v>102</v>
      </c>
    </row>
    <row r="13" spans="1:18" x14ac:dyDescent="0.25">
      <c r="A13">
        <v>7</v>
      </c>
      <c r="B13" t="s">
        <v>104</v>
      </c>
      <c r="C13" t="s">
        <v>99</v>
      </c>
      <c r="D13">
        <v>-62.5</v>
      </c>
      <c r="E13">
        <v>-36.5</v>
      </c>
      <c r="F13">
        <v>0</v>
      </c>
      <c r="G13">
        <v>-62.478900000000003</v>
      </c>
      <c r="H13">
        <v>-36.461500000000001</v>
      </c>
      <c r="I13">
        <v>8.8700000000000001E-2</v>
      </c>
      <c r="J13">
        <v>2.1100000000000001E-2</v>
      </c>
      <c r="K13">
        <v>3.85E-2</v>
      </c>
      <c r="L13">
        <v>8.8700000000000001E-2</v>
      </c>
      <c r="P13">
        <v>0.19789999999999999</v>
      </c>
      <c r="Q13">
        <v>0.05</v>
      </c>
      <c r="R13" t="s">
        <v>102</v>
      </c>
    </row>
    <row r="14" spans="1:18" x14ac:dyDescent="0.25">
      <c r="A14">
        <v>8</v>
      </c>
      <c r="B14" t="s">
        <v>105</v>
      </c>
      <c r="C14" t="s">
        <v>99</v>
      </c>
      <c r="D14">
        <v>61.5</v>
      </c>
      <c r="E14">
        <v>-37.5</v>
      </c>
      <c r="F14">
        <v>0</v>
      </c>
      <c r="G14">
        <v>61.440300000000001</v>
      </c>
      <c r="H14">
        <v>-37.466200000000001</v>
      </c>
      <c r="I14">
        <v>7.2400000000000006E-2</v>
      </c>
      <c r="J14">
        <v>-5.9700000000000003E-2</v>
      </c>
      <c r="K14">
        <v>3.3799999999999997E-2</v>
      </c>
      <c r="L14">
        <v>7.2400000000000006E-2</v>
      </c>
      <c r="P14">
        <v>0.1996</v>
      </c>
      <c r="Q14">
        <v>0.05</v>
      </c>
      <c r="R14" t="s">
        <v>102</v>
      </c>
    </row>
    <row r="15" spans="1:18" x14ac:dyDescent="0.25">
      <c r="A15">
        <v>9</v>
      </c>
      <c r="B15" t="s">
        <v>0</v>
      </c>
      <c r="C15" t="s">
        <v>106</v>
      </c>
      <c r="D15">
        <v>25.4</v>
      </c>
      <c r="G15">
        <v>25.398299999999999</v>
      </c>
      <c r="J15">
        <v>-1.6999999999999999E-3</v>
      </c>
      <c r="M15">
        <v>25.5</v>
      </c>
      <c r="N15">
        <v>25.3</v>
      </c>
      <c r="O15" t="s">
        <v>100</v>
      </c>
      <c r="P15">
        <v>4.3E-3</v>
      </c>
      <c r="Q15">
        <v>0.05</v>
      </c>
      <c r="R15" t="s">
        <v>100</v>
      </c>
    </row>
    <row r="16" spans="1:18" x14ac:dyDescent="0.25">
      <c r="A16">
        <v>10</v>
      </c>
      <c r="B16" t="s">
        <v>1</v>
      </c>
      <c r="C16" t="s">
        <v>106</v>
      </c>
      <c r="D16">
        <v>25.4</v>
      </c>
      <c r="G16">
        <v>25.401599999999998</v>
      </c>
      <c r="J16">
        <v>1.6000000000000001E-3</v>
      </c>
      <c r="M16">
        <v>25.5</v>
      </c>
      <c r="N16">
        <v>25.3</v>
      </c>
      <c r="O16" t="s">
        <v>100</v>
      </c>
      <c r="P16">
        <v>5.7000000000000002E-3</v>
      </c>
      <c r="Q16">
        <v>0.05</v>
      </c>
      <c r="R16" t="s">
        <v>100</v>
      </c>
    </row>
    <row r="17" spans="1:18" x14ac:dyDescent="0.25">
      <c r="A17">
        <v>11</v>
      </c>
      <c r="B17" t="s">
        <v>2</v>
      </c>
      <c r="C17" t="s">
        <v>106</v>
      </c>
      <c r="D17">
        <v>25.4</v>
      </c>
      <c r="G17">
        <v>25.401</v>
      </c>
      <c r="J17">
        <v>1E-3</v>
      </c>
      <c r="M17">
        <v>25.5</v>
      </c>
      <c r="N17">
        <v>25.3</v>
      </c>
      <c r="O17" t="s">
        <v>100</v>
      </c>
      <c r="P17">
        <v>5.0000000000000001E-3</v>
      </c>
      <c r="Q17">
        <v>0.05</v>
      </c>
      <c r="R17" t="s">
        <v>100</v>
      </c>
    </row>
    <row r="18" spans="1:18" x14ac:dyDescent="0.25">
      <c r="A18">
        <v>12</v>
      </c>
      <c r="B18" t="s">
        <v>3</v>
      </c>
      <c r="C18" t="s">
        <v>106</v>
      </c>
      <c r="D18">
        <v>25.4</v>
      </c>
      <c r="G18">
        <v>25.4025</v>
      </c>
      <c r="J18">
        <v>2.5000000000000001E-3</v>
      </c>
      <c r="M18">
        <v>25.5</v>
      </c>
      <c r="N18">
        <v>25.3</v>
      </c>
      <c r="O18" t="s">
        <v>100</v>
      </c>
      <c r="P18">
        <v>6.3E-3</v>
      </c>
      <c r="Q18">
        <v>0.05</v>
      </c>
      <c r="R18" t="s">
        <v>100</v>
      </c>
    </row>
    <row r="19" spans="1:18" x14ac:dyDescent="0.25">
      <c r="A19">
        <v>13</v>
      </c>
      <c r="B19" t="s">
        <v>4</v>
      </c>
      <c r="C19" t="s">
        <v>106</v>
      </c>
      <c r="D19">
        <v>25.4</v>
      </c>
      <c r="G19">
        <v>25.4009</v>
      </c>
      <c r="J19">
        <v>8.9999999999999998E-4</v>
      </c>
      <c r="M19">
        <v>25.5</v>
      </c>
      <c r="N19">
        <v>25.3</v>
      </c>
      <c r="O19" t="s">
        <v>100</v>
      </c>
      <c r="P19">
        <v>4.1000000000000003E-3</v>
      </c>
      <c r="Q19">
        <v>0.05</v>
      </c>
      <c r="R19" t="s">
        <v>100</v>
      </c>
    </row>
    <row r="20" spans="1:18" x14ac:dyDescent="0.25">
      <c r="A20">
        <v>14</v>
      </c>
      <c r="B20" t="s">
        <v>5</v>
      </c>
      <c r="C20" t="s">
        <v>107</v>
      </c>
      <c r="D20">
        <v>72.887</v>
      </c>
      <c r="G20">
        <v>72.878600000000006</v>
      </c>
      <c r="J20">
        <v>-8.3999999999999995E-3</v>
      </c>
      <c r="M20">
        <v>72.986999999999995</v>
      </c>
      <c r="N20">
        <v>72.787000000000006</v>
      </c>
      <c r="O20" t="s">
        <v>100</v>
      </c>
    </row>
    <row r="21" spans="1:18" x14ac:dyDescent="0.25">
      <c r="A21">
        <v>15</v>
      </c>
      <c r="B21" t="s">
        <v>6</v>
      </c>
      <c r="C21" t="s">
        <v>107</v>
      </c>
      <c r="D21">
        <v>73.745999999999995</v>
      </c>
      <c r="G21">
        <v>73.712900000000005</v>
      </c>
      <c r="J21">
        <v>-3.3099999999999997E-2</v>
      </c>
      <c r="M21">
        <v>73.846000000000004</v>
      </c>
      <c r="N21">
        <v>73.646000000000001</v>
      </c>
      <c r="O21" t="s">
        <v>100</v>
      </c>
    </row>
    <row r="22" spans="1:18" x14ac:dyDescent="0.25">
      <c r="A22">
        <v>16</v>
      </c>
      <c r="B22" t="s">
        <v>7</v>
      </c>
      <c r="C22" t="s">
        <v>107</v>
      </c>
      <c r="D22">
        <v>72.376999999999995</v>
      </c>
      <c r="G22">
        <v>72.3399</v>
      </c>
      <c r="J22">
        <v>-3.7100000000000001E-2</v>
      </c>
      <c r="M22">
        <v>72.477000000000004</v>
      </c>
      <c r="N22">
        <v>72.277000000000001</v>
      </c>
      <c r="O22" t="s">
        <v>100</v>
      </c>
    </row>
    <row r="23" spans="1:18" x14ac:dyDescent="0.25">
      <c r="A23">
        <v>17</v>
      </c>
      <c r="B23" t="s">
        <v>8</v>
      </c>
      <c r="C23" t="s">
        <v>107</v>
      </c>
      <c r="D23">
        <v>72.031000000000006</v>
      </c>
      <c r="G23">
        <v>71.962599999999995</v>
      </c>
      <c r="J23">
        <v>-6.8400000000000002E-2</v>
      </c>
      <c r="M23">
        <v>72.131</v>
      </c>
      <c r="N23">
        <v>71.930999999999997</v>
      </c>
      <c r="O23" t="s">
        <v>100</v>
      </c>
    </row>
    <row r="24" spans="1:18" x14ac:dyDescent="0.25">
      <c r="A24">
        <v>18</v>
      </c>
      <c r="B24" t="s">
        <v>9</v>
      </c>
      <c r="C24" t="s">
        <v>107</v>
      </c>
      <c r="D24">
        <v>75.007000000000005</v>
      </c>
      <c r="G24">
        <v>74.989999999999995</v>
      </c>
      <c r="J24">
        <v>-1.7000000000000001E-2</v>
      </c>
      <c r="M24">
        <v>75.106999999999999</v>
      </c>
      <c r="N24">
        <v>74.906999999999996</v>
      </c>
      <c r="O24" t="s">
        <v>100</v>
      </c>
    </row>
    <row r="25" spans="1:18" x14ac:dyDescent="0.25">
      <c r="A25">
        <v>19</v>
      </c>
      <c r="B25" t="s">
        <v>10</v>
      </c>
      <c r="C25" t="s">
        <v>107</v>
      </c>
      <c r="D25">
        <v>74.007000000000005</v>
      </c>
      <c r="G25">
        <v>73.984499999999997</v>
      </c>
      <c r="J25">
        <v>-2.2499999999999999E-2</v>
      </c>
      <c r="M25">
        <v>74.106999999999999</v>
      </c>
      <c r="N25">
        <v>73.906999999999996</v>
      </c>
      <c r="O25" t="s">
        <v>100</v>
      </c>
    </row>
    <row r="26" spans="1:18" x14ac:dyDescent="0.25">
      <c r="A26">
        <v>20</v>
      </c>
      <c r="B26" t="s">
        <v>11</v>
      </c>
      <c r="C26" t="s">
        <v>107</v>
      </c>
      <c r="D26">
        <v>126</v>
      </c>
      <c r="G26">
        <v>125.93170000000001</v>
      </c>
      <c r="J26">
        <v>-6.83E-2</v>
      </c>
      <c r="M26">
        <v>126.1</v>
      </c>
      <c r="N26">
        <v>125.9</v>
      </c>
      <c r="O26" t="s">
        <v>100</v>
      </c>
    </row>
    <row r="27" spans="1:18" x14ac:dyDescent="0.25">
      <c r="A27">
        <v>21</v>
      </c>
      <c r="B27" t="s">
        <v>12</v>
      </c>
      <c r="C27" t="s">
        <v>107</v>
      </c>
      <c r="D27">
        <v>124.004</v>
      </c>
      <c r="G27">
        <v>123.92319999999999</v>
      </c>
      <c r="J27">
        <v>-8.0799999999999997E-2</v>
      </c>
      <c r="M27">
        <v>124.104</v>
      </c>
      <c r="N27">
        <v>123.904</v>
      </c>
      <c r="O27" t="s">
        <v>100</v>
      </c>
    </row>
    <row r="28" spans="1:18" x14ac:dyDescent="0.25">
      <c r="A28">
        <v>22</v>
      </c>
      <c r="B28" t="s">
        <v>13</v>
      </c>
      <c r="C28" t="s">
        <v>107</v>
      </c>
      <c r="D28">
        <v>145.262</v>
      </c>
      <c r="G28">
        <v>145.21549999999999</v>
      </c>
      <c r="J28">
        <v>-4.65E-2</v>
      </c>
      <c r="M28">
        <v>145.36199999999999</v>
      </c>
      <c r="N28">
        <v>145.16200000000001</v>
      </c>
      <c r="O28" t="s">
        <v>100</v>
      </c>
    </row>
    <row r="29" spans="1:18" x14ac:dyDescent="0.25">
      <c r="A29">
        <v>23</v>
      </c>
      <c r="B29" t="s">
        <v>14</v>
      </c>
      <c r="C29" t="s">
        <v>107</v>
      </c>
      <c r="D29">
        <v>145.774</v>
      </c>
      <c r="G29">
        <v>145.6721</v>
      </c>
      <c r="J29">
        <v>-0.1019</v>
      </c>
      <c r="M29">
        <v>145.874</v>
      </c>
      <c r="N29">
        <v>145.67400000000001</v>
      </c>
      <c r="O29" t="s">
        <v>102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E54F94-125F-4B92-9B4E-972CBEAE8393}">
  <sheetPr codeName="Sheet13"/>
  <dimension ref="A1:R29"/>
  <sheetViews>
    <sheetView workbookViewId="0"/>
  </sheetViews>
  <sheetFormatPr defaultRowHeight="15" x14ac:dyDescent="0.25"/>
  <cols>
    <col min="1" max="1" width="26.5703125" bestFit="1" customWidth="1"/>
    <col min="2" max="2" width="14.140625" bestFit="1" customWidth="1"/>
    <col min="3" max="3" width="18.28515625" bestFit="1" customWidth="1"/>
    <col min="4" max="4" width="8" bestFit="1" customWidth="1"/>
    <col min="5" max="5" width="5.7109375" bestFit="1" customWidth="1"/>
    <col min="6" max="6" width="2" bestFit="1" customWidth="1"/>
    <col min="7" max="7" width="9" bestFit="1" customWidth="1"/>
    <col min="8" max="8" width="8.7109375" bestFit="1" customWidth="1"/>
    <col min="9" max="9" width="7" bestFit="1" customWidth="1"/>
    <col min="10" max="10" width="7.7109375" bestFit="1" customWidth="1"/>
    <col min="11" max="12" width="7" bestFit="1" customWidth="1"/>
    <col min="13" max="14" width="8" bestFit="1" customWidth="1"/>
    <col min="15" max="15" width="5.42578125" bestFit="1" customWidth="1"/>
    <col min="16" max="16" width="7" bestFit="1" customWidth="1"/>
    <col min="17" max="17" width="5" bestFit="1" customWidth="1"/>
    <col min="18" max="18" width="5.42578125" bestFit="1" customWidth="1"/>
  </cols>
  <sheetData>
    <row r="1" spans="1:18" x14ac:dyDescent="0.25">
      <c r="A1" t="s">
        <v>86</v>
      </c>
      <c r="B1" t="s">
        <v>87</v>
      </c>
    </row>
    <row r="2" spans="1:18" x14ac:dyDescent="0.25">
      <c r="A2" t="s">
        <v>88</v>
      </c>
      <c r="B2" t="s">
        <v>89</v>
      </c>
    </row>
    <row r="3" spans="1:18" x14ac:dyDescent="0.25">
      <c r="A3" t="s">
        <v>90</v>
      </c>
      <c r="B3" t="s">
        <v>119</v>
      </c>
    </row>
    <row r="4" spans="1:18" x14ac:dyDescent="0.25">
      <c r="A4" t="s">
        <v>92</v>
      </c>
      <c r="B4" t="s">
        <v>109</v>
      </c>
    </row>
    <row r="5" spans="1:18" x14ac:dyDescent="0.25">
      <c r="A5" t="s">
        <v>94</v>
      </c>
    </row>
    <row r="6" spans="1:18" x14ac:dyDescent="0.25">
      <c r="A6" t="s">
        <v>95</v>
      </c>
    </row>
    <row r="7" spans="1:18" x14ac:dyDescent="0.25">
      <c r="A7" t="s">
        <v>96</v>
      </c>
    </row>
    <row r="8" spans="1:18" x14ac:dyDescent="0.25">
      <c r="A8" t="s">
        <v>88</v>
      </c>
    </row>
    <row r="9" spans="1:18" x14ac:dyDescent="0.25">
      <c r="A9" t="s">
        <v>97</v>
      </c>
    </row>
    <row r="10" spans="1:18" x14ac:dyDescent="0.25">
      <c r="A10">
        <v>4</v>
      </c>
      <c r="B10" t="s">
        <v>98</v>
      </c>
      <c r="C10" t="s">
        <v>99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P10">
        <v>0</v>
      </c>
      <c r="Q10">
        <v>0.05</v>
      </c>
      <c r="R10" t="s">
        <v>100</v>
      </c>
    </row>
    <row r="11" spans="1:18" x14ac:dyDescent="0.25">
      <c r="A11">
        <v>5</v>
      </c>
      <c r="B11" t="s">
        <v>101</v>
      </c>
      <c r="C11" t="s">
        <v>99</v>
      </c>
      <c r="D11">
        <v>62.5</v>
      </c>
      <c r="E11">
        <v>37.5</v>
      </c>
      <c r="F11">
        <v>0</v>
      </c>
      <c r="G11">
        <v>62.479700000000001</v>
      </c>
      <c r="H11">
        <v>37.516500000000001</v>
      </c>
      <c r="I11">
        <v>8.77E-2</v>
      </c>
      <c r="J11">
        <v>-2.0299999999999999E-2</v>
      </c>
      <c r="K11">
        <v>1.6500000000000001E-2</v>
      </c>
      <c r="L11">
        <v>8.77E-2</v>
      </c>
      <c r="P11">
        <v>0.18310000000000001</v>
      </c>
      <c r="Q11">
        <v>0.05</v>
      </c>
      <c r="R11" t="s">
        <v>102</v>
      </c>
    </row>
    <row r="12" spans="1:18" x14ac:dyDescent="0.25">
      <c r="A12">
        <v>6</v>
      </c>
      <c r="B12" t="s">
        <v>103</v>
      </c>
      <c r="C12" t="s">
        <v>99</v>
      </c>
      <c r="D12">
        <v>-63.5</v>
      </c>
      <c r="E12">
        <v>37.5</v>
      </c>
      <c r="F12">
        <v>0</v>
      </c>
      <c r="G12">
        <v>-63.451900000000002</v>
      </c>
      <c r="H12">
        <v>37.516500000000001</v>
      </c>
      <c r="I12">
        <v>7.1499999999999994E-2</v>
      </c>
      <c r="J12">
        <v>4.8099999999999997E-2</v>
      </c>
      <c r="K12">
        <v>1.6500000000000001E-2</v>
      </c>
      <c r="L12">
        <v>7.1499999999999994E-2</v>
      </c>
      <c r="P12">
        <v>0.1754</v>
      </c>
      <c r="Q12">
        <v>0.05</v>
      </c>
      <c r="R12" t="s">
        <v>102</v>
      </c>
    </row>
    <row r="13" spans="1:18" x14ac:dyDescent="0.25">
      <c r="A13">
        <v>7</v>
      </c>
      <c r="B13" t="s">
        <v>104</v>
      </c>
      <c r="C13" t="s">
        <v>99</v>
      </c>
      <c r="D13">
        <v>-62.5</v>
      </c>
      <c r="E13">
        <v>-36.5</v>
      </c>
      <c r="F13">
        <v>0</v>
      </c>
      <c r="G13">
        <v>-62.478499999999997</v>
      </c>
      <c r="H13">
        <v>-36.4619</v>
      </c>
      <c r="I13">
        <v>8.7999999999999995E-2</v>
      </c>
      <c r="J13">
        <v>2.1499999999999998E-2</v>
      </c>
      <c r="K13">
        <v>3.8100000000000002E-2</v>
      </c>
      <c r="L13">
        <v>8.7999999999999995E-2</v>
      </c>
      <c r="P13">
        <v>0.19650000000000001</v>
      </c>
      <c r="Q13">
        <v>0.05</v>
      </c>
      <c r="R13" t="s">
        <v>102</v>
      </c>
    </row>
    <row r="14" spans="1:18" x14ac:dyDescent="0.25">
      <c r="A14">
        <v>8</v>
      </c>
      <c r="B14" t="s">
        <v>105</v>
      </c>
      <c r="C14" t="s">
        <v>99</v>
      </c>
      <c r="D14">
        <v>61.5</v>
      </c>
      <c r="E14">
        <v>-37.5</v>
      </c>
      <c r="F14">
        <v>0</v>
      </c>
      <c r="G14">
        <v>61.440399999999997</v>
      </c>
      <c r="H14">
        <v>-37.466200000000001</v>
      </c>
      <c r="I14">
        <v>7.1900000000000006E-2</v>
      </c>
      <c r="J14">
        <v>-5.96E-2</v>
      </c>
      <c r="K14">
        <v>3.3799999999999997E-2</v>
      </c>
      <c r="L14">
        <v>7.1900000000000006E-2</v>
      </c>
      <c r="P14">
        <v>0.19869999999999999</v>
      </c>
      <c r="Q14">
        <v>0.05</v>
      </c>
      <c r="R14" t="s">
        <v>102</v>
      </c>
    </row>
    <row r="15" spans="1:18" x14ac:dyDescent="0.25">
      <c r="A15">
        <v>9</v>
      </c>
      <c r="B15" t="s">
        <v>0</v>
      </c>
      <c r="C15" t="s">
        <v>106</v>
      </c>
      <c r="D15">
        <v>25.4</v>
      </c>
      <c r="G15">
        <v>25.397600000000001</v>
      </c>
      <c r="J15">
        <v>-2.3999999999999998E-3</v>
      </c>
      <c r="M15">
        <v>25.5</v>
      </c>
      <c r="N15">
        <v>25.3</v>
      </c>
      <c r="O15" t="s">
        <v>100</v>
      </c>
      <c r="P15">
        <v>5.5999999999999999E-3</v>
      </c>
      <c r="Q15">
        <v>0.05</v>
      </c>
      <c r="R15" t="s">
        <v>100</v>
      </c>
    </row>
    <row r="16" spans="1:18" x14ac:dyDescent="0.25">
      <c r="A16">
        <v>10</v>
      </c>
      <c r="B16" t="s">
        <v>1</v>
      </c>
      <c r="C16" t="s">
        <v>106</v>
      </c>
      <c r="D16">
        <v>25.4</v>
      </c>
      <c r="G16">
        <v>25.401700000000002</v>
      </c>
      <c r="J16">
        <v>1.6999999999999999E-3</v>
      </c>
      <c r="M16">
        <v>25.5</v>
      </c>
      <c r="N16">
        <v>25.3</v>
      </c>
      <c r="O16" t="s">
        <v>100</v>
      </c>
      <c r="P16">
        <v>4.7999999999999996E-3</v>
      </c>
      <c r="Q16">
        <v>0.05</v>
      </c>
      <c r="R16" t="s">
        <v>100</v>
      </c>
    </row>
    <row r="17" spans="1:18" x14ac:dyDescent="0.25">
      <c r="A17">
        <v>11</v>
      </c>
      <c r="B17" t="s">
        <v>2</v>
      </c>
      <c r="C17" t="s">
        <v>106</v>
      </c>
      <c r="D17">
        <v>25.4</v>
      </c>
      <c r="G17">
        <v>25.401499999999999</v>
      </c>
      <c r="J17">
        <v>1.5E-3</v>
      </c>
      <c r="M17">
        <v>25.5</v>
      </c>
      <c r="N17">
        <v>25.3</v>
      </c>
      <c r="O17" t="s">
        <v>100</v>
      </c>
      <c r="P17">
        <v>4.0000000000000001E-3</v>
      </c>
      <c r="Q17">
        <v>0.05</v>
      </c>
      <c r="R17" t="s">
        <v>100</v>
      </c>
    </row>
    <row r="18" spans="1:18" x14ac:dyDescent="0.25">
      <c r="A18">
        <v>12</v>
      </c>
      <c r="B18" t="s">
        <v>3</v>
      </c>
      <c r="C18" t="s">
        <v>106</v>
      </c>
      <c r="D18">
        <v>25.4</v>
      </c>
      <c r="G18">
        <v>25.403500000000001</v>
      </c>
      <c r="J18">
        <v>3.5000000000000001E-3</v>
      </c>
      <c r="M18">
        <v>25.5</v>
      </c>
      <c r="N18">
        <v>25.3</v>
      </c>
      <c r="O18" t="s">
        <v>100</v>
      </c>
      <c r="P18">
        <v>5.1999999999999998E-3</v>
      </c>
      <c r="Q18">
        <v>0.05</v>
      </c>
      <c r="R18" t="s">
        <v>100</v>
      </c>
    </row>
    <row r="19" spans="1:18" x14ac:dyDescent="0.25">
      <c r="A19">
        <v>13</v>
      </c>
      <c r="B19" t="s">
        <v>4</v>
      </c>
      <c r="C19" t="s">
        <v>106</v>
      </c>
      <c r="D19">
        <v>25.4</v>
      </c>
      <c r="G19">
        <v>25.401</v>
      </c>
      <c r="J19">
        <v>1E-3</v>
      </c>
      <c r="M19">
        <v>25.5</v>
      </c>
      <c r="N19">
        <v>25.3</v>
      </c>
      <c r="O19" t="s">
        <v>100</v>
      </c>
      <c r="P19">
        <v>5.4000000000000003E-3</v>
      </c>
      <c r="Q19">
        <v>0.05</v>
      </c>
      <c r="R19" t="s">
        <v>100</v>
      </c>
    </row>
    <row r="20" spans="1:18" x14ac:dyDescent="0.25">
      <c r="A20">
        <v>14</v>
      </c>
      <c r="B20" t="s">
        <v>5</v>
      </c>
      <c r="C20" t="s">
        <v>107</v>
      </c>
      <c r="D20">
        <v>72.887</v>
      </c>
      <c r="G20">
        <v>72.878100000000003</v>
      </c>
      <c r="J20">
        <v>-8.8999999999999999E-3</v>
      </c>
      <c r="M20">
        <v>72.986999999999995</v>
      </c>
      <c r="N20">
        <v>72.787000000000006</v>
      </c>
      <c r="O20" t="s">
        <v>100</v>
      </c>
    </row>
    <row r="21" spans="1:18" x14ac:dyDescent="0.25">
      <c r="A21">
        <v>15</v>
      </c>
      <c r="B21" t="s">
        <v>6</v>
      </c>
      <c r="C21" t="s">
        <v>107</v>
      </c>
      <c r="D21">
        <v>73.745999999999995</v>
      </c>
      <c r="G21">
        <v>73.713200000000001</v>
      </c>
      <c r="J21">
        <v>-3.2800000000000003E-2</v>
      </c>
      <c r="M21">
        <v>73.846000000000004</v>
      </c>
      <c r="N21">
        <v>73.646000000000001</v>
      </c>
      <c r="O21" t="s">
        <v>100</v>
      </c>
    </row>
    <row r="22" spans="1:18" x14ac:dyDescent="0.25">
      <c r="A22">
        <v>16</v>
      </c>
      <c r="B22" t="s">
        <v>7</v>
      </c>
      <c r="C22" t="s">
        <v>107</v>
      </c>
      <c r="D22">
        <v>72.376999999999995</v>
      </c>
      <c r="G22">
        <v>72.339799999999997</v>
      </c>
      <c r="J22">
        <v>-3.7199999999999997E-2</v>
      </c>
      <c r="M22">
        <v>72.477000000000004</v>
      </c>
      <c r="N22">
        <v>72.277000000000001</v>
      </c>
      <c r="O22" t="s">
        <v>100</v>
      </c>
    </row>
    <row r="23" spans="1:18" x14ac:dyDescent="0.25">
      <c r="A23">
        <v>17</v>
      </c>
      <c r="B23" t="s">
        <v>8</v>
      </c>
      <c r="C23" t="s">
        <v>107</v>
      </c>
      <c r="D23">
        <v>72.031000000000006</v>
      </c>
      <c r="G23">
        <v>71.962800000000001</v>
      </c>
      <c r="J23">
        <v>-6.8199999999999997E-2</v>
      </c>
      <c r="M23">
        <v>72.131</v>
      </c>
      <c r="N23">
        <v>71.930999999999997</v>
      </c>
      <c r="O23" t="s">
        <v>100</v>
      </c>
    </row>
    <row r="24" spans="1:18" x14ac:dyDescent="0.25">
      <c r="A24">
        <v>18</v>
      </c>
      <c r="B24" t="s">
        <v>9</v>
      </c>
      <c r="C24" t="s">
        <v>107</v>
      </c>
      <c r="D24">
        <v>75.007000000000005</v>
      </c>
      <c r="G24">
        <v>74.989900000000006</v>
      </c>
      <c r="J24">
        <v>-1.7100000000000001E-2</v>
      </c>
      <c r="M24">
        <v>75.106999999999999</v>
      </c>
      <c r="N24">
        <v>74.906999999999996</v>
      </c>
      <c r="O24" t="s">
        <v>100</v>
      </c>
    </row>
    <row r="25" spans="1:18" x14ac:dyDescent="0.25">
      <c r="A25">
        <v>19</v>
      </c>
      <c r="B25" t="s">
        <v>10</v>
      </c>
      <c r="C25" t="s">
        <v>107</v>
      </c>
      <c r="D25">
        <v>74.007000000000005</v>
      </c>
      <c r="G25">
        <v>73.984700000000004</v>
      </c>
      <c r="J25">
        <v>-2.23E-2</v>
      </c>
      <c r="M25">
        <v>74.106999999999999</v>
      </c>
      <c r="N25">
        <v>73.906999999999996</v>
      </c>
      <c r="O25" t="s">
        <v>100</v>
      </c>
    </row>
    <row r="26" spans="1:18" x14ac:dyDescent="0.25">
      <c r="A26">
        <v>20</v>
      </c>
      <c r="B26" t="s">
        <v>11</v>
      </c>
      <c r="C26" t="s">
        <v>107</v>
      </c>
      <c r="D26">
        <v>126</v>
      </c>
      <c r="G26">
        <v>125.9316</v>
      </c>
      <c r="J26">
        <v>-6.8400000000000002E-2</v>
      </c>
      <c r="M26">
        <v>126.1</v>
      </c>
      <c r="N26">
        <v>125.9</v>
      </c>
      <c r="O26" t="s">
        <v>100</v>
      </c>
    </row>
    <row r="27" spans="1:18" x14ac:dyDescent="0.25">
      <c r="A27">
        <v>21</v>
      </c>
      <c r="B27" t="s">
        <v>12</v>
      </c>
      <c r="C27" t="s">
        <v>107</v>
      </c>
      <c r="D27">
        <v>124.004</v>
      </c>
      <c r="G27">
        <v>123.923</v>
      </c>
      <c r="J27">
        <v>-8.1000000000000003E-2</v>
      </c>
      <c r="M27">
        <v>124.104</v>
      </c>
      <c r="N27">
        <v>123.904</v>
      </c>
      <c r="O27" t="s">
        <v>100</v>
      </c>
    </row>
    <row r="28" spans="1:18" x14ac:dyDescent="0.25">
      <c r="A28">
        <v>22</v>
      </c>
      <c r="B28" t="s">
        <v>13</v>
      </c>
      <c r="C28" t="s">
        <v>107</v>
      </c>
      <c r="D28">
        <v>145.262</v>
      </c>
      <c r="G28">
        <v>145.2149</v>
      </c>
      <c r="J28">
        <v>-4.7100000000000003E-2</v>
      </c>
      <c r="M28">
        <v>145.36199999999999</v>
      </c>
      <c r="N28">
        <v>145.16200000000001</v>
      </c>
      <c r="O28" t="s">
        <v>100</v>
      </c>
    </row>
    <row r="29" spans="1:18" x14ac:dyDescent="0.25">
      <c r="A29">
        <v>23</v>
      </c>
      <c r="B29" t="s">
        <v>14</v>
      </c>
      <c r="C29" t="s">
        <v>107</v>
      </c>
      <c r="D29">
        <v>145.774</v>
      </c>
      <c r="G29">
        <v>145.67250000000001</v>
      </c>
      <c r="J29">
        <v>-0.10150000000000001</v>
      </c>
      <c r="M29">
        <v>145.874</v>
      </c>
      <c r="N29">
        <v>145.67400000000001</v>
      </c>
      <c r="O29" t="s">
        <v>102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0D0DF2-70C2-4131-96D6-FFA3E4C843F7}">
  <sheetPr codeName="Sheet14"/>
  <dimension ref="A1:R29"/>
  <sheetViews>
    <sheetView workbookViewId="0"/>
  </sheetViews>
  <sheetFormatPr defaultRowHeight="15" x14ac:dyDescent="0.25"/>
  <cols>
    <col min="1" max="1" width="26.5703125" bestFit="1" customWidth="1"/>
    <col min="2" max="2" width="14.140625" bestFit="1" customWidth="1"/>
    <col min="3" max="3" width="18.28515625" bestFit="1" customWidth="1"/>
    <col min="4" max="4" width="8" bestFit="1" customWidth="1"/>
    <col min="5" max="5" width="5.7109375" bestFit="1" customWidth="1"/>
    <col min="6" max="6" width="2" bestFit="1" customWidth="1"/>
    <col min="7" max="7" width="9" bestFit="1" customWidth="1"/>
    <col min="8" max="8" width="8.7109375" bestFit="1" customWidth="1"/>
    <col min="9" max="9" width="7" bestFit="1" customWidth="1"/>
    <col min="10" max="10" width="7.7109375" bestFit="1" customWidth="1"/>
    <col min="11" max="12" width="7" bestFit="1" customWidth="1"/>
    <col min="13" max="14" width="8" bestFit="1" customWidth="1"/>
    <col min="15" max="15" width="5.42578125" bestFit="1" customWidth="1"/>
    <col min="16" max="16" width="7" bestFit="1" customWidth="1"/>
    <col min="17" max="17" width="5" bestFit="1" customWidth="1"/>
    <col min="18" max="18" width="5.42578125" bestFit="1" customWidth="1"/>
  </cols>
  <sheetData>
    <row r="1" spans="1:18" x14ac:dyDescent="0.25">
      <c r="A1" t="s">
        <v>86</v>
      </c>
      <c r="B1" t="s">
        <v>87</v>
      </c>
    </row>
    <row r="2" spans="1:18" x14ac:dyDescent="0.25">
      <c r="A2" t="s">
        <v>88</v>
      </c>
      <c r="B2" t="s">
        <v>89</v>
      </c>
    </row>
    <row r="3" spans="1:18" x14ac:dyDescent="0.25">
      <c r="A3" t="s">
        <v>90</v>
      </c>
      <c r="B3" t="s">
        <v>120</v>
      </c>
    </row>
    <row r="4" spans="1:18" x14ac:dyDescent="0.25">
      <c r="A4" t="s">
        <v>92</v>
      </c>
      <c r="B4" t="s">
        <v>121</v>
      </c>
    </row>
    <row r="5" spans="1:18" x14ac:dyDescent="0.25">
      <c r="A5" t="s">
        <v>94</v>
      </c>
    </row>
    <row r="6" spans="1:18" x14ac:dyDescent="0.25">
      <c r="A6" t="s">
        <v>95</v>
      </c>
    </row>
    <row r="7" spans="1:18" x14ac:dyDescent="0.25">
      <c r="A7" t="s">
        <v>96</v>
      </c>
    </row>
    <row r="8" spans="1:18" x14ac:dyDescent="0.25">
      <c r="A8" t="s">
        <v>88</v>
      </c>
    </row>
    <row r="9" spans="1:18" x14ac:dyDescent="0.25">
      <c r="A9" t="s">
        <v>97</v>
      </c>
    </row>
    <row r="10" spans="1:18" x14ac:dyDescent="0.25">
      <c r="A10">
        <v>4</v>
      </c>
      <c r="B10" t="s">
        <v>98</v>
      </c>
      <c r="C10" t="s">
        <v>99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P10">
        <v>0</v>
      </c>
      <c r="Q10">
        <v>0.05</v>
      </c>
      <c r="R10" t="s">
        <v>100</v>
      </c>
    </row>
    <row r="11" spans="1:18" x14ac:dyDescent="0.25">
      <c r="A11">
        <v>5</v>
      </c>
      <c r="B11" t="s">
        <v>101</v>
      </c>
      <c r="C11" t="s">
        <v>99</v>
      </c>
      <c r="D11">
        <v>62.5</v>
      </c>
      <c r="E11">
        <v>37.5</v>
      </c>
      <c r="F11">
        <v>0</v>
      </c>
      <c r="G11">
        <v>62.48</v>
      </c>
      <c r="H11">
        <v>37.517099999999999</v>
      </c>
      <c r="I11">
        <v>8.8300000000000003E-2</v>
      </c>
      <c r="J11">
        <v>-0.02</v>
      </c>
      <c r="K11">
        <v>1.7100000000000001E-2</v>
      </c>
      <c r="L11">
        <v>8.8300000000000003E-2</v>
      </c>
      <c r="P11">
        <v>0.18429999999999999</v>
      </c>
      <c r="Q11">
        <v>0.05</v>
      </c>
      <c r="R11" t="s">
        <v>102</v>
      </c>
    </row>
    <row r="12" spans="1:18" x14ac:dyDescent="0.25">
      <c r="A12">
        <v>6</v>
      </c>
      <c r="B12" t="s">
        <v>103</v>
      </c>
      <c r="C12" t="s">
        <v>99</v>
      </c>
      <c r="D12">
        <v>-63.5</v>
      </c>
      <c r="E12">
        <v>37.5</v>
      </c>
      <c r="F12">
        <v>0</v>
      </c>
      <c r="G12">
        <v>-63.451900000000002</v>
      </c>
      <c r="H12">
        <v>37.517099999999999</v>
      </c>
      <c r="I12">
        <v>7.2099999999999997E-2</v>
      </c>
      <c r="J12">
        <v>4.8099999999999997E-2</v>
      </c>
      <c r="K12">
        <v>1.7100000000000001E-2</v>
      </c>
      <c r="L12">
        <v>7.2099999999999997E-2</v>
      </c>
      <c r="P12">
        <v>0.17660000000000001</v>
      </c>
      <c r="Q12">
        <v>0.05</v>
      </c>
      <c r="R12" t="s">
        <v>102</v>
      </c>
    </row>
    <row r="13" spans="1:18" x14ac:dyDescent="0.25">
      <c r="A13">
        <v>7</v>
      </c>
      <c r="B13" t="s">
        <v>104</v>
      </c>
      <c r="C13" t="s">
        <v>99</v>
      </c>
      <c r="D13">
        <v>-62.5</v>
      </c>
      <c r="E13">
        <v>-36.5</v>
      </c>
      <c r="F13">
        <v>0</v>
      </c>
      <c r="G13">
        <v>-62.4788</v>
      </c>
      <c r="H13">
        <v>-36.461399999999998</v>
      </c>
      <c r="I13">
        <v>8.8499999999999995E-2</v>
      </c>
      <c r="J13">
        <v>2.12E-2</v>
      </c>
      <c r="K13">
        <v>3.8600000000000002E-2</v>
      </c>
      <c r="L13">
        <v>8.8499999999999995E-2</v>
      </c>
      <c r="P13">
        <v>0.19769999999999999</v>
      </c>
      <c r="Q13">
        <v>0.05</v>
      </c>
      <c r="R13" t="s">
        <v>102</v>
      </c>
    </row>
    <row r="14" spans="1:18" x14ac:dyDescent="0.25">
      <c r="A14">
        <v>8</v>
      </c>
      <c r="B14" t="s">
        <v>105</v>
      </c>
      <c r="C14" t="s">
        <v>99</v>
      </c>
      <c r="D14">
        <v>61.5</v>
      </c>
      <c r="E14">
        <v>-37.5</v>
      </c>
      <c r="F14">
        <v>0</v>
      </c>
      <c r="G14">
        <v>61.440199999999997</v>
      </c>
      <c r="H14">
        <v>-37.466200000000001</v>
      </c>
      <c r="I14">
        <v>7.2499999999999995E-2</v>
      </c>
      <c r="J14">
        <v>-5.9799999999999999E-2</v>
      </c>
      <c r="K14">
        <v>3.3799999999999997E-2</v>
      </c>
      <c r="L14">
        <v>7.2499999999999995E-2</v>
      </c>
      <c r="P14">
        <v>0.19989999999999999</v>
      </c>
      <c r="Q14">
        <v>0.05</v>
      </c>
      <c r="R14" t="s">
        <v>102</v>
      </c>
    </row>
    <row r="15" spans="1:18" x14ac:dyDescent="0.25">
      <c r="A15">
        <v>9</v>
      </c>
      <c r="B15" t="s">
        <v>0</v>
      </c>
      <c r="C15" t="s">
        <v>106</v>
      </c>
      <c r="D15">
        <v>25.4</v>
      </c>
      <c r="G15">
        <v>25.3977</v>
      </c>
      <c r="J15">
        <v>-2.3E-3</v>
      </c>
      <c r="M15">
        <v>25.5</v>
      </c>
      <c r="N15">
        <v>25.3</v>
      </c>
      <c r="O15" t="s">
        <v>100</v>
      </c>
      <c r="P15">
        <v>5.1000000000000004E-3</v>
      </c>
      <c r="Q15">
        <v>0.05</v>
      </c>
      <c r="R15" t="s">
        <v>100</v>
      </c>
    </row>
    <row r="16" spans="1:18" x14ac:dyDescent="0.25">
      <c r="A16">
        <v>10</v>
      </c>
      <c r="B16" t="s">
        <v>1</v>
      </c>
      <c r="C16" t="s">
        <v>106</v>
      </c>
      <c r="D16">
        <v>25.4</v>
      </c>
      <c r="G16">
        <v>25.401299999999999</v>
      </c>
      <c r="J16">
        <v>1.2999999999999999E-3</v>
      </c>
      <c r="M16">
        <v>25.5</v>
      </c>
      <c r="N16">
        <v>25.3</v>
      </c>
      <c r="O16" t="s">
        <v>100</v>
      </c>
      <c r="P16">
        <v>6.3E-3</v>
      </c>
      <c r="Q16">
        <v>0.05</v>
      </c>
      <c r="R16" t="s">
        <v>100</v>
      </c>
    </row>
    <row r="17" spans="1:18" x14ac:dyDescent="0.25">
      <c r="A17">
        <v>11</v>
      </c>
      <c r="B17" t="s">
        <v>2</v>
      </c>
      <c r="C17" t="s">
        <v>106</v>
      </c>
      <c r="D17">
        <v>25.4</v>
      </c>
      <c r="G17">
        <v>25.401499999999999</v>
      </c>
      <c r="J17">
        <v>1.5E-3</v>
      </c>
      <c r="M17">
        <v>25.5</v>
      </c>
      <c r="N17">
        <v>25.3</v>
      </c>
      <c r="O17" t="s">
        <v>100</v>
      </c>
      <c r="P17">
        <v>4.1000000000000003E-3</v>
      </c>
      <c r="Q17">
        <v>0.05</v>
      </c>
      <c r="R17" t="s">
        <v>100</v>
      </c>
    </row>
    <row r="18" spans="1:18" x14ac:dyDescent="0.25">
      <c r="A18">
        <v>12</v>
      </c>
      <c r="B18" t="s">
        <v>3</v>
      </c>
      <c r="C18" t="s">
        <v>106</v>
      </c>
      <c r="D18">
        <v>25.4</v>
      </c>
      <c r="G18">
        <v>25.4026</v>
      </c>
      <c r="J18">
        <v>2.5999999999999999E-3</v>
      </c>
      <c r="M18">
        <v>25.5</v>
      </c>
      <c r="N18">
        <v>25.3</v>
      </c>
      <c r="O18" t="s">
        <v>100</v>
      </c>
      <c r="P18">
        <v>5.7999999999999996E-3</v>
      </c>
      <c r="Q18">
        <v>0.05</v>
      </c>
      <c r="R18" t="s">
        <v>100</v>
      </c>
    </row>
    <row r="19" spans="1:18" x14ac:dyDescent="0.25">
      <c r="A19">
        <v>13</v>
      </c>
      <c r="B19" t="s">
        <v>4</v>
      </c>
      <c r="C19" t="s">
        <v>106</v>
      </c>
      <c r="D19">
        <v>25.4</v>
      </c>
      <c r="G19">
        <v>25.401</v>
      </c>
      <c r="J19">
        <v>1E-3</v>
      </c>
      <c r="M19">
        <v>25.5</v>
      </c>
      <c r="N19">
        <v>25.3</v>
      </c>
      <c r="O19" t="s">
        <v>100</v>
      </c>
      <c r="P19">
        <v>5.5999999999999999E-3</v>
      </c>
      <c r="Q19">
        <v>0.05</v>
      </c>
      <c r="R19" t="s">
        <v>100</v>
      </c>
    </row>
    <row r="20" spans="1:18" x14ac:dyDescent="0.25">
      <c r="A20">
        <v>14</v>
      </c>
      <c r="B20" t="s">
        <v>5</v>
      </c>
      <c r="C20" t="s">
        <v>107</v>
      </c>
      <c r="D20">
        <v>72.887</v>
      </c>
      <c r="G20">
        <v>72.878600000000006</v>
      </c>
      <c r="J20">
        <v>-8.3999999999999995E-3</v>
      </c>
      <c r="M20">
        <v>72.986999999999995</v>
      </c>
      <c r="N20">
        <v>72.787000000000006</v>
      </c>
      <c r="O20" t="s">
        <v>100</v>
      </c>
    </row>
    <row r="21" spans="1:18" x14ac:dyDescent="0.25">
      <c r="A21">
        <v>15</v>
      </c>
      <c r="B21" t="s">
        <v>6</v>
      </c>
      <c r="C21" t="s">
        <v>107</v>
      </c>
      <c r="D21">
        <v>73.745999999999995</v>
      </c>
      <c r="G21">
        <v>73.713499999999996</v>
      </c>
      <c r="J21">
        <v>-3.2500000000000001E-2</v>
      </c>
      <c r="M21">
        <v>73.846000000000004</v>
      </c>
      <c r="N21">
        <v>73.646000000000001</v>
      </c>
      <c r="O21" t="s">
        <v>100</v>
      </c>
    </row>
    <row r="22" spans="1:18" x14ac:dyDescent="0.25">
      <c r="A22">
        <v>16</v>
      </c>
      <c r="B22" t="s">
        <v>7</v>
      </c>
      <c r="C22" t="s">
        <v>107</v>
      </c>
      <c r="D22">
        <v>72.376999999999995</v>
      </c>
      <c r="G22">
        <v>72.339799999999997</v>
      </c>
      <c r="J22">
        <v>-3.7199999999999997E-2</v>
      </c>
      <c r="M22">
        <v>72.477000000000004</v>
      </c>
      <c r="N22">
        <v>72.277000000000001</v>
      </c>
      <c r="O22" t="s">
        <v>100</v>
      </c>
    </row>
    <row r="23" spans="1:18" x14ac:dyDescent="0.25">
      <c r="A23">
        <v>17</v>
      </c>
      <c r="B23" t="s">
        <v>8</v>
      </c>
      <c r="C23" t="s">
        <v>107</v>
      </c>
      <c r="D23">
        <v>72.031000000000006</v>
      </c>
      <c r="G23">
        <v>71.962599999999995</v>
      </c>
      <c r="J23">
        <v>-6.8400000000000002E-2</v>
      </c>
      <c r="M23">
        <v>72.131</v>
      </c>
      <c r="N23">
        <v>71.930999999999997</v>
      </c>
      <c r="O23" t="s">
        <v>100</v>
      </c>
    </row>
    <row r="24" spans="1:18" x14ac:dyDescent="0.25">
      <c r="A24">
        <v>18</v>
      </c>
      <c r="B24" t="s">
        <v>9</v>
      </c>
      <c r="C24" t="s">
        <v>107</v>
      </c>
      <c r="D24">
        <v>75.007000000000005</v>
      </c>
      <c r="G24">
        <v>74.990499999999997</v>
      </c>
      <c r="J24">
        <v>-1.6500000000000001E-2</v>
      </c>
      <c r="M24">
        <v>75.106999999999999</v>
      </c>
      <c r="N24">
        <v>74.906999999999996</v>
      </c>
      <c r="O24" t="s">
        <v>100</v>
      </c>
    </row>
    <row r="25" spans="1:18" x14ac:dyDescent="0.25">
      <c r="A25">
        <v>19</v>
      </c>
      <c r="B25" t="s">
        <v>10</v>
      </c>
      <c r="C25" t="s">
        <v>107</v>
      </c>
      <c r="D25">
        <v>74.007000000000005</v>
      </c>
      <c r="G25">
        <v>73.984899999999996</v>
      </c>
      <c r="J25">
        <v>-2.2100000000000002E-2</v>
      </c>
      <c r="M25">
        <v>74.106999999999999</v>
      </c>
      <c r="N25">
        <v>73.906999999999996</v>
      </c>
      <c r="O25" t="s">
        <v>100</v>
      </c>
    </row>
    <row r="26" spans="1:18" x14ac:dyDescent="0.25">
      <c r="A26">
        <v>20</v>
      </c>
      <c r="B26" t="s">
        <v>11</v>
      </c>
      <c r="C26" t="s">
        <v>107</v>
      </c>
      <c r="D26">
        <v>126</v>
      </c>
      <c r="G26">
        <v>125.932</v>
      </c>
      <c r="J26">
        <v>-6.8000000000000005E-2</v>
      </c>
      <c r="M26">
        <v>126.1</v>
      </c>
      <c r="N26">
        <v>125.9</v>
      </c>
      <c r="O26" t="s">
        <v>100</v>
      </c>
    </row>
    <row r="27" spans="1:18" x14ac:dyDescent="0.25">
      <c r="A27">
        <v>21</v>
      </c>
      <c r="B27" t="s">
        <v>12</v>
      </c>
      <c r="C27" t="s">
        <v>107</v>
      </c>
      <c r="D27">
        <v>124.004</v>
      </c>
      <c r="G27">
        <v>123.92310000000001</v>
      </c>
      <c r="J27">
        <v>-8.09E-2</v>
      </c>
      <c r="M27">
        <v>124.104</v>
      </c>
      <c r="N27">
        <v>123.904</v>
      </c>
      <c r="O27" t="s">
        <v>100</v>
      </c>
    </row>
    <row r="28" spans="1:18" x14ac:dyDescent="0.25">
      <c r="A28">
        <v>22</v>
      </c>
      <c r="B28" t="s">
        <v>13</v>
      </c>
      <c r="C28" t="s">
        <v>107</v>
      </c>
      <c r="D28">
        <v>145.262</v>
      </c>
      <c r="G28">
        <v>145.21549999999999</v>
      </c>
      <c r="J28">
        <v>-4.65E-2</v>
      </c>
      <c r="M28">
        <v>145.36199999999999</v>
      </c>
      <c r="N28">
        <v>145.16200000000001</v>
      </c>
      <c r="O28" t="s">
        <v>100</v>
      </c>
    </row>
    <row r="29" spans="1:18" x14ac:dyDescent="0.25">
      <c r="A29">
        <v>23</v>
      </c>
      <c r="B29" t="s">
        <v>14</v>
      </c>
      <c r="C29" t="s">
        <v>107</v>
      </c>
      <c r="D29">
        <v>145.774</v>
      </c>
      <c r="G29">
        <v>145.67269999999999</v>
      </c>
      <c r="J29">
        <v>-0.1013</v>
      </c>
      <c r="M29">
        <v>145.874</v>
      </c>
      <c r="N29">
        <v>145.67400000000001</v>
      </c>
      <c r="O29" t="s">
        <v>102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8FA785-B640-4443-BA08-1F50DB1D8D53}">
  <sheetPr codeName="Sheet15"/>
  <dimension ref="A1:R29"/>
  <sheetViews>
    <sheetView workbookViewId="0"/>
  </sheetViews>
  <sheetFormatPr defaultRowHeight="15" x14ac:dyDescent="0.25"/>
  <cols>
    <col min="1" max="1" width="26.5703125" bestFit="1" customWidth="1"/>
    <col min="2" max="2" width="14.140625" bestFit="1" customWidth="1"/>
    <col min="3" max="3" width="18.28515625" bestFit="1" customWidth="1"/>
    <col min="4" max="4" width="8" bestFit="1" customWidth="1"/>
    <col min="5" max="5" width="5.7109375" bestFit="1" customWidth="1"/>
    <col min="6" max="6" width="2" bestFit="1" customWidth="1"/>
    <col min="7" max="7" width="9" bestFit="1" customWidth="1"/>
    <col min="8" max="8" width="7.7109375" bestFit="1" customWidth="1"/>
    <col min="9" max="9" width="7" bestFit="1" customWidth="1"/>
    <col min="10" max="10" width="7.7109375" bestFit="1" customWidth="1"/>
    <col min="11" max="11" width="6" bestFit="1" customWidth="1"/>
    <col min="12" max="12" width="7" bestFit="1" customWidth="1"/>
    <col min="13" max="14" width="8" bestFit="1" customWidth="1"/>
    <col min="15" max="15" width="5.42578125" bestFit="1" customWidth="1"/>
    <col min="16" max="16" width="7" bestFit="1" customWidth="1"/>
    <col min="17" max="17" width="5" bestFit="1" customWidth="1"/>
    <col min="18" max="18" width="5.42578125" bestFit="1" customWidth="1"/>
  </cols>
  <sheetData>
    <row r="1" spans="1:18" x14ac:dyDescent="0.25">
      <c r="A1" t="s">
        <v>86</v>
      </c>
      <c r="B1" t="s">
        <v>87</v>
      </c>
    </row>
    <row r="2" spans="1:18" x14ac:dyDescent="0.25">
      <c r="A2" t="s">
        <v>88</v>
      </c>
      <c r="B2" t="s">
        <v>89</v>
      </c>
    </row>
    <row r="3" spans="1:18" x14ac:dyDescent="0.25">
      <c r="A3" t="s">
        <v>90</v>
      </c>
      <c r="B3" t="s">
        <v>122</v>
      </c>
    </row>
    <row r="4" spans="1:18" x14ac:dyDescent="0.25">
      <c r="A4" t="s">
        <v>92</v>
      </c>
      <c r="B4" t="s">
        <v>121</v>
      </c>
    </row>
    <row r="5" spans="1:18" x14ac:dyDescent="0.25">
      <c r="A5" t="s">
        <v>94</v>
      </c>
    </row>
    <row r="6" spans="1:18" x14ac:dyDescent="0.25">
      <c r="A6" t="s">
        <v>95</v>
      </c>
    </row>
    <row r="7" spans="1:18" x14ac:dyDescent="0.25">
      <c r="A7" t="s">
        <v>96</v>
      </c>
    </row>
    <row r="8" spans="1:18" x14ac:dyDescent="0.25">
      <c r="A8" t="s">
        <v>88</v>
      </c>
    </row>
    <row r="9" spans="1:18" x14ac:dyDescent="0.25">
      <c r="A9" t="s">
        <v>97</v>
      </c>
    </row>
    <row r="10" spans="1:18" x14ac:dyDescent="0.25">
      <c r="A10">
        <v>4</v>
      </c>
      <c r="B10" t="s">
        <v>98</v>
      </c>
      <c r="C10" t="s">
        <v>99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P10">
        <v>0</v>
      </c>
      <c r="Q10">
        <v>0.05</v>
      </c>
      <c r="R10" t="s">
        <v>100</v>
      </c>
    </row>
    <row r="11" spans="1:18" x14ac:dyDescent="0.25">
      <c r="A11">
        <v>5</v>
      </c>
      <c r="B11" t="s">
        <v>101</v>
      </c>
      <c r="C11" t="s">
        <v>99</v>
      </c>
      <c r="D11">
        <v>62.5</v>
      </c>
      <c r="E11">
        <v>37.5</v>
      </c>
      <c r="F11">
        <v>0</v>
      </c>
      <c r="G11">
        <v>62.480200000000004</v>
      </c>
      <c r="H11">
        <v>37.517000000000003</v>
      </c>
      <c r="I11">
        <v>8.8599999999999998E-2</v>
      </c>
      <c r="J11">
        <v>-1.9800000000000002E-2</v>
      </c>
      <c r="K11">
        <v>1.7000000000000001E-2</v>
      </c>
      <c r="L11">
        <v>8.8599999999999998E-2</v>
      </c>
      <c r="P11">
        <v>0.1847</v>
      </c>
      <c r="Q11">
        <v>0.05</v>
      </c>
      <c r="R11" t="s">
        <v>102</v>
      </c>
    </row>
    <row r="12" spans="1:18" x14ac:dyDescent="0.25">
      <c r="A12">
        <v>6</v>
      </c>
      <c r="B12" t="s">
        <v>103</v>
      </c>
      <c r="C12" t="s">
        <v>99</v>
      </c>
      <c r="D12">
        <v>-63.5</v>
      </c>
      <c r="E12">
        <v>37.5</v>
      </c>
      <c r="F12">
        <v>0</v>
      </c>
      <c r="G12">
        <v>-63.451999999999998</v>
      </c>
      <c r="H12">
        <v>37.517000000000003</v>
      </c>
      <c r="I12">
        <v>7.1900000000000006E-2</v>
      </c>
      <c r="J12">
        <v>4.8000000000000001E-2</v>
      </c>
      <c r="K12">
        <v>1.7000000000000001E-2</v>
      </c>
      <c r="L12">
        <v>7.1900000000000006E-2</v>
      </c>
      <c r="P12">
        <v>0.1762</v>
      </c>
      <c r="Q12">
        <v>0.05</v>
      </c>
      <c r="R12" t="s">
        <v>102</v>
      </c>
    </row>
    <row r="13" spans="1:18" x14ac:dyDescent="0.25">
      <c r="A13">
        <v>7</v>
      </c>
      <c r="B13" t="s">
        <v>104</v>
      </c>
      <c r="C13" t="s">
        <v>99</v>
      </c>
      <c r="D13">
        <v>-62.5</v>
      </c>
      <c r="E13">
        <v>-36.5</v>
      </c>
      <c r="F13">
        <v>0</v>
      </c>
      <c r="G13">
        <v>-62.4786</v>
      </c>
      <c r="H13">
        <v>-36.462000000000003</v>
      </c>
      <c r="I13">
        <v>8.8800000000000004E-2</v>
      </c>
      <c r="J13">
        <v>2.1399999999999999E-2</v>
      </c>
      <c r="K13">
        <v>3.7999999999999999E-2</v>
      </c>
      <c r="L13">
        <v>8.8800000000000004E-2</v>
      </c>
      <c r="P13">
        <v>0.1978</v>
      </c>
      <c r="Q13">
        <v>0.05</v>
      </c>
      <c r="R13" t="s">
        <v>102</v>
      </c>
    </row>
    <row r="14" spans="1:18" x14ac:dyDescent="0.25">
      <c r="A14">
        <v>8</v>
      </c>
      <c r="B14" t="s">
        <v>105</v>
      </c>
      <c r="C14" t="s">
        <v>99</v>
      </c>
      <c r="D14">
        <v>61.5</v>
      </c>
      <c r="E14">
        <v>-37.5</v>
      </c>
      <c r="F14">
        <v>0</v>
      </c>
      <c r="G14">
        <v>61.4407</v>
      </c>
      <c r="H14">
        <v>-37.466000000000001</v>
      </c>
      <c r="I14">
        <v>7.2400000000000006E-2</v>
      </c>
      <c r="J14">
        <v>-5.9299999999999999E-2</v>
      </c>
      <c r="K14">
        <v>3.4000000000000002E-2</v>
      </c>
      <c r="L14">
        <v>7.2400000000000006E-2</v>
      </c>
      <c r="P14">
        <v>0.1991</v>
      </c>
      <c r="Q14">
        <v>0.05</v>
      </c>
      <c r="R14" t="s">
        <v>102</v>
      </c>
    </row>
    <row r="15" spans="1:18" x14ac:dyDescent="0.25">
      <c r="A15">
        <v>9</v>
      </c>
      <c r="B15" t="s">
        <v>0</v>
      </c>
      <c r="C15" t="s">
        <v>106</v>
      </c>
      <c r="D15">
        <v>25.4</v>
      </c>
      <c r="G15">
        <v>25.398</v>
      </c>
      <c r="J15">
        <v>-2E-3</v>
      </c>
      <c r="M15">
        <v>25.5</v>
      </c>
      <c r="N15">
        <v>25.3</v>
      </c>
      <c r="O15" t="s">
        <v>100</v>
      </c>
      <c r="P15">
        <v>5.0000000000000001E-3</v>
      </c>
      <c r="Q15">
        <v>0.05</v>
      </c>
      <c r="R15" t="s">
        <v>100</v>
      </c>
    </row>
    <row r="16" spans="1:18" x14ac:dyDescent="0.25">
      <c r="A16">
        <v>10</v>
      </c>
      <c r="B16" t="s">
        <v>1</v>
      </c>
      <c r="C16" t="s">
        <v>106</v>
      </c>
      <c r="D16">
        <v>25.4</v>
      </c>
      <c r="G16">
        <v>25.4023</v>
      </c>
      <c r="J16">
        <v>2.3E-3</v>
      </c>
      <c r="M16">
        <v>25.5</v>
      </c>
      <c r="N16">
        <v>25.3</v>
      </c>
      <c r="O16" t="s">
        <v>100</v>
      </c>
      <c r="P16">
        <v>6.6E-3</v>
      </c>
      <c r="Q16">
        <v>0.05</v>
      </c>
      <c r="R16" t="s">
        <v>100</v>
      </c>
    </row>
    <row r="17" spans="1:18" x14ac:dyDescent="0.25">
      <c r="A17">
        <v>11</v>
      </c>
      <c r="B17" t="s">
        <v>2</v>
      </c>
      <c r="C17" t="s">
        <v>106</v>
      </c>
      <c r="D17">
        <v>25.4</v>
      </c>
      <c r="G17">
        <v>25.401499999999999</v>
      </c>
      <c r="J17">
        <v>1.5E-3</v>
      </c>
      <c r="M17">
        <v>25.5</v>
      </c>
      <c r="N17">
        <v>25.3</v>
      </c>
      <c r="O17" t="s">
        <v>100</v>
      </c>
      <c r="P17">
        <v>5.5999999999999999E-3</v>
      </c>
      <c r="Q17">
        <v>0.05</v>
      </c>
      <c r="R17" t="s">
        <v>100</v>
      </c>
    </row>
    <row r="18" spans="1:18" x14ac:dyDescent="0.25">
      <c r="A18">
        <v>12</v>
      </c>
      <c r="B18" t="s">
        <v>3</v>
      </c>
      <c r="C18" t="s">
        <v>106</v>
      </c>
      <c r="D18">
        <v>25.4</v>
      </c>
      <c r="G18">
        <v>25.4026</v>
      </c>
      <c r="J18">
        <v>2.5999999999999999E-3</v>
      </c>
      <c r="M18">
        <v>25.5</v>
      </c>
      <c r="N18">
        <v>25.3</v>
      </c>
      <c r="O18" t="s">
        <v>100</v>
      </c>
      <c r="P18">
        <v>5.1000000000000004E-3</v>
      </c>
      <c r="Q18">
        <v>0.05</v>
      </c>
      <c r="R18" t="s">
        <v>100</v>
      </c>
    </row>
    <row r="19" spans="1:18" x14ac:dyDescent="0.25">
      <c r="A19">
        <v>13</v>
      </c>
      <c r="B19" t="s">
        <v>4</v>
      </c>
      <c r="C19" t="s">
        <v>106</v>
      </c>
      <c r="D19">
        <v>25.4</v>
      </c>
      <c r="G19">
        <v>25.401299999999999</v>
      </c>
      <c r="J19">
        <v>1.2999999999999999E-3</v>
      </c>
      <c r="M19">
        <v>25.5</v>
      </c>
      <c r="N19">
        <v>25.3</v>
      </c>
      <c r="O19" t="s">
        <v>100</v>
      </c>
      <c r="P19">
        <v>4.5999999999999999E-3</v>
      </c>
      <c r="Q19">
        <v>0.05</v>
      </c>
      <c r="R19" t="s">
        <v>100</v>
      </c>
    </row>
    <row r="20" spans="1:18" x14ac:dyDescent="0.25">
      <c r="A20">
        <v>14</v>
      </c>
      <c r="B20" t="s">
        <v>5</v>
      </c>
      <c r="C20" t="s">
        <v>107</v>
      </c>
      <c r="D20">
        <v>72.887</v>
      </c>
      <c r="G20">
        <v>72.878699999999995</v>
      </c>
      <c r="J20">
        <v>-8.3000000000000001E-3</v>
      </c>
      <c r="M20">
        <v>72.986999999999995</v>
      </c>
      <c r="N20">
        <v>72.787000000000006</v>
      </c>
      <c r="O20" t="s">
        <v>100</v>
      </c>
    </row>
    <row r="21" spans="1:18" x14ac:dyDescent="0.25">
      <c r="A21">
        <v>15</v>
      </c>
      <c r="B21" t="s">
        <v>6</v>
      </c>
      <c r="C21" t="s">
        <v>107</v>
      </c>
      <c r="D21">
        <v>73.745999999999995</v>
      </c>
      <c r="G21">
        <v>73.7136</v>
      </c>
      <c r="J21">
        <v>-3.2399999999999998E-2</v>
      </c>
      <c r="M21">
        <v>73.846000000000004</v>
      </c>
      <c r="N21">
        <v>73.646000000000001</v>
      </c>
      <c r="O21" t="s">
        <v>100</v>
      </c>
    </row>
    <row r="22" spans="1:18" x14ac:dyDescent="0.25">
      <c r="A22">
        <v>16</v>
      </c>
      <c r="B22" t="s">
        <v>7</v>
      </c>
      <c r="C22" t="s">
        <v>107</v>
      </c>
      <c r="D22">
        <v>72.376999999999995</v>
      </c>
      <c r="G22">
        <v>72.3399</v>
      </c>
      <c r="J22">
        <v>-3.7100000000000001E-2</v>
      </c>
      <c r="M22">
        <v>72.477000000000004</v>
      </c>
      <c r="N22">
        <v>72.277000000000001</v>
      </c>
      <c r="O22" t="s">
        <v>100</v>
      </c>
    </row>
    <row r="23" spans="1:18" x14ac:dyDescent="0.25">
      <c r="A23">
        <v>17</v>
      </c>
      <c r="B23" t="s">
        <v>8</v>
      </c>
      <c r="C23" t="s">
        <v>107</v>
      </c>
      <c r="D23">
        <v>72.031000000000006</v>
      </c>
      <c r="G23">
        <v>71.962900000000005</v>
      </c>
      <c r="J23">
        <v>-6.8099999999999994E-2</v>
      </c>
      <c r="M23">
        <v>72.131</v>
      </c>
      <c r="N23">
        <v>71.930999999999997</v>
      </c>
      <c r="O23" t="s">
        <v>100</v>
      </c>
    </row>
    <row r="24" spans="1:18" x14ac:dyDescent="0.25">
      <c r="A24">
        <v>18</v>
      </c>
      <c r="B24" t="s">
        <v>9</v>
      </c>
      <c r="C24" t="s">
        <v>107</v>
      </c>
      <c r="D24">
        <v>75.007000000000005</v>
      </c>
      <c r="G24">
        <v>74.990200000000002</v>
      </c>
      <c r="J24">
        <v>-1.6799999999999999E-2</v>
      </c>
      <c r="M24">
        <v>75.106999999999999</v>
      </c>
      <c r="N24">
        <v>74.906999999999996</v>
      </c>
      <c r="O24" t="s">
        <v>100</v>
      </c>
    </row>
    <row r="25" spans="1:18" x14ac:dyDescent="0.25">
      <c r="A25">
        <v>19</v>
      </c>
      <c r="B25" t="s">
        <v>10</v>
      </c>
      <c r="C25" t="s">
        <v>107</v>
      </c>
      <c r="D25">
        <v>74.007000000000005</v>
      </c>
      <c r="G25">
        <v>73.985399999999998</v>
      </c>
      <c r="J25">
        <v>-2.1600000000000001E-2</v>
      </c>
      <c r="M25">
        <v>74.106999999999999</v>
      </c>
      <c r="N25">
        <v>73.906999999999996</v>
      </c>
      <c r="O25" t="s">
        <v>100</v>
      </c>
    </row>
    <row r="26" spans="1:18" x14ac:dyDescent="0.25">
      <c r="A26">
        <v>20</v>
      </c>
      <c r="B26" t="s">
        <v>11</v>
      </c>
      <c r="C26" t="s">
        <v>107</v>
      </c>
      <c r="D26">
        <v>126</v>
      </c>
      <c r="G26">
        <v>125.93219999999999</v>
      </c>
      <c r="J26">
        <v>-6.7799999999999999E-2</v>
      </c>
      <c r="M26">
        <v>126.1</v>
      </c>
      <c r="N26">
        <v>125.9</v>
      </c>
      <c r="O26" t="s">
        <v>100</v>
      </c>
    </row>
    <row r="27" spans="1:18" x14ac:dyDescent="0.25">
      <c r="A27">
        <v>21</v>
      </c>
      <c r="B27" t="s">
        <v>12</v>
      </c>
      <c r="C27" t="s">
        <v>107</v>
      </c>
      <c r="D27">
        <v>124.004</v>
      </c>
      <c r="G27">
        <v>123.9233</v>
      </c>
      <c r="J27">
        <v>-8.0699999999999994E-2</v>
      </c>
      <c r="M27">
        <v>124.104</v>
      </c>
      <c r="N27">
        <v>123.904</v>
      </c>
      <c r="O27" t="s">
        <v>100</v>
      </c>
    </row>
    <row r="28" spans="1:18" x14ac:dyDescent="0.25">
      <c r="A28">
        <v>22</v>
      </c>
      <c r="B28" t="s">
        <v>13</v>
      </c>
      <c r="C28" t="s">
        <v>107</v>
      </c>
      <c r="D28">
        <v>145.262</v>
      </c>
      <c r="G28">
        <v>145.2157</v>
      </c>
      <c r="J28">
        <v>-4.6300000000000001E-2</v>
      </c>
      <c r="M28">
        <v>145.36199999999999</v>
      </c>
      <c r="N28">
        <v>145.16200000000001</v>
      </c>
      <c r="O28" t="s">
        <v>100</v>
      </c>
    </row>
    <row r="29" spans="1:18" x14ac:dyDescent="0.25">
      <c r="A29">
        <v>23</v>
      </c>
      <c r="B29" t="s">
        <v>14</v>
      </c>
      <c r="C29" t="s">
        <v>107</v>
      </c>
      <c r="D29">
        <v>145.774</v>
      </c>
      <c r="G29">
        <v>145.673</v>
      </c>
      <c r="J29">
        <v>-0.10100000000000001</v>
      </c>
      <c r="M29">
        <v>145.874</v>
      </c>
      <c r="N29">
        <v>145.67400000000001</v>
      </c>
      <c r="O29" t="s">
        <v>102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05643-57B9-4003-9E5F-7914D63618D4}">
  <sheetPr codeName="Sheet16"/>
  <dimension ref="A1:R29"/>
  <sheetViews>
    <sheetView workbookViewId="0"/>
  </sheetViews>
  <sheetFormatPr defaultRowHeight="15" x14ac:dyDescent="0.25"/>
  <cols>
    <col min="1" max="1" width="26.5703125" bestFit="1" customWidth="1"/>
    <col min="2" max="2" width="14.140625" bestFit="1" customWidth="1"/>
    <col min="3" max="3" width="18.28515625" bestFit="1" customWidth="1"/>
    <col min="4" max="4" width="8" bestFit="1" customWidth="1"/>
    <col min="5" max="5" width="5.7109375" bestFit="1" customWidth="1"/>
    <col min="6" max="6" width="2" bestFit="1" customWidth="1"/>
    <col min="7" max="7" width="9" bestFit="1" customWidth="1"/>
    <col min="8" max="8" width="8.7109375" bestFit="1" customWidth="1"/>
    <col min="9" max="9" width="7" bestFit="1" customWidth="1"/>
    <col min="10" max="10" width="7.7109375" bestFit="1" customWidth="1"/>
    <col min="11" max="12" width="7" bestFit="1" customWidth="1"/>
    <col min="13" max="14" width="8" bestFit="1" customWidth="1"/>
    <col min="15" max="15" width="5.42578125" bestFit="1" customWidth="1"/>
    <col min="16" max="16" width="7" bestFit="1" customWidth="1"/>
    <col min="17" max="17" width="5" bestFit="1" customWidth="1"/>
    <col min="18" max="18" width="5.42578125" bestFit="1" customWidth="1"/>
  </cols>
  <sheetData>
    <row r="1" spans="1:18" x14ac:dyDescent="0.25">
      <c r="A1" t="s">
        <v>86</v>
      </c>
      <c r="B1" t="s">
        <v>87</v>
      </c>
    </row>
    <row r="2" spans="1:18" x14ac:dyDescent="0.25">
      <c r="A2" t="s">
        <v>88</v>
      </c>
      <c r="B2" t="s">
        <v>89</v>
      </c>
    </row>
    <row r="3" spans="1:18" x14ac:dyDescent="0.25">
      <c r="A3" t="s">
        <v>90</v>
      </c>
      <c r="B3" t="s">
        <v>123</v>
      </c>
    </row>
    <row r="4" spans="1:18" x14ac:dyDescent="0.25">
      <c r="A4" t="s">
        <v>92</v>
      </c>
      <c r="B4" t="s">
        <v>121</v>
      </c>
    </row>
    <row r="5" spans="1:18" x14ac:dyDescent="0.25">
      <c r="A5" t="s">
        <v>94</v>
      </c>
    </row>
    <row r="6" spans="1:18" x14ac:dyDescent="0.25">
      <c r="A6" t="s">
        <v>95</v>
      </c>
    </row>
    <row r="7" spans="1:18" x14ac:dyDescent="0.25">
      <c r="A7" t="s">
        <v>96</v>
      </c>
    </row>
    <row r="8" spans="1:18" x14ac:dyDescent="0.25">
      <c r="A8" t="s">
        <v>88</v>
      </c>
    </row>
    <row r="9" spans="1:18" x14ac:dyDescent="0.25">
      <c r="A9" t="s">
        <v>97</v>
      </c>
    </row>
    <row r="10" spans="1:18" x14ac:dyDescent="0.25">
      <c r="A10">
        <v>4</v>
      </c>
      <c r="B10" t="s">
        <v>98</v>
      </c>
      <c r="C10" t="s">
        <v>99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P10">
        <v>0</v>
      </c>
      <c r="Q10">
        <v>0.05</v>
      </c>
      <c r="R10" t="s">
        <v>100</v>
      </c>
    </row>
    <row r="11" spans="1:18" x14ac:dyDescent="0.25">
      <c r="A11">
        <v>5</v>
      </c>
      <c r="B11" t="s">
        <v>101</v>
      </c>
      <c r="C11" t="s">
        <v>99</v>
      </c>
      <c r="D11">
        <v>62.5</v>
      </c>
      <c r="E11">
        <v>37.5</v>
      </c>
      <c r="F11">
        <v>0</v>
      </c>
      <c r="G11">
        <v>62.480699999999999</v>
      </c>
      <c r="H11">
        <v>37.517299999999999</v>
      </c>
      <c r="I11">
        <v>8.8099999999999998E-2</v>
      </c>
      <c r="J11">
        <v>-1.9300000000000001E-2</v>
      </c>
      <c r="K11">
        <v>1.7299999999999999E-2</v>
      </c>
      <c r="L11">
        <v>8.8099999999999998E-2</v>
      </c>
      <c r="P11">
        <v>0.18360000000000001</v>
      </c>
      <c r="Q11">
        <v>0.05</v>
      </c>
      <c r="R11" t="s">
        <v>102</v>
      </c>
    </row>
    <row r="12" spans="1:18" x14ac:dyDescent="0.25">
      <c r="A12">
        <v>6</v>
      </c>
      <c r="B12" t="s">
        <v>103</v>
      </c>
      <c r="C12" t="s">
        <v>99</v>
      </c>
      <c r="D12">
        <v>-63.5</v>
      </c>
      <c r="E12">
        <v>37.5</v>
      </c>
      <c r="F12">
        <v>0</v>
      </c>
      <c r="G12">
        <v>-63.451000000000001</v>
      </c>
      <c r="H12">
        <v>37.517299999999999</v>
      </c>
      <c r="I12">
        <v>7.1999999999999995E-2</v>
      </c>
      <c r="J12">
        <v>4.9000000000000002E-2</v>
      </c>
      <c r="K12">
        <v>1.7299999999999999E-2</v>
      </c>
      <c r="L12">
        <v>7.1999999999999995E-2</v>
      </c>
      <c r="P12">
        <v>0.17760000000000001</v>
      </c>
      <c r="Q12">
        <v>0.05</v>
      </c>
      <c r="R12" t="s">
        <v>102</v>
      </c>
    </row>
    <row r="13" spans="1:18" x14ac:dyDescent="0.25">
      <c r="A13">
        <v>7</v>
      </c>
      <c r="B13" t="s">
        <v>104</v>
      </c>
      <c r="C13" t="s">
        <v>99</v>
      </c>
      <c r="D13">
        <v>-62.5</v>
      </c>
      <c r="E13">
        <v>-36.5</v>
      </c>
      <c r="F13">
        <v>0</v>
      </c>
      <c r="G13">
        <v>-62.4788</v>
      </c>
      <c r="H13">
        <v>-36.461300000000001</v>
      </c>
      <c r="I13">
        <v>8.8300000000000003E-2</v>
      </c>
      <c r="J13">
        <v>2.12E-2</v>
      </c>
      <c r="K13">
        <v>3.8699999999999998E-2</v>
      </c>
      <c r="L13">
        <v>8.8300000000000003E-2</v>
      </c>
      <c r="P13">
        <v>0.19739999999999999</v>
      </c>
      <c r="Q13">
        <v>0.05</v>
      </c>
      <c r="R13" t="s">
        <v>102</v>
      </c>
    </row>
    <row r="14" spans="1:18" x14ac:dyDescent="0.25">
      <c r="A14">
        <v>8</v>
      </c>
      <c r="B14" t="s">
        <v>105</v>
      </c>
      <c r="C14" t="s">
        <v>99</v>
      </c>
      <c r="D14">
        <v>61.5</v>
      </c>
      <c r="E14">
        <v>-37.5</v>
      </c>
      <c r="F14">
        <v>0</v>
      </c>
      <c r="G14">
        <v>61.440199999999997</v>
      </c>
      <c r="H14">
        <v>-37.466000000000001</v>
      </c>
      <c r="I14">
        <v>7.2499999999999995E-2</v>
      </c>
      <c r="J14">
        <v>-5.9799999999999999E-2</v>
      </c>
      <c r="K14">
        <v>3.4000000000000002E-2</v>
      </c>
      <c r="L14">
        <v>7.2499999999999995E-2</v>
      </c>
      <c r="P14">
        <v>0.19989999999999999</v>
      </c>
      <c r="Q14">
        <v>0.05</v>
      </c>
      <c r="R14" t="s">
        <v>102</v>
      </c>
    </row>
    <row r="15" spans="1:18" x14ac:dyDescent="0.25">
      <c r="A15">
        <v>9</v>
      </c>
      <c r="B15" t="s">
        <v>0</v>
      </c>
      <c r="C15" t="s">
        <v>106</v>
      </c>
      <c r="D15">
        <v>25.4</v>
      </c>
      <c r="G15">
        <v>25.398</v>
      </c>
      <c r="J15">
        <v>-2E-3</v>
      </c>
      <c r="M15">
        <v>25.5</v>
      </c>
      <c r="N15">
        <v>25.3</v>
      </c>
      <c r="O15" t="s">
        <v>100</v>
      </c>
      <c r="P15">
        <v>5.4000000000000003E-3</v>
      </c>
      <c r="Q15">
        <v>0.05</v>
      </c>
      <c r="R15" t="s">
        <v>100</v>
      </c>
    </row>
    <row r="16" spans="1:18" x14ac:dyDescent="0.25">
      <c r="A16">
        <v>10</v>
      </c>
      <c r="B16" t="s">
        <v>1</v>
      </c>
      <c r="C16" t="s">
        <v>106</v>
      </c>
      <c r="D16">
        <v>25.4</v>
      </c>
      <c r="G16">
        <v>25.401800000000001</v>
      </c>
      <c r="J16">
        <v>1.8E-3</v>
      </c>
      <c r="M16">
        <v>25.5</v>
      </c>
      <c r="N16">
        <v>25.3</v>
      </c>
      <c r="O16" t="s">
        <v>100</v>
      </c>
      <c r="P16">
        <v>5.4999999999999997E-3</v>
      </c>
      <c r="Q16">
        <v>0.05</v>
      </c>
      <c r="R16" t="s">
        <v>100</v>
      </c>
    </row>
    <row r="17" spans="1:18" x14ac:dyDescent="0.25">
      <c r="A17">
        <v>11</v>
      </c>
      <c r="B17" t="s">
        <v>2</v>
      </c>
      <c r="C17" t="s">
        <v>106</v>
      </c>
      <c r="D17">
        <v>25.4</v>
      </c>
      <c r="G17">
        <v>25.4009</v>
      </c>
      <c r="J17">
        <v>8.9999999999999998E-4</v>
      </c>
      <c r="M17">
        <v>25.5</v>
      </c>
      <c r="N17">
        <v>25.3</v>
      </c>
      <c r="O17" t="s">
        <v>100</v>
      </c>
      <c r="P17">
        <v>4.4000000000000003E-3</v>
      </c>
      <c r="Q17">
        <v>0.05</v>
      </c>
      <c r="R17" t="s">
        <v>100</v>
      </c>
    </row>
    <row r="18" spans="1:18" x14ac:dyDescent="0.25">
      <c r="A18">
        <v>12</v>
      </c>
      <c r="B18" t="s">
        <v>3</v>
      </c>
      <c r="C18" t="s">
        <v>106</v>
      </c>
      <c r="D18">
        <v>25.4</v>
      </c>
      <c r="G18">
        <v>25.4025</v>
      </c>
      <c r="J18">
        <v>2.5000000000000001E-3</v>
      </c>
      <c r="M18">
        <v>25.5</v>
      </c>
      <c r="N18">
        <v>25.3</v>
      </c>
      <c r="O18" t="s">
        <v>100</v>
      </c>
      <c r="P18">
        <v>6.4000000000000003E-3</v>
      </c>
      <c r="Q18">
        <v>0.05</v>
      </c>
      <c r="R18" t="s">
        <v>100</v>
      </c>
    </row>
    <row r="19" spans="1:18" x14ac:dyDescent="0.25">
      <c r="A19">
        <v>13</v>
      </c>
      <c r="B19" t="s">
        <v>4</v>
      </c>
      <c r="C19" t="s">
        <v>106</v>
      </c>
      <c r="D19">
        <v>25.4</v>
      </c>
      <c r="G19">
        <v>25.400600000000001</v>
      </c>
      <c r="J19">
        <v>5.9999999999999995E-4</v>
      </c>
      <c r="M19">
        <v>25.5</v>
      </c>
      <c r="N19">
        <v>25.3</v>
      </c>
      <c r="O19" t="s">
        <v>100</v>
      </c>
      <c r="P19">
        <v>4.8999999999999998E-3</v>
      </c>
      <c r="Q19">
        <v>0.05</v>
      </c>
      <c r="R19" t="s">
        <v>100</v>
      </c>
    </row>
    <row r="20" spans="1:18" x14ac:dyDescent="0.25">
      <c r="A20">
        <v>14</v>
      </c>
      <c r="B20" t="s">
        <v>5</v>
      </c>
      <c r="C20" t="s">
        <v>107</v>
      </c>
      <c r="D20">
        <v>72.887</v>
      </c>
      <c r="G20">
        <v>72.879300000000001</v>
      </c>
      <c r="J20">
        <v>-7.7000000000000002E-3</v>
      </c>
      <c r="M20">
        <v>72.986999999999995</v>
      </c>
      <c r="N20">
        <v>72.787000000000006</v>
      </c>
      <c r="O20" t="s">
        <v>100</v>
      </c>
    </row>
    <row r="21" spans="1:18" x14ac:dyDescent="0.25">
      <c r="A21">
        <v>15</v>
      </c>
      <c r="B21" t="s">
        <v>6</v>
      </c>
      <c r="C21" t="s">
        <v>107</v>
      </c>
      <c r="D21">
        <v>73.745999999999995</v>
      </c>
      <c r="G21">
        <v>73.712800000000001</v>
      </c>
      <c r="J21">
        <v>-3.32E-2</v>
      </c>
      <c r="M21">
        <v>73.846000000000004</v>
      </c>
      <c r="N21">
        <v>73.646000000000001</v>
      </c>
      <c r="O21" t="s">
        <v>100</v>
      </c>
    </row>
    <row r="22" spans="1:18" x14ac:dyDescent="0.25">
      <c r="A22">
        <v>16</v>
      </c>
      <c r="B22" t="s">
        <v>7</v>
      </c>
      <c r="C22" t="s">
        <v>107</v>
      </c>
      <c r="D22">
        <v>72.376999999999995</v>
      </c>
      <c r="G22">
        <v>72.339799999999997</v>
      </c>
      <c r="J22">
        <v>-3.7199999999999997E-2</v>
      </c>
      <c r="M22">
        <v>72.477000000000004</v>
      </c>
      <c r="N22">
        <v>72.277000000000001</v>
      </c>
      <c r="O22" t="s">
        <v>100</v>
      </c>
    </row>
    <row r="23" spans="1:18" x14ac:dyDescent="0.25">
      <c r="A23">
        <v>17</v>
      </c>
      <c r="B23" t="s">
        <v>8</v>
      </c>
      <c r="C23" t="s">
        <v>107</v>
      </c>
      <c r="D23">
        <v>72.031000000000006</v>
      </c>
      <c r="G23">
        <v>71.962500000000006</v>
      </c>
      <c r="J23">
        <v>-6.8500000000000005E-2</v>
      </c>
      <c r="M23">
        <v>72.131</v>
      </c>
      <c r="N23">
        <v>71.930999999999997</v>
      </c>
      <c r="O23" t="s">
        <v>100</v>
      </c>
    </row>
    <row r="24" spans="1:18" x14ac:dyDescent="0.25">
      <c r="A24">
        <v>18</v>
      </c>
      <c r="B24" t="s">
        <v>9</v>
      </c>
      <c r="C24" t="s">
        <v>107</v>
      </c>
      <c r="D24">
        <v>75.007000000000005</v>
      </c>
      <c r="G24">
        <v>74.990499999999997</v>
      </c>
      <c r="J24">
        <v>-1.6500000000000001E-2</v>
      </c>
      <c r="M24">
        <v>75.106999999999999</v>
      </c>
      <c r="N24">
        <v>74.906999999999996</v>
      </c>
      <c r="O24" t="s">
        <v>100</v>
      </c>
    </row>
    <row r="25" spans="1:18" x14ac:dyDescent="0.25">
      <c r="A25">
        <v>19</v>
      </c>
      <c r="B25" t="s">
        <v>10</v>
      </c>
      <c r="C25" t="s">
        <v>107</v>
      </c>
      <c r="D25">
        <v>74.007000000000005</v>
      </c>
      <c r="G25">
        <v>73.984999999999999</v>
      </c>
      <c r="J25">
        <v>-2.1999999999999999E-2</v>
      </c>
      <c r="M25">
        <v>74.106999999999999</v>
      </c>
      <c r="N25">
        <v>73.906999999999996</v>
      </c>
      <c r="O25" t="s">
        <v>100</v>
      </c>
    </row>
    <row r="26" spans="1:18" x14ac:dyDescent="0.25">
      <c r="A26">
        <v>20</v>
      </c>
      <c r="B26" t="s">
        <v>11</v>
      </c>
      <c r="C26" t="s">
        <v>107</v>
      </c>
      <c r="D26">
        <v>126</v>
      </c>
      <c r="G26">
        <v>125.93170000000001</v>
      </c>
      <c r="J26">
        <v>-6.83E-2</v>
      </c>
      <c r="M26">
        <v>126.1</v>
      </c>
      <c r="N26">
        <v>125.9</v>
      </c>
      <c r="O26" t="s">
        <v>100</v>
      </c>
    </row>
    <row r="27" spans="1:18" x14ac:dyDescent="0.25">
      <c r="A27">
        <v>21</v>
      </c>
      <c r="B27" t="s">
        <v>12</v>
      </c>
      <c r="C27" t="s">
        <v>107</v>
      </c>
      <c r="D27">
        <v>124.004</v>
      </c>
      <c r="G27">
        <v>123.92310000000001</v>
      </c>
      <c r="J27">
        <v>-8.09E-2</v>
      </c>
      <c r="M27">
        <v>124.104</v>
      </c>
      <c r="N27">
        <v>123.904</v>
      </c>
      <c r="O27" t="s">
        <v>100</v>
      </c>
    </row>
    <row r="28" spans="1:18" x14ac:dyDescent="0.25">
      <c r="A28">
        <v>22</v>
      </c>
      <c r="B28" t="s">
        <v>13</v>
      </c>
      <c r="C28" t="s">
        <v>107</v>
      </c>
      <c r="D28">
        <v>145.262</v>
      </c>
      <c r="G28">
        <v>145.21610000000001</v>
      </c>
      <c r="J28">
        <v>-4.5900000000000003E-2</v>
      </c>
      <c r="M28">
        <v>145.36199999999999</v>
      </c>
      <c r="N28">
        <v>145.16200000000001</v>
      </c>
      <c r="O28" t="s">
        <v>100</v>
      </c>
    </row>
    <row r="29" spans="1:18" x14ac:dyDescent="0.25">
      <c r="A29">
        <v>23</v>
      </c>
      <c r="B29" t="s">
        <v>14</v>
      </c>
      <c r="C29" t="s">
        <v>107</v>
      </c>
      <c r="D29">
        <v>145.774</v>
      </c>
      <c r="G29">
        <v>145.67189999999999</v>
      </c>
      <c r="J29">
        <v>-0.1021</v>
      </c>
      <c r="M29">
        <v>145.874</v>
      </c>
      <c r="N29">
        <v>145.67400000000001</v>
      </c>
      <c r="O29" t="s">
        <v>102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4FA6C-F681-4F20-A73D-5F2A886C88EE}">
  <sheetPr codeName="Sheet17"/>
  <dimension ref="A1:R29"/>
  <sheetViews>
    <sheetView workbookViewId="0"/>
  </sheetViews>
  <sheetFormatPr defaultRowHeight="15" x14ac:dyDescent="0.25"/>
  <cols>
    <col min="1" max="1" width="26.5703125" bestFit="1" customWidth="1"/>
    <col min="2" max="2" width="14.140625" bestFit="1" customWidth="1"/>
    <col min="3" max="3" width="18.28515625" bestFit="1" customWidth="1"/>
    <col min="4" max="4" width="8" bestFit="1" customWidth="1"/>
    <col min="5" max="5" width="5.7109375" bestFit="1" customWidth="1"/>
    <col min="6" max="6" width="2" bestFit="1" customWidth="1"/>
    <col min="7" max="7" width="9" bestFit="1" customWidth="1"/>
    <col min="8" max="8" width="8.7109375" bestFit="1" customWidth="1"/>
    <col min="9" max="9" width="7" bestFit="1" customWidth="1"/>
    <col min="10" max="10" width="7.7109375" bestFit="1" customWidth="1"/>
    <col min="11" max="12" width="7" bestFit="1" customWidth="1"/>
    <col min="13" max="14" width="8" bestFit="1" customWidth="1"/>
    <col min="15" max="15" width="5.42578125" bestFit="1" customWidth="1"/>
    <col min="16" max="16" width="7" bestFit="1" customWidth="1"/>
    <col min="17" max="17" width="5" bestFit="1" customWidth="1"/>
    <col min="18" max="18" width="5.42578125" bestFit="1" customWidth="1"/>
  </cols>
  <sheetData>
    <row r="1" spans="1:18" x14ac:dyDescent="0.25">
      <c r="A1" t="s">
        <v>86</v>
      </c>
      <c r="B1" t="s">
        <v>87</v>
      </c>
    </row>
    <row r="2" spans="1:18" x14ac:dyDescent="0.25">
      <c r="A2" t="s">
        <v>88</v>
      </c>
      <c r="B2" t="s">
        <v>89</v>
      </c>
    </row>
    <row r="3" spans="1:18" x14ac:dyDescent="0.25">
      <c r="A3" t="s">
        <v>90</v>
      </c>
      <c r="B3" t="s">
        <v>124</v>
      </c>
    </row>
    <row r="4" spans="1:18" x14ac:dyDescent="0.25">
      <c r="A4" t="s">
        <v>92</v>
      </c>
      <c r="B4" t="s">
        <v>125</v>
      </c>
    </row>
    <row r="5" spans="1:18" x14ac:dyDescent="0.25">
      <c r="A5" t="s">
        <v>94</v>
      </c>
    </row>
    <row r="6" spans="1:18" x14ac:dyDescent="0.25">
      <c r="A6" t="s">
        <v>95</v>
      </c>
    </row>
    <row r="7" spans="1:18" x14ac:dyDescent="0.25">
      <c r="A7" t="s">
        <v>96</v>
      </c>
    </row>
    <row r="8" spans="1:18" x14ac:dyDescent="0.25">
      <c r="A8" t="s">
        <v>88</v>
      </c>
    </row>
    <row r="9" spans="1:18" x14ac:dyDescent="0.25">
      <c r="A9" t="s">
        <v>97</v>
      </c>
    </row>
    <row r="10" spans="1:18" x14ac:dyDescent="0.25">
      <c r="A10">
        <v>4</v>
      </c>
      <c r="B10" t="s">
        <v>98</v>
      </c>
      <c r="C10" t="s">
        <v>99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P10">
        <v>0</v>
      </c>
      <c r="Q10">
        <v>0.05</v>
      </c>
      <c r="R10" t="s">
        <v>100</v>
      </c>
    </row>
    <row r="11" spans="1:18" x14ac:dyDescent="0.25">
      <c r="A11">
        <v>5</v>
      </c>
      <c r="B11" t="s">
        <v>101</v>
      </c>
      <c r="C11" t="s">
        <v>99</v>
      </c>
      <c r="D11">
        <v>62.5</v>
      </c>
      <c r="E11">
        <v>37.5</v>
      </c>
      <c r="F11">
        <v>0</v>
      </c>
      <c r="G11">
        <v>62.478999999999999</v>
      </c>
      <c r="H11">
        <v>37.515999999999998</v>
      </c>
      <c r="I11">
        <v>8.8700000000000001E-2</v>
      </c>
      <c r="J11">
        <v>-2.1000000000000001E-2</v>
      </c>
      <c r="K11">
        <v>1.6E-2</v>
      </c>
      <c r="L11">
        <v>8.8700000000000001E-2</v>
      </c>
      <c r="P11">
        <v>0.1852</v>
      </c>
      <c r="Q11">
        <v>0.05</v>
      </c>
      <c r="R11" t="s">
        <v>102</v>
      </c>
    </row>
    <row r="12" spans="1:18" x14ac:dyDescent="0.25">
      <c r="A12">
        <v>6</v>
      </c>
      <c r="B12" t="s">
        <v>103</v>
      </c>
      <c r="C12" t="s">
        <v>99</v>
      </c>
      <c r="D12">
        <v>-63.5</v>
      </c>
      <c r="E12">
        <v>37.5</v>
      </c>
      <c r="F12">
        <v>0</v>
      </c>
      <c r="G12">
        <v>-63.453200000000002</v>
      </c>
      <c r="H12">
        <v>37.515999999999998</v>
      </c>
      <c r="I12">
        <v>7.2999999999999995E-2</v>
      </c>
      <c r="J12">
        <v>4.6800000000000001E-2</v>
      </c>
      <c r="K12">
        <v>1.6E-2</v>
      </c>
      <c r="L12">
        <v>7.2999999999999995E-2</v>
      </c>
      <c r="P12">
        <v>0.17630000000000001</v>
      </c>
      <c r="Q12">
        <v>0.05</v>
      </c>
      <c r="R12" t="s">
        <v>102</v>
      </c>
    </row>
    <row r="13" spans="1:18" x14ac:dyDescent="0.25">
      <c r="A13">
        <v>7</v>
      </c>
      <c r="B13" t="s">
        <v>104</v>
      </c>
      <c r="C13" t="s">
        <v>99</v>
      </c>
      <c r="D13">
        <v>-62.5</v>
      </c>
      <c r="E13">
        <v>-36.5</v>
      </c>
      <c r="F13">
        <v>0</v>
      </c>
      <c r="G13">
        <v>-62.478900000000003</v>
      </c>
      <c r="H13">
        <v>-36.462400000000002</v>
      </c>
      <c r="I13">
        <v>8.8900000000000007E-2</v>
      </c>
      <c r="J13">
        <v>2.1100000000000001E-2</v>
      </c>
      <c r="K13">
        <v>3.7600000000000001E-2</v>
      </c>
      <c r="L13">
        <v>8.8900000000000007E-2</v>
      </c>
      <c r="P13">
        <v>0.19769999999999999</v>
      </c>
      <c r="Q13">
        <v>0.05</v>
      </c>
      <c r="R13" t="s">
        <v>102</v>
      </c>
    </row>
    <row r="14" spans="1:18" x14ac:dyDescent="0.25">
      <c r="A14">
        <v>8</v>
      </c>
      <c r="B14" t="s">
        <v>105</v>
      </c>
      <c r="C14" t="s">
        <v>99</v>
      </c>
      <c r="D14">
        <v>61.5</v>
      </c>
      <c r="E14">
        <v>-37.5</v>
      </c>
      <c r="F14">
        <v>0</v>
      </c>
      <c r="G14">
        <v>61.439900000000002</v>
      </c>
      <c r="H14">
        <v>-37.465899999999998</v>
      </c>
      <c r="I14">
        <v>7.3400000000000007E-2</v>
      </c>
      <c r="J14">
        <v>-6.0100000000000001E-2</v>
      </c>
      <c r="K14">
        <v>3.4099999999999998E-2</v>
      </c>
      <c r="L14">
        <v>7.3400000000000007E-2</v>
      </c>
      <c r="P14">
        <v>0.20169999999999999</v>
      </c>
      <c r="Q14">
        <v>0.05</v>
      </c>
      <c r="R14" t="s">
        <v>102</v>
      </c>
    </row>
    <row r="15" spans="1:18" x14ac:dyDescent="0.25">
      <c r="A15">
        <v>9</v>
      </c>
      <c r="B15" t="s">
        <v>0</v>
      </c>
      <c r="C15" t="s">
        <v>106</v>
      </c>
      <c r="D15">
        <v>25.4</v>
      </c>
      <c r="G15">
        <v>25.398599999999998</v>
      </c>
      <c r="J15">
        <v>-1.4E-3</v>
      </c>
      <c r="M15">
        <v>25.5</v>
      </c>
      <c r="N15">
        <v>25.3</v>
      </c>
      <c r="O15" t="s">
        <v>100</v>
      </c>
      <c r="P15">
        <v>5.7000000000000002E-3</v>
      </c>
      <c r="Q15">
        <v>0.05</v>
      </c>
      <c r="R15" t="s">
        <v>100</v>
      </c>
    </row>
    <row r="16" spans="1:18" x14ac:dyDescent="0.25">
      <c r="A16">
        <v>10</v>
      </c>
      <c r="B16" t="s">
        <v>1</v>
      </c>
      <c r="C16" t="s">
        <v>106</v>
      </c>
      <c r="D16">
        <v>25.4</v>
      </c>
      <c r="G16">
        <v>25.401499999999999</v>
      </c>
      <c r="J16">
        <v>1.5E-3</v>
      </c>
      <c r="M16">
        <v>25.5</v>
      </c>
      <c r="N16">
        <v>25.3</v>
      </c>
      <c r="O16" t="s">
        <v>100</v>
      </c>
      <c r="P16">
        <v>6.1999999999999998E-3</v>
      </c>
      <c r="Q16">
        <v>0.05</v>
      </c>
      <c r="R16" t="s">
        <v>100</v>
      </c>
    </row>
    <row r="17" spans="1:18" x14ac:dyDescent="0.25">
      <c r="A17">
        <v>11</v>
      </c>
      <c r="B17" t="s">
        <v>2</v>
      </c>
      <c r="C17" t="s">
        <v>106</v>
      </c>
      <c r="D17">
        <v>25.4</v>
      </c>
      <c r="G17">
        <v>25.400300000000001</v>
      </c>
      <c r="J17">
        <v>2.9999999999999997E-4</v>
      </c>
      <c r="M17">
        <v>25.5</v>
      </c>
      <c r="N17">
        <v>25.3</v>
      </c>
      <c r="O17" t="s">
        <v>100</v>
      </c>
      <c r="P17">
        <v>6.7999999999999996E-3</v>
      </c>
      <c r="Q17">
        <v>0.05</v>
      </c>
      <c r="R17" t="s">
        <v>100</v>
      </c>
    </row>
    <row r="18" spans="1:18" x14ac:dyDescent="0.25">
      <c r="A18">
        <v>12</v>
      </c>
      <c r="B18" t="s">
        <v>3</v>
      </c>
      <c r="C18" t="s">
        <v>106</v>
      </c>
      <c r="D18">
        <v>25.4</v>
      </c>
      <c r="G18">
        <v>25.403199999999998</v>
      </c>
      <c r="J18">
        <v>3.2000000000000002E-3</v>
      </c>
      <c r="M18">
        <v>25.5</v>
      </c>
      <c r="N18">
        <v>25.3</v>
      </c>
      <c r="O18" t="s">
        <v>100</v>
      </c>
      <c r="P18">
        <v>7.0000000000000001E-3</v>
      </c>
      <c r="Q18">
        <v>0.05</v>
      </c>
      <c r="R18" t="s">
        <v>100</v>
      </c>
    </row>
    <row r="19" spans="1:18" x14ac:dyDescent="0.25">
      <c r="A19">
        <v>13</v>
      </c>
      <c r="B19" t="s">
        <v>4</v>
      </c>
      <c r="C19" t="s">
        <v>106</v>
      </c>
      <c r="D19">
        <v>25.4</v>
      </c>
      <c r="G19">
        <v>25.400700000000001</v>
      </c>
      <c r="J19">
        <v>6.9999999999999999E-4</v>
      </c>
      <c r="M19">
        <v>25.5</v>
      </c>
      <c r="N19">
        <v>25.3</v>
      </c>
      <c r="O19" t="s">
        <v>100</v>
      </c>
      <c r="P19">
        <v>5.3E-3</v>
      </c>
      <c r="Q19">
        <v>0.05</v>
      </c>
      <c r="R19" t="s">
        <v>100</v>
      </c>
    </row>
    <row r="20" spans="1:18" x14ac:dyDescent="0.25">
      <c r="A20">
        <v>14</v>
      </c>
      <c r="B20" t="s">
        <v>5</v>
      </c>
      <c r="C20" t="s">
        <v>107</v>
      </c>
      <c r="D20">
        <v>72.887</v>
      </c>
      <c r="G20">
        <v>72.877200000000002</v>
      </c>
      <c r="J20">
        <v>-9.7999999999999997E-3</v>
      </c>
      <c r="M20">
        <v>72.986999999999995</v>
      </c>
      <c r="N20">
        <v>72.787000000000006</v>
      </c>
      <c r="O20" t="s">
        <v>100</v>
      </c>
    </row>
    <row r="21" spans="1:18" x14ac:dyDescent="0.25">
      <c r="A21">
        <v>15</v>
      </c>
      <c r="B21" t="s">
        <v>6</v>
      </c>
      <c r="C21" t="s">
        <v>107</v>
      </c>
      <c r="D21">
        <v>73.745999999999995</v>
      </c>
      <c r="G21">
        <v>73.714100000000002</v>
      </c>
      <c r="J21">
        <v>-3.1899999999999998E-2</v>
      </c>
      <c r="M21">
        <v>73.846000000000004</v>
      </c>
      <c r="N21">
        <v>73.646000000000001</v>
      </c>
      <c r="O21" t="s">
        <v>100</v>
      </c>
    </row>
    <row r="22" spans="1:18" x14ac:dyDescent="0.25">
      <c r="A22">
        <v>16</v>
      </c>
      <c r="B22" t="s">
        <v>7</v>
      </c>
      <c r="C22" t="s">
        <v>107</v>
      </c>
      <c r="D22">
        <v>72.376999999999995</v>
      </c>
      <c r="G22">
        <v>72.340299999999999</v>
      </c>
      <c r="J22">
        <v>-3.6700000000000003E-2</v>
      </c>
      <c r="M22">
        <v>72.477000000000004</v>
      </c>
      <c r="N22">
        <v>72.277000000000001</v>
      </c>
      <c r="O22" t="s">
        <v>100</v>
      </c>
    </row>
    <row r="23" spans="1:18" x14ac:dyDescent="0.25">
      <c r="A23">
        <v>17</v>
      </c>
      <c r="B23" t="s">
        <v>8</v>
      </c>
      <c r="C23" t="s">
        <v>107</v>
      </c>
      <c r="D23">
        <v>72.031000000000006</v>
      </c>
      <c r="G23">
        <v>71.962199999999996</v>
      </c>
      <c r="J23">
        <v>-6.88E-2</v>
      </c>
      <c r="M23">
        <v>72.131</v>
      </c>
      <c r="N23">
        <v>71.930999999999997</v>
      </c>
      <c r="O23" t="s">
        <v>100</v>
      </c>
    </row>
    <row r="24" spans="1:18" x14ac:dyDescent="0.25">
      <c r="A24">
        <v>18</v>
      </c>
      <c r="B24" t="s">
        <v>9</v>
      </c>
      <c r="C24" t="s">
        <v>107</v>
      </c>
      <c r="D24">
        <v>75.007000000000005</v>
      </c>
      <c r="G24">
        <v>74.989099999999993</v>
      </c>
      <c r="J24">
        <v>-1.7899999999999999E-2</v>
      </c>
      <c r="M24">
        <v>75.106999999999999</v>
      </c>
      <c r="N24">
        <v>74.906999999999996</v>
      </c>
      <c r="O24" t="s">
        <v>100</v>
      </c>
    </row>
    <row r="25" spans="1:18" x14ac:dyDescent="0.25">
      <c r="A25">
        <v>19</v>
      </c>
      <c r="B25" t="s">
        <v>10</v>
      </c>
      <c r="C25" t="s">
        <v>107</v>
      </c>
      <c r="D25">
        <v>74.007000000000005</v>
      </c>
      <c r="G25">
        <v>73.984899999999996</v>
      </c>
      <c r="J25">
        <v>-2.2100000000000002E-2</v>
      </c>
      <c r="M25">
        <v>74.106999999999999</v>
      </c>
      <c r="N25">
        <v>73.906999999999996</v>
      </c>
      <c r="O25" t="s">
        <v>100</v>
      </c>
    </row>
    <row r="26" spans="1:18" x14ac:dyDescent="0.25">
      <c r="A26">
        <v>20</v>
      </c>
      <c r="B26" t="s">
        <v>11</v>
      </c>
      <c r="C26" t="s">
        <v>107</v>
      </c>
      <c r="D26">
        <v>126</v>
      </c>
      <c r="G26">
        <v>125.93210000000001</v>
      </c>
      <c r="J26">
        <v>-6.7900000000000002E-2</v>
      </c>
      <c r="M26">
        <v>126.1</v>
      </c>
      <c r="N26">
        <v>125.9</v>
      </c>
      <c r="O26" t="s">
        <v>100</v>
      </c>
    </row>
    <row r="27" spans="1:18" x14ac:dyDescent="0.25">
      <c r="A27">
        <v>21</v>
      </c>
      <c r="B27" t="s">
        <v>12</v>
      </c>
      <c r="C27" t="s">
        <v>107</v>
      </c>
      <c r="D27">
        <v>124.004</v>
      </c>
      <c r="G27">
        <v>123.9228</v>
      </c>
      <c r="J27">
        <v>-8.1199999999999994E-2</v>
      </c>
      <c r="M27">
        <v>124.104</v>
      </c>
      <c r="N27">
        <v>123.904</v>
      </c>
      <c r="O27" t="s">
        <v>100</v>
      </c>
    </row>
    <row r="28" spans="1:18" x14ac:dyDescent="0.25">
      <c r="A28">
        <v>22</v>
      </c>
      <c r="B28" t="s">
        <v>13</v>
      </c>
      <c r="C28" t="s">
        <v>107</v>
      </c>
      <c r="D28">
        <v>145.262</v>
      </c>
      <c r="G28">
        <v>145.21459999999999</v>
      </c>
      <c r="J28">
        <v>-4.7399999999999998E-2</v>
      </c>
      <c r="M28">
        <v>145.36199999999999</v>
      </c>
      <c r="N28">
        <v>145.16200000000001</v>
      </c>
      <c r="O28" t="s">
        <v>100</v>
      </c>
    </row>
    <row r="29" spans="1:18" x14ac:dyDescent="0.25">
      <c r="A29">
        <v>23</v>
      </c>
      <c r="B29" t="s">
        <v>14</v>
      </c>
      <c r="C29" t="s">
        <v>107</v>
      </c>
      <c r="D29">
        <v>145.774</v>
      </c>
      <c r="G29">
        <v>145.6728</v>
      </c>
      <c r="J29">
        <v>-0.1012</v>
      </c>
      <c r="M29">
        <v>145.874</v>
      </c>
      <c r="N29">
        <v>145.67400000000001</v>
      </c>
      <c r="O29" t="s">
        <v>102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81C3D-18CE-49CF-AC4D-6BE45A06D30C}">
  <sheetPr codeName="Sheet18"/>
  <dimension ref="A1:R29"/>
  <sheetViews>
    <sheetView workbookViewId="0"/>
  </sheetViews>
  <sheetFormatPr defaultRowHeight="15" x14ac:dyDescent="0.25"/>
  <cols>
    <col min="1" max="1" width="26.5703125" bestFit="1" customWidth="1"/>
    <col min="2" max="2" width="14.140625" bestFit="1" customWidth="1"/>
    <col min="3" max="3" width="18.28515625" bestFit="1" customWidth="1"/>
    <col min="4" max="4" width="8" bestFit="1" customWidth="1"/>
    <col min="5" max="5" width="5.7109375" bestFit="1" customWidth="1"/>
    <col min="6" max="6" width="2" bestFit="1" customWidth="1"/>
    <col min="7" max="7" width="9" bestFit="1" customWidth="1"/>
    <col min="8" max="8" width="8.7109375" bestFit="1" customWidth="1"/>
    <col min="9" max="9" width="7" bestFit="1" customWidth="1"/>
    <col min="10" max="10" width="7.7109375" bestFit="1" customWidth="1"/>
    <col min="11" max="12" width="7" bestFit="1" customWidth="1"/>
    <col min="13" max="14" width="8" bestFit="1" customWidth="1"/>
    <col min="15" max="15" width="5.42578125" bestFit="1" customWidth="1"/>
    <col min="16" max="16" width="7" bestFit="1" customWidth="1"/>
    <col min="17" max="17" width="5" bestFit="1" customWidth="1"/>
    <col min="18" max="18" width="5.42578125" bestFit="1" customWidth="1"/>
  </cols>
  <sheetData>
    <row r="1" spans="1:18" x14ac:dyDescent="0.25">
      <c r="A1" t="s">
        <v>86</v>
      </c>
      <c r="B1" t="s">
        <v>87</v>
      </c>
    </row>
    <row r="2" spans="1:18" x14ac:dyDescent="0.25">
      <c r="A2" t="s">
        <v>88</v>
      </c>
      <c r="B2" t="s">
        <v>89</v>
      </c>
    </row>
    <row r="3" spans="1:18" x14ac:dyDescent="0.25">
      <c r="A3" t="s">
        <v>90</v>
      </c>
      <c r="B3" t="s">
        <v>126</v>
      </c>
    </row>
    <row r="4" spans="1:18" x14ac:dyDescent="0.25">
      <c r="A4" t="s">
        <v>92</v>
      </c>
      <c r="B4" t="s">
        <v>125</v>
      </c>
    </row>
    <row r="5" spans="1:18" x14ac:dyDescent="0.25">
      <c r="A5" t="s">
        <v>94</v>
      </c>
    </row>
    <row r="6" spans="1:18" x14ac:dyDescent="0.25">
      <c r="A6" t="s">
        <v>95</v>
      </c>
    </row>
    <row r="7" spans="1:18" x14ac:dyDescent="0.25">
      <c r="A7" t="s">
        <v>96</v>
      </c>
    </row>
    <row r="8" spans="1:18" x14ac:dyDescent="0.25">
      <c r="A8" t="s">
        <v>88</v>
      </c>
    </row>
    <row r="9" spans="1:18" x14ac:dyDescent="0.25">
      <c r="A9" t="s">
        <v>97</v>
      </c>
    </row>
    <row r="10" spans="1:18" x14ac:dyDescent="0.25">
      <c r="A10">
        <v>4</v>
      </c>
      <c r="B10" t="s">
        <v>98</v>
      </c>
      <c r="C10" t="s">
        <v>99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P10">
        <v>0</v>
      </c>
      <c r="Q10">
        <v>0.05</v>
      </c>
      <c r="R10" t="s">
        <v>100</v>
      </c>
    </row>
    <row r="11" spans="1:18" x14ac:dyDescent="0.25">
      <c r="A11">
        <v>5</v>
      </c>
      <c r="B11" t="s">
        <v>101</v>
      </c>
      <c r="C11" t="s">
        <v>99</v>
      </c>
      <c r="D11">
        <v>62.5</v>
      </c>
      <c r="E11">
        <v>37.5</v>
      </c>
      <c r="F11">
        <v>0</v>
      </c>
      <c r="G11">
        <v>62.48</v>
      </c>
      <c r="H11">
        <v>37.517400000000002</v>
      </c>
      <c r="I11">
        <v>8.8700000000000001E-2</v>
      </c>
      <c r="J11">
        <v>-0.02</v>
      </c>
      <c r="K11">
        <v>1.7399999999999999E-2</v>
      </c>
      <c r="L11">
        <v>8.8700000000000001E-2</v>
      </c>
      <c r="P11">
        <v>0.18509999999999999</v>
      </c>
      <c r="Q11">
        <v>0.05</v>
      </c>
      <c r="R11" t="s">
        <v>102</v>
      </c>
    </row>
    <row r="12" spans="1:18" x14ac:dyDescent="0.25">
      <c r="A12">
        <v>6</v>
      </c>
      <c r="B12" t="s">
        <v>103</v>
      </c>
      <c r="C12" t="s">
        <v>99</v>
      </c>
      <c r="D12">
        <v>-63.5</v>
      </c>
      <c r="E12">
        <v>37.5</v>
      </c>
      <c r="F12">
        <v>0</v>
      </c>
      <c r="G12">
        <v>-63.451799999999999</v>
      </c>
      <c r="H12">
        <v>37.517400000000002</v>
      </c>
      <c r="I12">
        <v>7.2400000000000006E-2</v>
      </c>
      <c r="J12">
        <v>4.82E-2</v>
      </c>
      <c r="K12">
        <v>1.7399999999999999E-2</v>
      </c>
      <c r="L12">
        <v>7.2400000000000006E-2</v>
      </c>
      <c r="P12">
        <v>0.1774</v>
      </c>
      <c r="Q12">
        <v>0.05</v>
      </c>
      <c r="R12" t="s">
        <v>102</v>
      </c>
    </row>
    <row r="13" spans="1:18" x14ac:dyDescent="0.25">
      <c r="A13">
        <v>7</v>
      </c>
      <c r="B13" t="s">
        <v>104</v>
      </c>
      <c r="C13" t="s">
        <v>99</v>
      </c>
      <c r="D13">
        <v>-62.5</v>
      </c>
      <c r="E13">
        <v>-36.5</v>
      </c>
      <c r="F13">
        <v>0</v>
      </c>
      <c r="G13">
        <v>-62.478499999999997</v>
      </c>
      <c r="H13">
        <v>-36.461799999999997</v>
      </c>
      <c r="I13">
        <v>8.8900000000000007E-2</v>
      </c>
      <c r="J13">
        <v>2.1499999999999998E-2</v>
      </c>
      <c r="K13">
        <v>3.8199999999999998E-2</v>
      </c>
      <c r="L13">
        <v>8.8900000000000007E-2</v>
      </c>
      <c r="P13">
        <v>0.19819999999999999</v>
      </c>
      <c r="Q13">
        <v>0.05</v>
      </c>
      <c r="R13" t="s">
        <v>102</v>
      </c>
    </row>
    <row r="14" spans="1:18" x14ac:dyDescent="0.25">
      <c r="A14">
        <v>8</v>
      </c>
      <c r="B14" t="s">
        <v>105</v>
      </c>
      <c r="C14" t="s">
        <v>99</v>
      </c>
      <c r="D14">
        <v>61.5</v>
      </c>
      <c r="E14">
        <v>-37.5</v>
      </c>
      <c r="F14">
        <v>0</v>
      </c>
      <c r="G14">
        <v>61.440100000000001</v>
      </c>
      <c r="H14">
        <v>-37.465299999999999</v>
      </c>
      <c r="I14">
        <v>7.2900000000000006E-2</v>
      </c>
      <c r="J14">
        <v>-5.9900000000000002E-2</v>
      </c>
      <c r="K14">
        <v>3.4700000000000002E-2</v>
      </c>
      <c r="L14">
        <v>7.2900000000000006E-2</v>
      </c>
      <c r="P14">
        <v>0.2011</v>
      </c>
      <c r="Q14">
        <v>0.05</v>
      </c>
      <c r="R14" t="s">
        <v>102</v>
      </c>
    </row>
    <row r="15" spans="1:18" x14ac:dyDescent="0.25">
      <c r="A15">
        <v>9</v>
      </c>
      <c r="B15" t="s">
        <v>0</v>
      </c>
      <c r="C15" t="s">
        <v>106</v>
      </c>
      <c r="D15">
        <v>25.4</v>
      </c>
      <c r="G15">
        <v>25.398299999999999</v>
      </c>
      <c r="J15">
        <v>-1.6999999999999999E-3</v>
      </c>
      <c r="M15">
        <v>25.5</v>
      </c>
      <c r="N15">
        <v>25.3</v>
      </c>
      <c r="O15" t="s">
        <v>100</v>
      </c>
      <c r="P15">
        <v>5.3E-3</v>
      </c>
      <c r="Q15">
        <v>0.05</v>
      </c>
      <c r="R15" t="s">
        <v>100</v>
      </c>
    </row>
    <row r="16" spans="1:18" x14ac:dyDescent="0.25">
      <c r="A16">
        <v>10</v>
      </c>
      <c r="B16" t="s">
        <v>1</v>
      </c>
      <c r="C16" t="s">
        <v>106</v>
      </c>
      <c r="D16">
        <v>25.4</v>
      </c>
      <c r="G16">
        <v>25.401700000000002</v>
      </c>
      <c r="J16">
        <v>1.6999999999999999E-3</v>
      </c>
      <c r="M16">
        <v>25.5</v>
      </c>
      <c r="N16">
        <v>25.3</v>
      </c>
      <c r="O16" t="s">
        <v>100</v>
      </c>
      <c r="P16">
        <v>6.0000000000000001E-3</v>
      </c>
      <c r="Q16">
        <v>0.05</v>
      </c>
      <c r="R16" t="s">
        <v>100</v>
      </c>
    </row>
    <row r="17" spans="1:18" x14ac:dyDescent="0.25">
      <c r="A17">
        <v>11</v>
      </c>
      <c r="B17" t="s">
        <v>2</v>
      </c>
      <c r="C17" t="s">
        <v>106</v>
      </c>
      <c r="D17">
        <v>25.4</v>
      </c>
      <c r="G17">
        <v>25.401599999999998</v>
      </c>
      <c r="J17">
        <v>1.6000000000000001E-3</v>
      </c>
      <c r="M17">
        <v>25.5</v>
      </c>
      <c r="N17">
        <v>25.3</v>
      </c>
      <c r="O17" t="s">
        <v>100</v>
      </c>
      <c r="P17">
        <v>6.4999999999999997E-3</v>
      </c>
      <c r="Q17">
        <v>0.05</v>
      </c>
      <c r="R17" t="s">
        <v>100</v>
      </c>
    </row>
    <row r="18" spans="1:18" x14ac:dyDescent="0.25">
      <c r="A18">
        <v>12</v>
      </c>
      <c r="B18" t="s">
        <v>3</v>
      </c>
      <c r="C18" t="s">
        <v>106</v>
      </c>
      <c r="D18">
        <v>25.4</v>
      </c>
      <c r="G18">
        <v>25.4039</v>
      </c>
      <c r="J18">
        <v>3.8999999999999998E-3</v>
      </c>
      <c r="M18">
        <v>25.5</v>
      </c>
      <c r="N18">
        <v>25.3</v>
      </c>
      <c r="O18" t="s">
        <v>100</v>
      </c>
      <c r="P18">
        <v>5.5999999999999999E-3</v>
      </c>
      <c r="Q18">
        <v>0.05</v>
      </c>
      <c r="R18" t="s">
        <v>100</v>
      </c>
    </row>
    <row r="19" spans="1:18" x14ac:dyDescent="0.25">
      <c r="A19">
        <v>13</v>
      </c>
      <c r="B19" t="s">
        <v>4</v>
      </c>
      <c r="C19" t="s">
        <v>106</v>
      </c>
      <c r="D19">
        <v>25.4</v>
      </c>
      <c r="G19">
        <v>25.4009</v>
      </c>
      <c r="J19">
        <v>8.9999999999999998E-4</v>
      </c>
      <c r="M19">
        <v>25.5</v>
      </c>
      <c r="N19">
        <v>25.3</v>
      </c>
      <c r="O19" t="s">
        <v>100</v>
      </c>
      <c r="P19">
        <v>5.5999999999999999E-3</v>
      </c>
      <c r="Q19">
        <v>0.05</v>
      </c>
      <c r="R19" t="s">
        <v>100</v>
      </c>
    </row>
    <row r="20" spans="1:18" x14ac:dyDescent="0.25">
      <c r="A20">
        <v>14</v>
      </c>
      <c r="B20" t="s">
        <v>5</v>
      </c>
      <c r="C20" t="s">
        <v>107</v>
      </c>
      <c r="D20">
        <v>72.887</v>
      </c>
      <c r="G20">
        <v>72.878799999999998</v>
      </c>
      <c r="J20">
        <v>-8.2000000000000007E-3</v>
      </c>
      <c r="M20">
        <v>72.986999999999995</v>
      </c>
      <c r="N20">
        <v>72.787000000000006</v>
      </c>
      <c r="O20" t="s">
        <v>100</v>
      </c>
    </row>
    <row r="21" spans="1:18" x14ac:dyDescent="0.25">
      <c r="A21">
        <v>15</v>
      </c>
      <c r="B21" t="s">
        <v>6</v>
      </c>
      <c r="C21" t="s">
        <v>107</v>
      </c>
      <c r="D21">
        <v>73.745999999999995</v>
      </c>
      <c r="G21">
        <v>73.7136</v>
      </c>
      <c r="J21">
        <v>-3.2399999999999998E-2</v>
      </c>
      <c r="M21">
        <v>73.846000000000004</v>
      </c>
      <c r="N21">
        <v>73.646000000000001</v>
      </c>
      <c r="O21" t="s">
        <v>100</v>
      </c>
    </row>
    <row r="22" spans="1:18" x14ac:dyDescent="0.25">
      <c r="A22">
        <v>16</v>
      </c>
      <c r="B22" t="s">
        <v>7</v>
      </c>
      <c r="C22" t="s">
        <v>107</v>
      </c>
      <c r="D22">
        <v>72.376999999999995</v>
      </c>
      <c r="G22">
        <v>72.339699999999993</v>
      </c>
      <c r="J22">
        <v>-3.73E-2</v>
      </c>
      <c r="M22">
        <v>72.477000000000004</v>
      </c>
      <c r="N22">
        <v>72.277000000000001</v>
      </c>
      <c r="O22" t="s">
        <v>100</v>
      </c>
    </row>
    <row r="23" spans="1:18" x14ac:dyDescent="0.25">
      <c r="A23">
        <v>17</v>
      </c>
      <c r="B23" t="s">
        <v>8</v>
      </c>
      <c r="C23" t="s">
        <v>107</v>
      </c>
      <c r="D23">
        <v>72.031000000000006</v>
      </c>
      <c r="G23">
        <v>71.962000000000003</v>
      </c>
      <c r="J23">
        <v>-6.9000000000000006E-2</v>
      </c>
      <c r="M23">
        <v>72.131</v>
      </c>
      <c r="N23">
        <v>71.930999999999997</v>
      </c>
      <c r="O23" t="s">
        <v>100</v>
      </c>
    </row>
    <row r="24" spans="1:18" x14ac:dyDescent="0.25">
      <c r="A24">
        <v>18</v>
      </c>
      <c r="B24" t="s">
        <v>9</v>
      </c>
      <c r="C24" t="s">
        <v>107</v>
      </c>
      <c r="D24">
        <v>75.007000000000005</v>
      </c>
      <c r="G24">
        <v>74.989900000000006</v>
      </c>
      <c r="J24">
        <v>-1.7100000000000001E-2</v>
      </c>
      <c r="M24">
        <v>75.106999999999999</v>
      </c>
      <c r="N24">
        <v>74.906999999999996</v>
      </c>
      <c r="O24" t="s">
        <v>100</v>
      </c>
    </row>
    <row r="25" spans="1:18" x14ac:dyDescent="0.25">
      <c r="A25">
        <v>19</v>
      </c>
      <c r="B25" t="s">
        <v>10</v>
      </c>
      <c r="C25" t="s">
        <v>107</v>
      </c>
      <c r="D25">
        <v>74.007000000000005</v>
      </c>
      <c r="G25">
        <v>73.985600000000005</v>
      </c>
      <c r="J25">
        <v>-2.1399999999999999E-2</v>
      </c>
      <c r="M25">
        <v>74.106999999999999</v>
      </c>
      <c r="N25">
        <v>73.906999999999996</v>
      </c>
      <c r="O25" t="s">
        <v>100</v>
      </c>
    </row>
    <row r="26" spans="1:18" x14ac:dyDescent="0.25">
      <c r="A26">
        <v>20</v>
      </c>
      <c r="B26" t="s">
        <v>11</v>
      </c>
      <c r="C26" t="s">
        <v>107</v>
      </c>
      <c r="D26">
        <v>126</v>
      </c>
      <c r="G26">
        <v>125.9318</v>
      </c>
      <c r="J26">
        <v>-6.8199999999999997E-2</v>
      </c>
      <c r="M26">
        <v>126.1</v>
      </c>
      <c r="N26">
        <v>125.9</v>
      </c>
      <c r="O26" t="s">
        <v>100</v>
      </c>
    </row>
    <row r="27" spans="1:18" x14ac:dyDescent="0.25">
      <c r="A27">
        <v>21</v>
      </c>
      <c r="B27" t="s">
        <v>12</v>
      </c>
      <c r="C27" t="s">
        <v>107</v>
      </c>
      <c r="D27">
        <v>124.004</v>
      </c>
      <c r="G27">
        <v>123.92270000000001</v>
      </c>
      <c r="J27">
        <v>-8.1299999999999997E-2</v>
      </c>
      <c r="M27">
        <v>124.104</v>
      </c>
      <c r="N27">
        <v>123.904</v>
      </c>
      <c r="O27" t="s">
        <v>100</v>
      </c>
    </row>
    <row r="28" spans="1:18" x14ac:dyDescent="0.25">
      <c r="A28">
        <v>22</v>
      </c>
      <c r="B28" t="s">
        <v>13</v>
      </c>
      <c r="C28" t="s">
        <v>107</v>
      </c>
      <c r="D28">
        <v>145.262</v>
      </c>
      <c r="G28">
        <v>145.21559999999999</v>
      </c>
      <c r="J28">
        <v>-4.6399999999999997E-2</v>
      </c>
      <c r="M28">
        <v>145.36199999999999</v>
      </c>
      <c r="N28">
        <v>145.16200000000001</v>
      </c>
      <c r="O28" t="s">
        <v>100</v>
      </c>
    </row>
    <row r="29" spans="1:18" x14ac:dyDescent="0.25">
      <c r="A29">
        <v>23</v>
      </c>
      <c r="B29" t="s">
        <v>14</v>
      </c>
      <c r="C29" t="s">
        <v>107</v>
      </c>
      <c r="D29">
        <v>145.774</v>
      </c>
      <c r="G29">
        <v>145.6722</v>
      </c>
      <c r="J29">
        <v>-0.1018</v>
      </c>
      <c r="M29">
        <v>145.874</v>
      </c>
      <c r="N29">
        <v>145.67400000000001</v>
      </c>
      <c r="O29" t="s">
        <v>102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1FBF2-2691-4B10-8C42-9EBB37211138}">
  <sheetPr codeName="Sheet19"/>
  <dimension ref="A1:R29"/>
  <sheetViews>
    <sheetView workbookViewId="0"/>
  </sheetViews>
  <sheetFormatPr defaultRowHeight="15" x14ac:dyDescent="0.25"/>
  <cols>
    <col min="1" max="1" width="26.5703125" bestFit="1" customWidth="1"/>
    <col min="2" max="2" width="14.140625" bestFit="1" customWidth="1"/>
    <col min="3" max="3" width="18.28515625" bestFit="1" customWidth="1"/>
    <col min="4" max="4" width="8" bestFit="1" customWidth="1"/>
    <col min="5" max="5" width="5.7109375" bestFit="1" customWidth="1"/>
    <col min="6" max="6" width="2" bestFit="1" customWidth="1"/>
    <col min="7" max="7" width="9" bestFit="1" customWidth="1"/>
    <col min="8" max="8" width="8.7109375" bestFit="1" customWidth="1"/>
    <col min="9" max="9" width="7" bestFit="1" customWidth="1"/>
    <col min="10" max="10" width="7.7109375" bestFit="1" customWidth="1"/>
    <col min="11" max="12" width="7" bestFit="1" customWidth="1"/>
    <col min="13" max="14" width="8" bestFit="1" customWidth="1"/>
    <col min="15" max="15" width="5.42578125" bestFit="1" customWidth="1"/>
    <col min="16" max="16" width="7" bestFit="1" customWidth="1"/>
    <col min="17" max="17" width="5" bestFit="1" customWidth="1"/>
    <col min="18" max="18" width="5.42578125" bestFit="1" customWidth="1"/>
  </cols>
  <sheetData>
    <row r="1" spans="1:18" x14ac:dyDescent="0.25">
      <c r="A1" t="s">
        <v>86</v>
      </c>
      <c r="B1" t="s">
        <v>87</v>
      </c>
    </row>
    <row r="2" spans="1:18" x14ac:dyDescent="0.25">
      <c r="A2" t="s">
        <v>88</v>
      </c>
      <c r="B2" t="s">
        <v>89</v>
      </c>
    </row>
    <row r="3" spans="1:18" x14ac:dyDescent="0.25">
      <c r="A3" t="s">
        <v>90</v>
      </c>
      <c r="B3" t="s">
        <v>127</v>
      </c>
    </row>
    <row r="4" spans="1:18" x14ac:dyDescent="0.25">
      <c r="A4" t="s">
        <v>92</v>
      </c>
      <c r="B4" t="s">
        <v>125</v>
      </c>
    </row>
    <row r="5" spans="1:18" x14ac:dyDescent="0.25">
      <c r="A5" t="s">
        <v>94</v>
      </c>
    </row>
    <row r="6" spans="1:18" x14ac:dyDescent="0.25">
      <c r="A6" t="s">
        <v>95</v>
      </c>
    </row>
    <row r="7" spans="1:18" x14ac:dyDescent="0.25">
      <c r="A7" t="s">
        <v>96</v>
      </c>
    </row>
    <row r="8" spans="1:18" x14ac:dyDescent="0.25">
      <c r="A8" t="s">
        <v>88</v>
      </c>
    </row>
    <row r="9" spans="1:18" x14ac:dyDescent="0.25">
      <c r="A9" t="s">
        <v>97</v>
      </c>
    </row>
    <row r="10" spans="1:18" x14ac:dyDescent="0.25">
      <c r="A10">
        <v>4</v>
      </c>
      <c r="B10" t="s">
        <v>98</v>
      </c>
      <c r="C10" t="s">
        <v>99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P10">
        <v>0</v>
      </c>
      <c r="Q10">
        <v>0.05</v>
      </c>
      <c r="R10" t="s">
        <v>100</v>
      </c>
    </row>
    <row r="11" spans="1:18" x14ac:dyDescent="0.25">
      <c r="A11">
        <v>5</v>
      </c>
      <c r="B11" t="s">
        <v>101</v>
      </c>
      <c r="C11" t="s">
        <v>99</v>
      </c>
      <c r="D11">
        <v>62.5</v>
      </c>
      <c r="E11">
        <v>37.5</v>
      </c>
      <c r="F11">
        <v>0</v>
      </c>
      <c r="G11">
        <v>62.480200000000004</v>
      </c>
      <c r="H11">
        <v>37.517200000000003</v>
      </c>
      <c r="I11">
        <v>8.8900000000000007E-2</v>
      </c>
      <c r="J11">
        <v>-1.9800000000000002E-2</v>
      </c>
      <c r="K11">
        <v>1.72E-2</v>
      </c>
      <c r="L11">
        <v>8.8900000000000007E-2</v>
      </c>
      <c r="P11">
        <v>0.18540000000000001</v>
      </c>
      <c r="Q11">
        <v>0.05</v>
      </c>
      <c r="R11" t="s">
        <v>102</v>
      </c>
    </row>
    <row r="12" spans="1:18" x14ac:dyDescent="0.25">
      <c r="A12">
        <v>6</v>
      </c>
      <c r="B12" t="s">
        <v>103</v>
      </c>
      <c r="C12" t="s">
        <v>99</v>
      </c>
      <c r="D12">
        <v>-63.5</v>
      </c>
      <c r="E12">
        <v>37.5</v>
      </c>
      <c r="F12">
        <v>0</v>
      </c>
      <c r="G12">
        <v>-63.451300000000003</v>
      </c>
      <c r="H12">
        <v>37.517200000000003</v>
      </c>
      <c r="I12">
        <v>7.2700000000000001E-2</v>
      </c>
      <c r="J12">
        <v>4.87E-2</v>
      </c>
      <c r="K12">
        <v>1.72E-2</v>
      </c>
      <c r="L12">
        <v>7.2700000000000001E-2</v>
      </c>
      <c r="P12">
        <v>0.17829999999999999</v>
      </c>
      <c r="Q12">
        <v>0.05</v>
      </c>
      <c r="R12" t="s">
        <v>102</v>
      </c>
    </row>
    <row r="13" spans="1:18" x14ac:dyDescent="0.25">
      <c r="A13">
        <v>7</v>
      </c>
      <c r="B13" t="s">
        <v>104</v>
      </c>
      <c r="C13" t="s">
        <v>99</v>
      </c>
      <c r="D13">
        <v>-62.5</v>
      </c>
      <c r="E13">
        <v>-36.5</v>
      </c>
      <c r="F13">
        <v>0</v>
      </c>
      <c r="G13">
        <v>-62.478200000000001</v>
      </c>
      <c r="H13">
        <v>-36.461500000000001</v>
      </c>
      <c r="I13">
        <v>8.9099999999999999E-2</v>
      </c>
      <c r="J13">
        <v>2.18E-2</v>
      </c>
      <c r="K13">
        <v>3.85E-2</v>
      </c>
      <c r="L13">
        <v>8.9099999999999999E-2</v>
      </c>
      <c r="P13">
        <v>0.19900000000000001</v>
      </c>
      <c r="Q13">
        <v>0.05</v>
      </c>
      <c r="R13" t="s">
        <v>102</v>
      </c>
    </row>
    <row r="14" spans="1:18" x14ac:dyDescent="0.25">
      <c r="A14">
        <v>8</v>
      </c>
      <c r="B14" t="s">
        <v>105</v>
      </c>
      <c r="C14" t="s">
        <v>99</v>
      </c>
      <c r="D14">
        <v>61.5</v>
      </c>
      <c r="E14">
        <v>-37.5</v>
      </c>
      <c r="F14">
        <v>0</v>
      </c>
      <c r="G14">
        <v>61.4405</v>
      </c>
      <c r="H14">
        <v>-37.465699999999998</v>
      </c>
      <c r="I14">
        <v>7.3200000000000001E-2</v>
      </c>
      <c r="J14">
        <v>-5.9499999999999997E-2</v>
      </c>
      <c r="K14">
        <v>3.4299999999999997E-2</v>
      </c>
      <c r="L14">
        <v>7.3200000000000001E-2</v>
      </c>
      <c r="P14">
        <v>0.20069999999999999</v>
      </c>
      <c r="Q14">
        <v>0.05</v>
      </c>
      <c r="R14" t="s">
        <v>102</v>
      </c>
    </row>
    <row r="15" spans="1:18" x14ac:dyDescent="0.25">
      <c r="A15">
        <v>9</v>
      </c>
      <c r="B15" t="s">
        <v>0</v>
      </c>
      <c r="C15" t="s">
        <v>106</v>
      </c>
      <c r="D15">
        <v>25.4</v>
      </c>
      <c r="G15">
        <v>25.398499999999999</v>
      </c>
      <c r="J15">
        <v>-1.5E-3</v>
      </c>
      <c r="M15">
        <v>25.5</v>
      </c>
      <c r="N15">
        <v>25.3</v>
      </c>
      <c r="O15" t="s">
        <v>100</v>
      </c>
      <c r="P15">
        <v>4.7999999999999996E-3</v>
      </c>
      <c r="Q15">
        <v>0.05</v>
      </c>
      <c r="R15" t="s">
        <v>100</v>
      </c>
    </row>
    <row r="16" spans="1:18" x14ac:dyDescent="0.25">
      <c r="A16">
        <v>10</v>
      </c>
      <c r="B16" t="s">
        <v>1</v>
      </c>
      <c r="C16" t="s">
        <v>106</v>
      </c>
      <c r="D16">
        <v>25.4</v>
      </c>
      <c r="G16">
        <v>25.4011</v>
      </c>
      <c r="J16">
        <v>1.1000000000000001E-3</v>
      </c>
      <c r="M16">
        <v>25.5</v>
      </c>
      <c r="N16">
        <v>25.3</v>
      </c>
      <c r="O16" t="s">
        <v>100</v>
      </c>
      <c r="P16">
        <v>6.1999999999999998E-3</v>
      </c>
      <c r="Q16">
        <v>0.05</v>
      </c>
      <c r="R16" t="s">
        <v>100</v>
      </c>
    </row>
    <row r="17" spans="1:18" x14ac:dyDescent="0.25">
      <c r="A17">
        <v>11</v>
      </c>
      <c r="B17" t="s">
        <v>2</v>
      </c>
      <c r="C17" t="s">
        <v>106</v>
      </c>
      <c r="D17">
        <v>25.4</v>
      </c>
      <c r="G17">
        <v>25.4009</v>
      </c>
      <c r="J17">
        <v>8.9999999999999998E-4</v>
      </c>
      <c r="M17">
        <v>25.5</v>
      </c>
      <c r="N17">
        <v>25.3</v>
      </c>
      <c r="O17" t="s">
        <v>100</v>
      </c>
      <c r="P17">
        <v>3.8999999999999998E-3</v>
      </c>
      <c r="Q17">
        <v>0.05</v>
      </c>
      <c r="R17" t="s">
        <v>100</v>
      </c>
    </row>
    <row r="18" spans="1:18" x14ac:dyDescent="0.25">
      <c r="A18">
        <v>12</v>
      </c>
      <c r="B18" t="s">
        <v>3</v>
      </c>
      <c r="C18" t="s">
        <v>106</v>
      </c>
      <c r="D18">
        <v>25.4</v>
      </c>
      <c r="G18">
        <v>25.402899999999999</v>
      </c>
      <c r="J18">
        <v>2.8999999999999998E-3</v>
      </c>
      <c r="M18">
        <v>25.5</v>
      </c>
      <c r="N18">
        <v>25.3</v>
      </c>
      <c r="O18" t="s">
        <v>100</v>
      </c>
      <c r="P18">
        <v>6.7999999999999996E-3</v>
      </c>
      <c r="Q18">
        <v>0.05</v>
      </c>
      <c r="R18" t="s">
        <v>100</v>
      </c>
    </row>
    <row r="19" spans="1:18" x14ac:dyDescent="0.25">
      <c r="A19">
        <v>13</v>
      </c>
      <c r="B19" t="s">
        <v>4</v>
      </c>
      <c r="C19" t="s">
        <v>106</v>
      </c>
      <c r="D19">
        <v>25.4</v>
      </c>
      <c r="G19">
        <v>25.400600000000001</v>
      </c>
      <c r="J19">
        <v>5.9999999999999995E-4</v>
      </c>
      <c r="M19">
        <v>25.5</v>
      </c>
      <c r="N19">
        <v>25.3</v>
      </c>
      <c r="O19" t="s">
        <v>100</v>
      </c>
      <c r="P19">
        <v>5.1000000000000004E-3</v>
      </c>
      <c r="Q19">
        <v>0.05</v>
      </c>
      <c r="R19" t="s">
        <v>100</v>
      </c>
    </row>
    <row r="20" spans="1:18" x14ac:dyDescent="0.25">
      <c r="A20">
        <v>14</v>
      </c>
      <c r="B20" t="s">
        <v>5</v>
      </c>
      <c r="C20" t="s">
        <v>107</v>
      </c>
      <c r="D20">
        <v>72.887</v>
      </c>
      <c r="G20">
        <v>72.878900000000002</v>
      </c>
      <c r="J20">
        <v>-8.0999999999999996E-3</v>
      </c>
      <c r="M20">
        <v>72.986999999999995</v>
      </c>
      <c r="N20">
        <v>72.787000000000006</v>
      </c>
      <c r="O20" t="s">
        <v>100</v>
      </c>
    </row>
    <row r="21" spans="1:18" x14ac:dyDescent="0.25">
      <c r="A21">
        <v>15</v>
      </c>
      <c r="B21" t="s">
        <v>6</v>
      </c>
      <c r="C21" t="s">
        <v>107</v>
      </c>
      <c r="D21">
        <v>73.745999999999995</v>
      </c>
      <c r="G21">
        <v>73.713099999999997</v>
      </c>
      <c r="J21">
        <v>-3.2899999999999999E-2</v>
      </c>
      <c r="M21">
        <v>73.846000000000004</v>
      </c>
      <c r="N21">
        <v>73.646000000000001</v>
      </c>
      <c r="O21" t="s">
        <v>100</v>
      </c>
    </row>
    <row r="22" spans="1:18" x14ac:dyDescent="0.25">
      <c r="A22">
        <v>16</v>
      </c>
      <c r="B22" t="s">
        <v>7</v>
      </c>
      <c r="C22" t="s">
        <v>107</v>
      </c>
      <c r="D22">
        <v>72.376999999999995</v>
      </c>
      <c r="G22">
        <v>72.339299999999994</v>
      </c>
      <c r="J22">
        <v>-3.7699999999999997E-2</v>
      </c>
      <c r="M22">
        <v>72.477000000000004</v>
      </c>
      <c r="N22">
        <v>72.277000000000001</v>
      </c>
      <c r="O22" t="s">
        <v>100</v>
      </c>
    </row>
    <row r="23" spans="1:18" x14ac:dyDescent="0.25">
      <c r="A23">
        <v>17</v>
      </c>
      <c r="B23" t="s">
        <v>8</v>
      </c>
      <c r="C23" t="s">
        <v>107</v>
      </c>
      <c r="D23">
        <v>72.031000000000006</v>
      </c>
      <c r="G23">
        <v>71.962599999999995</v>
      </c>
      <c r="J23">
        <v>-6.8400000000000002E-2</v>
      </c>
      <c r="M23">
        <v>72.131</v>
      </c>
      <c r="N23">
        <v>71.930999999999997</v>
      </c>
      <c r="O23" t="s">
        <v>100</v>
      </c>
    </row>
    <row r="24" spans="1:18" x14ac:dyDescent="0.25">
      <c r="A24">
        <v>18</v>
      </c>
      <c r="B24" t="s">
        <v>9</v>
      </c>
      <c r="C24" t="s">
        <v>107</v>
      </c>
      <c r="D24">
        <v>75.007000000000005</v>
      </c>
      <c r="G24">
        <v>74.990099999999998</v>
      </c>
      <c r="J24">
        <v>-1.6899999999999998E-2</v>
      </c>
      <c r="M24">
        <v>75.106999999999999</v>
      </c>
      <c r="N24">
        <v>74.906999999999996</v>
      </c>
      <c r="O24" t="s">
        <v>100</v>
      </c>
    </row>
    <row r="25" spans="1:18" x14ac:dyDescent="0.25">
      <c r="A25">
        <v>19</v>
      </c>
      <c r="B25" t="s">
        <v>10</v>
      </c>
      <c r="C25" t="s">
        <v>107</v>
      </c>
      <c r="D25">
        <v>74.007000000000005</v>
      </c>
      <c r="G25">
        <v>73.985100000000003</v>
      </c>
      <c r="J25">
        <v>-2.1899999999999999E-2</v>
      </c>
      <c r="M25">
        <v>74.106999999999999</v>
      </c>
      <c r="N25">
        <v>73.906999999999996</v>
      </c>
      <c r="O25" t="s">
        <v>100</v>
      </c>
    </row>
    <row r="26" spans="1:18" x14ac:dyDescent="0.25">
      <c r="A26">
        <v>20</v>
      </c>
      <c r="B26" t="s">
        <v>11</v>
      </c>
      <c r="C26" t="s">
        <v>107</v>
      </c>
      <c r="D26">
        <v>126</v>
      </c>
      <c r="G26">
        <v>125.9315</v>
      </c>
      <c r="J26">
        <v>-6.8500000000000005E-2</v>
      </c>
      <c r="M26">
        <v>126.1</v>
      </c>
      <c r="N26">
        <v>125.9</v>
      </c>
      <c r="O26" t="s">
        <v>100</v>
      </c>
    </row>
    <row r="27" spans="1:18" x14ac:dyDescent="0.25">
      <c r="A27">
        <v>21</v>
      </c>
      <c r="B27" t="s">
        <v>12</v>
      </c>
      <c r="C27" t="s">
        <v>107</v>
      </c>
      <c r="D27">
        <v>124.004</v>
      </c>
      <c r="G27">
        <v>123.9228</v>
      </c>
      <c r="J27">
        <v>-8.1199999999999994E-2</v>
      </c>
      <c r="M27">
        <v>124.104</v>
      </c>
      <c r="N27">
        <v>123.904</v>
      </c>
      <c r="O27" t="s">
        <v>100</v>
      </c>
    </row>
    <row r="28" spans="1:18" x14ac:dyDescent="0.25">
      <c r="A28">
        <v>22</v>
      </c>
      <c r="B28" t="s">
        <v>13</v>
      </c>
      <c r="C28" t="s">
        <v>107</v>
      </c>
      <c r="D28">
        <v>145.262</v>
      </c>
      <c r="G28">
        <v>145.21520000000001</v>
      </c>
      <c r="J28">
        <v>-4.6800000000000001E-2</v>
      </c>
      <c r="M28">
        <v>145.36199999999999</v>
      </c>
      <c r="N28">
        <v>145.16200000000001</v>
      </c>
      <c r="O28" t="s">
        <v>100</v>
      </c>
    </row>
    <row r="29" spans="1:18" x14ac:dyDescent="0.25">
      <c r="A29">
        <v>23</v>
      </c>
      <c r="B29" t="s">
        <v>14</v>
      </c>
      <c r="C29" t="s">
        <v>107</v>
      </c>
      <c r="D29">
        <v>145.774</v>
      </c>
      <c r="G29">
        <v>145.6722</v>
      </c>
      <c r="J29">
        <v>-0.1018</v>
      </c>
      <c r="M29">
        <v>145.874</v>
      </c>
      <c r="N29">
        <v>145.67400000000001</v>
      </c>
      <c r="O29" t="s">
        <v>102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1E374C-68FF-4B49-AB5D-3D086ADBE953}">
  <sheetPr codeName="Sheet20"/>
  <dimension ref="A1:R29"/>
  <sheetViews>
    <sheetView workbookViewId="0"/>
  </sheetViews>
  <sheetFormatPr defaultRowHeight="15" x14ac:dyDescent="0.25"/>
  <cols>
    <col min="1" max="1" width="26.5703125" bestFit="1" customWidth="1"/>
    <col min="2" max="2" width="14.140625" bestFit="1" customWidth="1"/>
    <col min="3" max="3" width="18.28515625" bestFit="1" customWidth="1"/>
    <col min="4" max="4" width="8" bestFit="1" customWidth="1"/>
    <col min="5" max="5" width="5.7109375" bestFit="1" customWidth="1"/>
    <col min="6" max="6" width="2" bestFit="1" customWidth="1"/>
    <col min="7" max="7" width="9" bestFit="1" customWidth="1"/>
    <col min="8" max="8" width="8.7109375" bestFit="1" customWidth="1"/>
    <col min="9" max="9" width="7" bestFit="1" customWidth="1"/>
    <col min="10" max="10" width="7.7109375" bestFit="1" customWidth="1"/>
    <col min="11" max="12" width="7" bestFit="1" customWidth="1"/>
    <col min="13" max="14" width="8" bestFit="1" customWidth="1"/>
    <col min="15" max="15" width="5.42578125" bestFit="1" customWidth="1"/>
    <col min="16" max="16" width="7" bestFit="1" customWidth="1"/>
    <col min="17" max="17" width="5" bestFit="1" customWidth="1"/>
    <col min="18" max="18" width="5.42578125" bestFit="1" customWidth="1"/>
  </cols>
  <sheetData>
    <row r="1" spans="1:18" x14ac:dyDescent="0.25">
      <c r="A1" t="s">
        <v>86</v>
      </c>
      <c r="B1" t="s">
        <v>128</v>
      </c>
    </row>
    <row r="2" spans="1:18" x14ac:dyDescent="0.25">
      <c r="A2" t="s">
        <v>88</v>
      </c>
      <c r="B2" t="s">
        <v>89</v>
      </c>
    </row>
    <row r="3" spans="1:18" x14ac:dyDescent="0.25">
      <c r="A3" t="s">
        <v>90</v>
      </c>
      <c r="B3" t="s">
        <v>129</v>
      </c>
    </row>
    <row r="4" spans="1:18" x14ac:dyDescent="0.25">
      <c r="A4" t="s">
        <v>92</v>
      </c>
      <c r="B4" t="s">
        <v>125</v>
      </c>
    </row>
    <row r="5" spans="1:18" x14ac:dyDescent="0.25">
      <c r="A5" t="s">
        <v>94</v>
      </c>
    </row>
    <row r="6" spans="1:18" x14ac:dyDescent="0.25">
      <c r="A6" t="s">
        <v>95</v>
      </c>
    </row>
    <row r="7" spans="1:18" x14ac:dyDescent="0.25">
      <c r="A7" t="s">
        <v>96</v>
      </c>
    </row>
    <row r="8" spans="1:18" x14ac:dyDescent="0.25">
      <c r="A8" t="s">
        <v>88</v>
      </c>
    </row>
    <row r="9" spans="1:18" x14ac:dyDescent="0.25">
      <c r="A9" t="s">
        <v>97</v>
      </c>
    </row>
    <row r="10" spans="1:18" x14ac:dyDescent="0.25">
      <c r="A10">
        <v>4</v>
      </c>
      <c r="B10" t="s">
        <v>98</v>
      </c>
      <c r="C10" t="s">
        <v>99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P10">
        <v>0</v>
      </c>
      <c r="Q10">
        <v>0.05</v>
      </c>
      <c r="R10" t="s">
        <v>100</v>
      </c>
    </row>
    <row r="11" spans="1:18" x14ac:dyDescent="0.25">
      <c r="A11">
        <v>5</v>
      </c>
      <c r="B11" t="s">
        <v>101</v>
      </c>
      <c r="C11" t="s">
        <v>99</v>
      </c>
      <c r="D11">
        <v>62.5</v>
      </c>
      <c r="E11">
        <v>37.5</v>
      </c>
      <c r="F11">
        <v>0</v>
      </c>
      <c r="G11">
        <v>62.479100000000003</v>
      </c>
      <c r="H11">
        <v>37.515999999999998</v>
      </c>
      <c r="I11">
        <v>8.7999999999999995E-2</v>
      </c>
      <c r="J11">
        <v>-2.0899999999999998E-2</v>
      </c>
      <c r="K11">
        <v>1.6E-2</v>
      </c>
      <c r="L11">
        <v>8.7999999999999995E-2</v>
      </c>
      <c r="P11">
        <v>0.1837</v>
      </c>
      <c r="Q11">
        <v>0.05</v>
      </c>
      <c r="R11" t="s">
        <v>102</v>
      </c>
    </row>
    <row r="12" spans="1:18" x14ac:dyDescent="0.25">
      <c r="A12">
        <v>6</v>
      </c>
      <c r="B12" t="s">
        <v>103</v>
      </c>
      <c r="C12" t="s">
        <v>99</v>
      </c>
      <c r="D12">
        <v>-63.5</v>
      </c>
      <c r="E12">
        <v>37.5</v>
      </c>
      <c r="F12">
        <v>0</v>
      </c>
      <c r="G12">
        <v>-63.45</v>
      </c>
      <c r="H12">
        <v>37.515999999999998</v>
      </c>
      <c r="I12">
        <v>7.1400000000000005E-2</v>
      </c>
      <c r="J12">
        <v>0.05</v>
      </c>
      <c r="K12">
        <v>1.6E-2</v>
      </c>
      <c r="L12">
        <v>7.1400000000000005E-2</v>
      </c>
      <c r="P12">
        <v>0.17730000000000001</v>
      </c>
      <c r="Q12">
        <v>0.05</v>
      </c>
      <c r="R12" t="s">
        <v>102</v>
      </c>
    </row>
    <row r="13" spans="1:18" x14ac:dyDescent="0.25">
      <c r="A13">
        <v>7</v>
      </c>
      <c r="B13" t="s">
        <v>104</v>
      </c>
      <c r="C13" t="s">
        <v>99</v>
      </c>
      <c r="D13">
        <v>-62.5</v>
      </c>
      <c r="E13">
        <v>-36.5</v>
      </c>
      <c r="F13">
        <v>0</v>
      </c>
      <c r="G13">
        <v>-62.476799999999997</v>
      </c>
      <c r="H13">
        <v>-36.4636</v>
      </c>
      <c r="I13">
        <v>8.8200000000000001E-2</v>
      </c>
      <c r="J13">
        <v>2.3199999999999998E-2</v>
      </c>
      <c r="K13">
        <v>3.6400000000000002E-2</v>
      </c>
      <c r="L13">
        <v>8.8200000000000001E-2</v>
      </c>
      <c r="P13">
        <v>0.19639999999999999</v>
      </c>
      <c r="Q13">
        <v>0.05</v>
      </c>
      <c r="R13" t="s">
        <v>102</v>
      </c>
    </row>
    <row r="14" spans="1:18" x14ac:dyDescent="0.25">
      <c r="A14">
        <v>8</v>
      </c>
      <c r="B14" t="s">
        <v>105</v>
      </c>
      <c r="C14" t="s">
        <v>99</v>
      </c>
      <c r="D14">
        <v>61.5</v>
      </c>
      <c r="E14">
        <v>-37.5</v>
      </c>
      <c r="F14">
        <v>0</v>
      </c>
      <c r="G14">
        <v>61.440100000000001</v>
      </c>
      <c r="H14">
        <v>-37.468000000000004</v>
      </c>
      <c r="I14">
        <v>7.1900000000000006E-2</v>
      </c>
      <c r="J14">
        <v>-5.9900000000000002E-2</v>
      </c>
      <c r="K14">
        <v>3.2000000000000001E-2</v>
      </c>
      <c r="L14">
        <v>7.1900000000000006E-2</v>
      </c>
      <c r="P14">
        <v>0.1978</v>
      </c>
      <c r="Q14">
        <v>0.05</v>
      </c>
      <c r="R14" t="s">
        <v>102</v>
      </c>
    </row>
    <row r="15" spans="1:18" x14ac:dyDescent="0.25">
      <c r="A15">
        <v>9</v>
      </c>
      <c r="B15" t="s">
        <v>0</v>
      </c>
      <c r="C15" t="s">
        <v>106</v>
      </c>
      <c r="D15">
        <v>25.4</v>
      </c>
      <c r="G15">
        <v>25.398499999999999</v>
      </c>
      <c r="J15">
        <v>-1.5E-3</v>
      </c>
      <c r="M15">
        <v>25.5</v>
      </c>
      <c r="N15">
        <v>25.3</v>
      </c>
      <c r="O15" t="s">
        <v>100</v>
      </c>
      <c r="P15">
        <v>4.7999999999999996E-3</v>
      </c>
      <c r="Q15">
        <v>0.05</v>
      </c>
      <c r="R15" t="s">
        <v>100</v>
      </c>
    </row>
    <row r="16" spans="1:18" x14ac:dyDescent="0.25">
      <c r="A16">
        <v>10</v>
      </c>
      <c r="B16" t="s">
        <v>1</v>
      </c>
      <c r="C16" t="s">
        <v>106</v>
      </c>
      <c r="D16">
        <v>25.4</v>
      </c>
      <c r="G16">
        <v>25.401700000000002</v>
      </c>
      <c r="J16">
        <v>1.6999999999999999E-3</v>
      </c>
      <c r="M16">
        <v>25.5</v>
      </c>
      <c r="N16">
        <v>25.3</v>
      </c>
      <c r="O16" t="s">
        <v>100</v>
      </c>
      <c r="P16">
        <v>8.6E-3</v>
      </c>
      <c r="Q16">
        <v>0.05</v>
      </c>
      <c r="R16" t="s">
        <v>100</v>
      </c>
    </row>
    <row r="17" spans="1:18" x14ac:dyDescent="0.25">
      <c r="A17">
        <v>11</v>
      </c>
      <c r="B17" t="s">
        <v>2</v>
      </c>
      <c r="C17" t="s">
        <v>106</v>
      </c>
      <c r="D17">
        <v>25.4</v>
      </c>
      <c r="G17">
        <v>25.402200000000001</v>
      </c>
      <c r="J17">
        <v>2.2000000000000001E-3</v>
      </c>
      <c r="M17">
        <v>25.5</v>
      </c>
      <c r="N17">
        <v>25.3</v>
      </c>
      <c r="O17" t="s">
        <v>100</v>
      </c>
      <c r="P17">
        <v>6.1999999999999998E-3</v>
      </c>
      <c r="Q17">
        <v>0.05</v>
      </c>
      <c r="R17" t="s">
        <v>100</v>
      </c>
    </row>
    <row r="18" spans="1:18" x14ac:dyDescent="0.25">
      <c r="A18">
        <v>12</v>
      </c>
      <c r="B18" t="s">
        <v>3</v>
      </c>
      <c r="C18" t="s">
        <v>106</v>
      </c>
      <c r="D18">
        <v>25.4</v>
      </c>
      <c r="G18">
        <v>25.4041</v>
      </c>
      <c r="J18">
        <v>4.1000000000000003E-3</v>
      </c>
      <c r="M18">
        <v>25.5</v>
      </c>
      <c r="N18">
        <v>25.3</v>
      </c>
      <c r="O18" t="s">
        <v>100</v>
      </c>
      <c r="P18">
        <v>9.9000000000000008E-3</v>
      </c>
      <c r="Q18">
        <v>0.05</v>
      </c>
      <c r="R18" t="s">
        <v>100</v>
      </c>
    </row>
    <row r="19" spans="1:18" x14ac:dyDescent="0.25">
      <c r="A19">
        <v>13</v>
      </c>
      <c r="B19" t="s">
        <v>4</v>
      </c>
      <c r="C19" t="s">
        <v>106</v>
      </c>
      <c r="D19">
        <v>25.4</v>
      </c>
      <c r="G19">
        <v>25.401900000000001</v>
      </c>
      <c r="J19">
        <v>1.9E-3</v>
      </c>
      <c r="M19">
        <v>25.5</v>
      </c>
      <c r="N19">
        <v>25.3</v>
      </c>
      <c r="O19" t="s">
        <v>100</v>
      </c>
      <c r="P19">
        <v>5.5999999999999999E-3</v>
      </c>
      <c r="Q19">
        <v>0.05</v>
      </c>
      <c r="R19" t="s">
        <v>100</v>
      </c>
    </row>
    <row r="20" spans="1:18" x14ac:dyDescent="0.25">
      <c r="A20">
        <v>14</v>
      </c>
      <c r="B20" t="s">
        <v>5</v>
      </c>
      <c r="C20" t="s">
        <v>107</v>
      </c>
      <c r="D20">
        <v>72.887</v>
      </c>
      <c r="G20">
        <v>72.877300000000005</v>
      </c>
      <c r="J20">
        <v>-9.7000000000000003E-3</v>
      </c>
      <c r="M20">
        <v>72.986999999999995</v>
      </c>
      <c r="N20">
        <v>72.787000000000006</v>
      </c>
      <c r="O20" t="s">
        <v>100</v>
      </c>
    </row>
    <row r="21" spans="1:18" x14ac:dyDescent="0.25">
      <c r="A21">
        <v>15</v>
      </c>
      <c r="B21" t="s">
        <v>6</v>
      </c>
      <c r="C21" t="s">
        <v>107</v>
      </c>
      <c r="D21">
        <v>73.745999999999995</v>
      </c>
      <c r="G21">
        <v>73.711299999999994</v>
      </c>
      <c r="J21">
        <v>-3.4700000000000002E-2</v>
      </c>
      <c r="M21">
        <v>73.846000000000004</v>
      </c>
      <c r="N21">
        <v>73.646000000000001</v>
      </c>
      <c r="O21" t="s">
        <v>100</v>
      </c>
    </row>
    <row r="22" spans="1:18" x14ac:dyDescent="0.25">
      <c r="A22">
        <v>16</v>
      </c>
      <c r="B22" t="s">
        <v>7</v>
      </c>
      <c r="C22" t="s">
        <v>107</v>
      </c>
      <c r="D22">
        <v>72.376999999999995</v>
      </c>
      <c r="G22">
        <v>72.339200000000005</v>
      </c>
      <c r="J22">
        <v>-3.78E-2</v>
      </c>
      <c r="M22">
        <v>72.477000000000004</v>
      </c>
      <c r="N22">
        <v>72.277000000000001</v>
      </c>
      <c r="O22" t="s">
        <v>100</v>
      </c>
    </row>
    <row r="23" spans="1:18" x14ac:dyDescent="0.25">
      <c r="A23">
        <v>17</v>
      </c>
      <c r="B23" t="s">
        <v>8</v>
      </c>
      <c r="C23" t="s">
        <v>107</v>
      </c>
      <c r="D23">
        <v>72.031000000000006</v>
      </c>
      <c r="G23">
        <v>71.963399999999993</v>
      </c>
      <c r="J23">
        <v>-6.7599999999999993E-2</v>
      </c>
      <c r="M23">
        <v>72.131</v>
      </c>
      <c r="N23">
        <v>71.930999999999997</v>
      </c>
      <c r="O23" t="s">
        <v>100</v>
      </c>
    </row>
    <row r="24" spans="1:18" x14ac:dyDescent="0.25">
      <c r="A24">
        <v>18</v>
      </c>
      <c r="B24" t="s">
        <v>9</v>
      </c>
      <c r="C24" t="s">
        <v>107</v>
      </c>
      <c r="D24">
        <v>75.007000000000005</v>
      </c>
      <c r="G24">
        <v>74.991200000000006</v>
      </c>
      <c r="J24">
        <v>-1.5800000000000002E-2</v>
      </c>
      <c r="M24">
        <v>75.106999999999999</v>
      </c>
      <c r="N24">
        <v>74.906999999999996</v>
      </c>
      <c r="O24" t="s">
        <v>100</v>
      </c>
    </row>
    <row r="25" spans="1:18" x14ac:dyDescent="0.25">
      <c r="A25">
        <v>19</v>
      </c>
      <c r="B25" t="s">
        <v>10</v>
      </c>
      <c r="C25" t="s">
        <v>107</v>
      </c>
      <c r="D25">
        <v>74.007000000000005</v>
      </c>
      <c r="G25">
        <v>73.986099999999993</v>
      </c>
      <c r="J25">
        <v>-2.0899999999999998E-2</v>
      </c>
      <c r="M25">
        <v>74.106999999999999</v>
      </c>
      <c r="N25">
        <v>73.906999999999996</v>
      </c>
      <c r="O25" t="s">
        <v>100</v>
      </c>
    </row>
    <row r="26" spans="1:18" x14ac:dyDescent="0.25">
      <c r="A26">
        <v>20</v>
      </c>
      <c r="B26" t="s">
        <v>11</v>
      </c>
      <c r="C26" t="s">
        <v>107</v>
      </c>
      <c r="D26">
        <v>126</v>
      </c>
      <c r="G26">
        <v>125.92910000000001</v>
      </c>
      <c r="J26">
        <v>-7.0900000000000005E-2</v>
      </c>
      <c r="M26">
        <v>126.1</v>
      </c>
      <c r="N26">
        <v>125.9</v>
      </c>
      <c r="O26" t="s">
        <v>100</v>
      </c>
    </row>
    <row r="27" spans="1:18" x14ac:dyDescent="0.25">
      <c r="A27">
        <v>21</v>
      </c>
      <c r="B27" t="s">
        <v>12</v>
      </c>
      <c r="C27" t="s">
        <v>107</v>
      </c>
      <c r="D27">
        <v>124.004</v>
      </c>
      <c r="G27">
        <v>123.92100000000001</v>
      </c>
      <c r="J27">
        <v>-8.3000000000000004E-2</v>
      </c>
      <c r="M27">
        <v>124.104</v>
      </c>
      <c r="N27">
        <v>123.904</v>
      </c>
      <c r="O27" t="s">
        <v>100</v>
      </c>
    </row>
    <row r="28" spans="1:18" x14ac:dyDescent="0.25">
      <c r="A28">
        <v>22</v>
      </c>
      <c r="B28" t="s">
        <v>13</v>
      </c>
      <c r="C28" t="s">
        <v>107</v>
      </c>
      <c r="D28">
        <v>145.262</v>
      </c>
      <c r="G28">
        <v>145.21360000000001</v>
      </c>
      <c r="J28">
        <v>-4.8399999999999999E-2</v>
      </c>
      <c r="M28">
        <v>145.36199999999999</v>
      </c>
      <c r="N28">
        <v>145.16200000000001</v>
      </c>
      <c r="O28" t="s">
        <v>100</v>
      </c>
    </row>
    <row r="29" spans="1:18" x14ac:dyDescent="0.25">
      <c r="A29">
        <v>23</v>
      </c>
      <c r="B29" t="s">
        <v>14</v>
      </c>
      <c r="C29" t="s">
        <v>107</v>
      </c>
      <c r="D29">
        <v>145.774</v>
      </c>
      <c r="G29">
        <v>145.6713</v>
      </c>
      <c r="J29">
        <v>-0.1027</v>
      </c>
      <c r="M29">
        <v>145.874</v>
      </c>
      <c r="N29">
        <v>145.67400000000001</v>
      </c>
      <c r="O29" t="s">
        <v>102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33909-1E23-4AA8-AA10-124599952769}">
  <sheetPr codeName="Sheet21"/>
  <dimension ref="A1:R29"/>
  <sheetViews>
    <sheetView workbookViewId="0"/>
  </sheetViews>
  <sheetFormatPr defaultRowHeight="15" x14ac:dyDescent="0.25"/>
  <cols>
    <col min="1" max="1" width="26.5703125" bestFit="1" customWidth="1"/>
    <col min="2" max="2" width="14.140625" bestFit="1" customWidth="1"/>
    <col min="3" max="3" width="18.28515625" bestFit="1" customWidth="1"/>
    <col min="4" max="4" width="8" bestFit="1" customWidth="1"/>
    <col min="5" max="5" width="5.7109375" bestFit="1" customWidth="1"/>
    <col min="6" max="6" width="2" bestFit="1" customWidth="1"/>
    <col min="7" max="7" width="9" bestFit="1" customWidth="1"/>
    <col min="8" max="8" width="8.7109375" bestFit="1" customWidth="1"/>
    <col min="9" max="9" width="7" bestFit="1" customWidth="1"/>
    <col min="10" max="10" width="7.7109375" bestFit="1" customWidth="1"/>
    <col min="11" max="12" width="7" bestFit="1" customWidth="1"/>
    <col min="13" max="14" width="8" bestFit="1" customWidth="1"/>
    <col min="15" max="15" width="5.42578125" bestFit="1" customWidth="1"/>
    <col min="16" max="16" width="7" bestFit="1" customWidth="1"/>
    <col min="17" max="17" width="5" bestFit="1" customWidth="1"/>
    <col min="18" max="18" width="5.42578125" bestFit="1" customWidth="1"/>
  </cols>
  <sheetData>
    <row r="1" spans="1:18" x14ac:dyDescent="0.25">
      <c r="A1" t="s">
        <v>86</v>
      </c>
      <c r="B1" t="s">
        <v>128</v>
      </c>
    </row>
    <row r="2" spans="1:18" x14ac:dyDescent="0.25">
      <c r="A2" t="s">
        <v>88</v>
      </c>
      <c r="B2" t="s">
        <v>89</v>
      </c>
    </row>
    <row r="3" spans="1:18" x14ac:dyDescent="0.25">
      <c r="A3" t="s">
        <v>90</v>
      </c>
      <c r="B3" t="s">
        <v>130</v>
      </c>
    </row>
    <row r="4" spans="1:18" x14ac:dyDescent="0.25">
      <c r="A4" t="s">
        <v>92</v>
      </c>
      <c r="B4" t="s">
        <v>109</v>
      </c>
    </row>
    <row r="5" spans="1:18" x14ac:dyDescent="0.25">
      <c r="A5" t="s">
        <v>94</v>
      </c>
    </row>
    <row r="6" spans="1:18" x14ac:dyDescent="0.25">
      <c r="A6" t="s">
        <v>95</v>
      </c>
    </row>
    <row r="7" spans="1:18" x14ac:dyDescent="0.25">
      <c r="A7" t="s">
        <v>96</v>
      </c>
    </row>
    <row r="8" spans="1:18" x14ac:dyDescent="0.25">
      <c r="A8" t="s">
        <v>88</v>
      </c>
    </row>
    <row r="9" spans="1:18" x14ac:dyDescent="0.25">
      <c r="A9" t="s">
        <v>97</v>
      </c>
    </row>
    <row r="10" spans="1:18" x14ac:dyDescent="0.25">
      <c r="A10">
        <v>4</v>
      </c>
      <c r="B10" t="s">
        <v>98</v>
      </c>
      <c r="C10" t="s">
        <v>99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P10">
        <v>0</v>
      </c>
      <c r="Q10">
        <v>0.05</v>
      </c>
      <c r="R10" t="s">
        <v>100</v>
      </c>
    </row>
    <row r="11" spans="1:18" x14ac:dyDescent="0.25">
      <c r="A11">
        <v>5</v>
      </c>
      <c r="B11" t="s">
        <v>101</v>
      </c>
      <c r="C11" t="s">
        <v>99</v>
      </c>
      <c r="D11">
        <v>62.5</v>
      </c>
      <c r="E11">
        <v>37.5</v>
      </c>
      <c r="F11">
        <v>0</v>
      </c>
      <c r="G11">
        <v>62.479599999999998</v>
      </c>
      <c r="H11">
        <v>37.516300000000001</v>
      </c>
      <c r="I11">
        <v>8.8400000000000006E-2</v>
      </c>
      <c r="J11">
        <v>-2.0400000000000001E-2</v>
      </c>
      <c r="K11">
        <v>1.6299999999999999E-2</v>
      </c>
      <c r="L11">
        <v>8.8400000000000006E-2</v>
      </c>
      <c r="P11">
        <v>0.1845</v>
      </c>
      <c r="Q11">
        <v>0.05</v>
      </c>
      <c r="R11" t="s">
        <v>102</v>
      </c>
    </row>
    <row r="12" spans="1:18" x14ac:dyDescent="0.25">
      <c r="A12">
        <v>6</v>
      </c>
      <c r="B12" t="s">
        <v>103</v>
      </c>
      <c r="C12" t="s">
        <v>99</v>
      </c>
      <c r="D12">
        <v>-63.5</v>
      </c>
      <c r="E12">
        <v>37.5</v>
      </c>
      <c r="F12">
        <v>0</v>
      </c>
      <c r="G12">
        <v>-63.45</v>
      </c>
      <c r="H12">
        <v>37.516300000000001</v>
      </c>
      <c r="I12">
        <v>7.1400000000000005E-2</v>
      </c>
      <c r="J12">
        <v>0.05</v>
      </c>
      <c r="K12">
        <v>1.6299999999999999E-2</v>
      </c>
      <c r="L12">
        <v>7.1400000000000005E-2</v>
      </c>
      <c r="P12">
        <v>0.17730000000000001</v>
      </c>
      <c r="Q12">
        <v>0.05</v>
      </c>
      <c r="R12" t="s">
        <v>102</v>
      </c>
    </row>
    <row r="13" spans="1:18" x14ac:dyDescent="0.25">
      <c r="A13">
        <v>7</v>
      </c>
      <c r="B13" t="s">
        <v>104</v>
      </c>
      <c r="C13" t="s">
        <v>99</v>
      </c>
      <c r="D13">
        <v>-62.5</v>
      </c>
      <c r="E13">
        <v>-36.5</v>
      </c>
      <c r="F13">
        <v>0</v>
      </c>
      <c r="G13">
        <v>-62.476700000000001</v>
      </c>
      <c r="H13">
        <v>-36.462899999999998</v>
      </c>
      <c r="I13">
        <v>8.8700000000000001E-2</v>
      </c>
      <c r="J13">
        <v>2.3300000000000001E-2</v>
      </c>
      <c r="K13">
        <v>3.7100000000000001E-2</v>
      </c>
      <c r="L13">
        <v>8.8700000000000001E-2</v>
      </c>
      <c r="P13">
        <v>0.1978</v>
      </c>
      <c r="Q13">
        <v>0.05</v>
      </c>
      <c r="R13" t="s">
        <v>102</v>
      </c>
    </row>
    <row r="14" spans="1:18" x14ac:dyDescent="0.25">
      <c r="A14">
        <v>8</v>
      </c>
      <c r="B14" t="s">
        <v>105</v>
      </c>
      <c r="C14" t="s">
        <v>99</v>
      </c>
      <c r="D14">
        <v>61.5</v>
      </c>
      <c r="E14">
        <v>-37.5</v>
      </c>
      <c r="F14">
        <v>0</v>
      </c>
      <c r="G14">
        <v>61.440399999999997</v>
      </c>
      <c r="H14">
        <v>-37.468200000000003</v>
      </c>
      <c r="I14">
        <v>7.1800000000000003E-2</v>
      </c>
      <c r="J14">
        <v>-5.96E-2</v>
      </c>
      <c r="K14">
        <v>3.1800000000000002E-2</v>
      </c>
      <c r="L14">
        <v>7.1800000000000003E-2</v>
      </c>
      <c r="P14">
        <v>0.19719999999999999</v>
      </c>
      <c r="Q14">
        <v>0.05</v>
      </c>
      <c r="R14" t="s">
        <v>102</v>
      </c>
    </row>
    <row r="15" spans="1:18" x14ac:dyDescent="0.25">
      <c r="A15">
        <v>9</v>
      </c>
      <c r="B15" t="s">
        <v>0</v>
      </c>
      <c r="C15" t="s">
        <v>106</v>
      </c>
      <c r="D15">
        <v>25.4</v>
      </c>
      <c r="G15">
        <v>25.398299999999999</v>
      </c>
      <c r="J15">
        <v>-1.6999999999999999E-3</v>
      </c>
      <c r="M15">
        <v>25.5</v>
      </c>
      <c r="N15">
        <v>25.3</v>
      </c>
      <c r="O15" t="s">
        <v>100</v>
      </c>
      <c r="P15">
        <v>5.0000000000000001E-3</v>
      </c>
      <c r="Q15">
        <v>0.05</v>
      </c>
      <c r="R15" t="s">
        <v>100</v>
      </c>
    </row>
    <row r="16" spans="1:18" x14ac:dyDescent="0.25">
      <c r="A16">
        <v>10</v>
      </c>
      <c r="B16" t="s">
        <v>1</v>
      </c>
      <c r="C16" t="s">
        <v>106</v>
      </c>
      <c r="D16">
        <v>25.4</v>
      </c>
      <c r="G16">
        <v>25.4023</v>
      </c>
      <c r="J16">
        <v>2.3E-3</v>
      </c>
      <c r="M16">
        <v>25.5</v>
      </c>
      <c r="N16">
        <v>25.3</v>
      </c>
      <c r="O16" t="s">
        <v>100</v>
      </c>
      <c r="P16">
        <v>6.4000000000000003E-3</v>
      </c>
      <c r="Q16">
        <v>0.05</v>
      </c>
      <c r="R16" t="s">
        <v>100</v>
      </c>
    </row>
    <row r="17" spans="1:18" x14ac:dyDescent="0.25">
      <c r="A17">
        <v>11</v>
      </c>
      <c r="B17" t="s">
        <v>2</v>
      </c>
      <c r="C17" t="s">
        <v>106</v>
      </c>
      <c r="D17">
        <v>25.4</v>
      </c>
      <c r="G17">
        <v>25.401800000000001</v>
      </c>
      <c r="J17">
        <v>1.8E-3</v>
      </c>
      <c r="M17">
        <v>25.5</v>
      </c>
      <c r="N17">
        <v>25.3</v>
      </c>
      <c r="O17" t="s">
        <v>100</v>
      </c>
      <c r="P17">
        <v>5.0000000000000001E-3</v>
      </c>
      <c r="Q17">
        <v>0.05</v>
      </c>
      <c r="R17" t="s">
        <v>100</v>
      </c>
    </row>
    <row r="18" spans="1:18" x14ac:dyDescent="0.25">
      <c r="A18">
        <v>12</v>
      </c>
      <c r="B18" t="s">
        <v>3</v>
      </c>
      <c r="C18" t="s">
        <v>106</v>
      </c>
      <c r="D18">
        <v>25.4</v>
      </c>
      <c r="G18">
        <v>25.4026</v>
      </c>
      <c r="J18">
        <v>2.5999999999999999E-3</v>
      </c>
      <c r="M18">
        <v>25.5</v>
      </c>
      <c r="N18">
        <v>25.3</v>
      </c>
      <c r="O18" t="s">
        <v>100</v>
      </c>
      <c r="P18">
        <v>8.5000000000000006E-3</v>
      </c>
      <c r="Q18">
        <v>0.05</v>
      </c>
      <c r="R18" t="s">
        <v>100</v>
      </c>
    </row>
    <row r="19" spans="1:18" x14ac:dyDescent="0.25">
      <c r="A19">
        <v>13</v>
      </c>
      <c r="B19" t="s">
        <v>4</v>
      </c>
      <c r="C19" t="s">
        <v>106</v>
      </c>
      <c r="D19">
        <v>25.4</v>
      </c>
      <c r="G19">
        <v>25.401800000000001</v>
      </c>
      <c r="J19">
        <v>1.8E-3</v>
      </c>
      <c r="M19">
        <v>25.5</v>
      </c>
      <c r="N19">
        <v>25.3</v>
      </c>
      <c r="O19" t="s">
        <v>100</v>
      </c>
      <c r="P19">
        <v>4.1999999999999997E-3</v>
      </c>
      <c r="Q19">
        <v>0.05</v>
      </c>
      <c r="R19" t="s">
        <v>100</v>
      </c>
    </row>
    <row r="20" spans="1:18" x14ac:dyDescent="0.25">
      <c r="A20">
        <v>14</v>
      </c>
      <c r="B20" t="s">
        <v>5</v>
      </c>
      <c r="C20" t="s">
        <v>107</v>
      </c>
      <c r="D20">
        <v>72.887</v>
      </c>
      <c r="G20">
        <v>72.877799999999993</v>
      </c>
      <c r="J20">
        <v>-9.1999999999999998E-3</v>
      </c>
      <c r="M20">
        <v>72.986999999999995</v>
      </c>
      <c r="N20">
        <v>72.787000000000006</v>
      </c>
      <c r="O20" t="s">
        <v>100</v>
      </c>
    </row>
    <row r="21" spans="1:18" x14ac:dyDescent="0.25">
      <c r="A21">
        <v>15</v>
      </c>
      <c r="B21" t="s">
        <v>6</v>
      </c>
      <c r="C21" t="s">
        <v>107</v>
      </c>
      <c r="D21">
        <v>73.745999999999995</v>
      </c>
      <c r="G21">
        <v>73.711500000000001</v>
      </c>
      <c r="J21">
        <v>-3.4500000000000003E-2</v>
      </c>
      <c r="M21">
        <v>73.846000000000004</v>
      </c>
      <c r="N21">
        <v>73.646000000000001</v>
      </c>
      <c r="O21" t="s">
        <v>100</v>
      </c>
    </row>
    <row r="22" spans="1:18" x14ac:dyDescent="0.25">
      <c r="A22">
        <v>16</v>
      </c>
      <c r="B22" t="s">
        <v>7</v>
      </c>
      <c r="C22" t="s">
        <v>107</v>
      </c>
      <c r="D22">
        <v>72.376999999999995</v>
      </c>
      <c r="G22">
        <v>72.338700000000003</v>
      </c>
      <c r="J22">
        <v>-3.8300000000000001E-2</v>
      </c>
      <c r="M22">
        <v>72.477000000000004</v>
      </c>
      <c r="N22">
        <v>72.277000000000001</v>
      </c>
      <c r="O22" t="s">
        <v>100</v>
      </c>
    </row>
    <row r="23" spans="1:18" x14ac:dyDescent="0.25">
      <c r="A23">
        <v>17</v>
      </c>
      <c r="B23" t="s">
        <v>8</v>
      </c>
      <c r="C23" t="s">
        <v>107</v>
      </c>
      <c r="D23">
        <v>72.031000000000006</v>
      </c>
      <c r="G23">
        <v>71.963800000000006</v>
      </c>
      <c r="J23">
        <v>-6.7199999999999996E-2</v>
      </c>
      <c r="M23">
        <v>72.131</v>
      </c>
      <c r="N23">
        <v>71.930999999999997</v>
      </c>
      <c r="O23" t="s">
        <v>100</v>
      </c>
    </row>
    <row r="24" spans="1:18" x14ac:dyDescent="0.25">
      <c r="A24">
        <v>18</v>
      </c>
      <c r="B24" t="s">
        <v>9</v>
      </c>
      <c r="C24" t="s">
        <v>107</v>
      </c>
      <c r="D24">
        <v>75.007000000000005</v>
      </c>
      <c r="G24">
        <v>74.991699999999994</v>
      </c>
      <c r="J24">
        <v>-1.5299999999999999E-2</v>
      </c>
      <c r="M24">
        <v>75.106999999999999</v>
      </c>
      <c r="N24">
        <v>74.906999999999996</v>
      </c>
      <c r="O24" t="s">
        <v>100</v>
      </c>
    </row>
    <row r="25" spans="1:18" x14ac:dyDescent="0.25">
      <c r="A25">
        <v>19</v>
      </c>
      <c r="B25" t="s">
        <v>10</v>
      </c>
      <c r="C25" t="s">
        <v>107</v>
      </c>
      <c r="D25">
        <v>74.007000000000005</v>
      </c>
      <c r="G25">
        <v>73.985600000000005</v>
      </c>
      <c r="J25">
        <v>-2.1399999999999999E-2</v>
      </c>
      <c r="M25">
        <v>74.106999999999999</v>
      </c>
      <c r="N25">
        <v>73.906999999999996</v>
      </c>
      <c r="O25" t="s">
        <v>100</v>
      </c>
    </row>
    <row r="26" spans="1:18" x14ac:dyDescent="0.25">
      <c r="A26">
        <v>20</v>
      </c>
      <c r="B26" t="s">
        <v>11</v>
      </c>
      <c r="C26" t="s">
        <v>107</v>
      </c>
      <c r="D26">
        <v>126</v>
      </c>
      <c r="G26">
        <v>125.92959999999999</v>
      </c>
      <c r="J26">
        <v>-7.0400000000000004E-2</v>
      </c>
      <c r="M26">
        <v>126.1</v>
      </c>
      <c r="N26">
        <v>125.9</v>
      </c>
      <c r="O26" t="s">
        <v>100</v>
      </c>
    </row>
    <row r="27" spans="1:18" x14ac:dyDescent="0.25">
      <c r="A27">
        <v>21</v>
      </c>
      <c r="B27" t="s">
        <v>12</v>
      </c>
      <c r="C27" t="s">
        <v>107</v>
      </c>
      <c r="D27">
        <v>124.004</v>
      </c>
      <c r="G27">
        <v>123.9212</v>
      </c>
      <c r="J27">
        <v>-8.2799999999999999E-2</v>
      </c>
      <c r="M27">
        <v>124.104</v>
      </c>
      <c r="N27">
        <v>123.904</v>
      </c>
      <c r="O27" t="s">
        <v>100</v>
      </c>
    </row>
    <row r="28" spans="1:18" x14ac:dyDescent="0.25">
      <c r="A28">
        <v>22</v>
      </c>
      <c r="B28" t="s">
        <v>13</v>
      </c>
      <c r="C28" t="s">
        <v>107</v>
      </c>
      <c r="D28">
        <v>145.262</v>
      </c>
      <c r="G28">
        <v>145.21360000000001</v>
      </c>
      <c r="J28">
        <v>-4.8399999999999999E-2</v>
      </c>
      <c r="M28">
        <v>145.36199999999999</v>
      </c>
      <c r="N28">
        <v>145.16200000000001</v>
      </c>
      <c r="O28" t="s">
        <v>100</v>
      </c>
    </row>
    <row r="29" spans="1:18" x14ac:dyDescent="0.25">
      <c r="A29">
        <v>23</v>
      </c>
      <c r="B29" t="s">
        <v>14</v>
      </c>
      <c r="C29" t="s">
        <v>107</v>
      </c>
      <c r="D29">
        <v>145.774</v>
      </c>
      <c r="G29">
        <v>145.67189999999999</v>
      </c>
      <c r="J29">
        <v>-0.1021</v>
      </c>
      <c r="M29">
        <v>145.874</v>
      </c>
      <c r="N29">
        <v>145.67400000000001</v>
      </c>
      <c r="O29" t="s">
        <v>102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0A8F4B-8430-4FB5-A295-FCFE294784CA}">
  <sheetPr codeName="Sheet22"/>
  <dimension ref="A1:R29"/>
  <sheetViews>
    <sheetView workbookViewId="0"/>
  </sheetViews>
  <sheetFormatPr defaultRowHeight="15" x14ac:dyDescent="0.25"/>
  <cols>
    <col min="1" max="1" width="26.5703125" bestFit="1" customWidth="1"/>
    <col min="2" max="2" width="14.140625" bestFit="1" customWidth="1"/>
    <col min="3" max="3" width="18.28515625" bestFit="1" customWidth="1"/>
    <col min="4" max="4" width="8" bestFit="1" customWidth="1"/>
    <col min="5" max="5" width="5.7109375" bestFit="1" customWidth="1"/>
    <col min="6" max="6" width="2" bestFit="1" customWidth="1"/>
    <col min="7" max="7" width="9" bestFit="1" customWidth="1"/>
    <col min="8" max="8" width="8.7109375" bestFit="1" customWidth="1"/>
    <col min="9" max="9" width="7" bestFit="1" customWidth="1"/>
    <col min="10" max="10" width="7.7109375" bestFit="1" customWidth="1"/>
    <col min="11" max="12" width="7" bestFit="1" customWidth="1"/>
    <col min="13" max="14" width="8" bestFit="1" customWidth="1"/>
    <col min="15" max="15" width="5.42578125" bestFit="1" customWidth="1"/>
    <col min="16" max="16" width="7" bestFit="1" customWidth="1"/>
    <col min="17" max="17" width="5" bestFit="1" customWidth="1"/>
    <col min="18" max="18" width="5.42578125" bestFit="1" customWidth="1"/>
  </cols>
  <sheetData>
    <row r="1" spans="1:18" x14ac:dyDescent="0.25">
      <c r="A1" t="s">
        <v>86</v>
      </c>
      <c r="B1" t="s">
        <v>128</v>
      </c>
    </row>
    <row r="2" spans="1:18" x14ac:dyDescent="0.25">
      <c r="A2" t="s">
        <v>88</v>
      </c>
      <c r="B2" t="s">
        <v>89</v>
      </c>
    </row>
    <row r="3" spans="1:18" x14ac:dyDescent="0.25">
      <c r="A3" t="s">
        <v>90</v>
      </c>
      <c r="B3" t="s">
        <v>131</v>
      </c>
    </row>
    <row r="4" spans="1:18" x14ac:dyDescent="0.25">
      <c r="A4" t="s">
        <v>92</v>
      </c>
      <c r="B4" t="s">
        <v>125</v>
      </c>
    </row>
    <row r="5" spans="1:18" x14ac:dyDescent="0.25">
      <c r="A5" t="s">
        <v>94</v>
      </c>
    </row>
    <row r="6" spans="1:18" x14ac:dyDescent="0.25">
      <c r="A6" t="s">
        <v>95</v>
      </c>
    </row>
    <row r="7" spans="1:18" x14ac:dyDescent="0.25">
      <c r="A7" t="s">
        <v>96</v>
      </c>
    </row>
    <row r="8" spans="1:18" x14ac:dyDescent="0.25">
      <c r="A8" t="s">
        <v>88</v>
      </c>
    </row>
    <row r="9" spans="1:18" x14ac:dyDescent="0.25">
      <c r="A9" t="s">
        <v>97</v>
      </c>
    </row>
    <row r="10" spans="1:18" x14ac:dyDescent="0.25">
      <c r="A10">
        <v>4</v>
      </c>
      <c r="B10" t="s">
        <v>98</v>
      </c>
      <c r="C10" t="s">
        <v>99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P10">
        <v>0</v>
      </c>
      <c r="Q10">
        <v>0.05</v>
      </c>
      <c r="R10" t="s">
        <v>100</v>
      </c>
    </row>
    <row r="11" spans="1:18" x14ac:dyDescent="0.25">
      <c r="A11">
        <v>5</v>
      </c>
      <c r="B11" t="s">
        <v>101</v>
      </c>
      <c r="C11" t="s">
        <v>99</v>
      </c>
      <c r="D11">
        <v>62.5</v>
      </c>
      <c r="E11">
        <v>37.5</v>
      </c>
      <c r="F11">
        <v>0</v>
      </c>
      <c r="G11">
        <v>62.479900000000001</v>
      </c>
      <c r="H11">
        <v>37.516399999999997</v>
      </c>
      <c r="I11">
        <v>8.7800000000000003E-2</v>
      </c>
      <c r="J11">
        <v>-2.01E-2</v>
      </c>
      <c r="K11">
        <v>1.6400000000000001E-2</v>
      </c>
      <c r="L11">
        <v>8.7800000000000003E-2</v>
      </c>
      <c r="P11">
        <v>0.1832</v>
      </c>
      <c r="Q11">
        <v>0.05</v>
      </c>
      <c r="R11" t="s">
        <v>102</v>
      </c>
    </row>
    <row r="12" spans="1:18" x14ac:dyDescent="0.25">
      <c r="A12">
        <v>6</v>
      </c>
      <c r="B12" t="s">
        <v>103</v>
      </c>
      <c r="C12" t="s">
        <v>99</v>
      </c>
      <c r="D12">
        <v>-63.5</v>
      </c>
      <c r="E12">
        <v>37.5</v>
      </c>
      <c r="F12">
        <v>0</v>
      </c>
      <c r="G12">
        <v>-63.4499</v>
      </c>
      <c r="H12">
        <v>37.516399999999997</v>
      </c>
      <c r="I12">
        <v>7.1400000000000005E-2</v>
      </c>
      <c r="J12">
        <v>5.0099999999999999E-2</v>
      </c>
      <c r="K12">
        <v>1.6400000000000001E-2</v>
      </c>
      <c r="L12">
        <v>7.1400000000000005E-2</v>
      </c>
      <c r="P12">
        <v>0.1774</v>
      </c>
      <c r="Q12">
        <v>0.05</v>
      </c>
      <c r="R12" t="s">
        <v>102</v>
      </c>
    </row>
    <row r="13" spans="1:18" x14ac:dyDescent="0.25">
      <c r="A13">
        <v>7</v>
      </c>
      <c r="B13" t="s">
        <v>104</v>
      </c>
      <c r="C13" t="s">
        <v>99</v>
      </c>
      <c r="D13">
        <v>-62.5</v>
      </c>
      <c r="E13">
        <v>-36.5</v>
      </c>
      <c r="F13">
        <v>0</v>
      </c>
      <c r="G13">
        <v>-62.4758</v>
      </c>
      <c r="H13">
        <v>-36.463999999999999</v>
      </c>
      <c r="I13">
        <v>8.8099999999999998E-2</v>
      </c>
      <c r="J13">
        <v>2.4199999999999999E-2</v>
      </c>
      <c r="K13">
        <v>3.5999999999999997E-2</v>
      </c>
      <c r="L13">
        <v>8.8099999999999998E-2</v>
      </c>
      <c r="P13">
        <v>0.19639999999999999</v>
      </c>
      <c r="Q13">
        <v>0.05</v>
      </c>
      <c r="R13" t="s">
        <v>102</v>
      </c>
    </row>
    <row r="14" spans="1:18" x14ac:dyDescent="0.25">
      <c r="A14">
        <v>8</v>
      </c>
      <c r="B14" t="s">
        <v>105</v>
      </c>
      <c r="C14" t="s">
        <v>99</v>
      </c>
      <c r="D14">
        <v>61.5</v>
      </c>
      <c r="E14">
        <v>-37.5</v>
      </c>
      <c r="F14">
        <v>0</v>
      </c>
      <c r="G14">
        <v>61.441099999999999</v>
      </c>
      <c r="H14">
        <v>-37.467300000000002</v>
      </c>
      <c r="I14">
        <v>7.1800000000000003E-2</v>
      </c>
      <c r="J14">
        <v>-5.8900000000000001E-2</v>
      </c>
      <c r="K14">
        <v>3.27E-2</v>
      </c>
      <c r="L14">
        <v>7.1800000000000003E-2</v>
      </c>
      <c r="P14">
        <v>0.19700000000000001</v>
      </c>
      <c r="Q14">
        <v>0.05</v>
      </c>
      <c r="R14" t="s">
        <v>102</v>
      </c>
    </row>
    <row r="15" spans="1:18" x14ac:dyDescent="0.25">
      <c r="A15">
        <v>9</v>
      </c>
      <c r="B15" t="s">
        <v>0</v>
      </c>
      <c r="C15" t="s">
        <v>106</v>
      </c>
      <c r="D15">
        <v>25.4</v>
      </c>
      <c r="G15">
        <v>25.3979</v>
      </c>
      <c r="J15">
        <v>-2.0999999999999999E-3</v>
      </c>
      <c r="M15">
        <v>25.5</v>
      </c>
      <c r="N15">
        <v>25.3</v>
      </c>
      <c r="O15" t="s">
        <v>100</v>
      </c>
      <c r="P15">
        <v>5.1999999999999998E-3</v>
      </c>
      <c r="Q15">
        <v>0.05</v>
      </c>
      <c r="R15" t="s">
        <v>100</v>
      </c>
    </row>
    <row r="16" spans="1:18" x14ac:dyDescent="0.25">
      <c r="A16">
        <v>10</v>
      </c>
      <c r="B16" t="s">
        <v>1</v>
      </c>
      <c r="C16" t="s">
        <v>106</v>
      </c>
      <c r="D16">
        <v>25.4</v>
      </c>
      <c r="G16">
        <v>25.401900000000001</v>
      </c>
      <c r="J16">
        <v>1.9E-3</v>
      </c>
      <c r="M16">
        <v>25.5</v>
      </c>
      <c r="N16">
        <v>25.3</v>
      </c>
      <c r="O16" t="s">
        <v>100</v>
      </c>
      <c r="P16">
        <v>7.6E-3</v>
      </c>
      <c r="Q16">
        <v>0.05</v>
      </c>
      <c r="R16" t="s">
        <v>100</v>
      </c>
    </row>
    <row r="17" spans="1:18" x14ac:dyDescent="0.25">
      <c r="A17">
        <v>11</v>
      </c>
      <c r="B17" t="s">
        <v>2</v>
      </c>
      <c r="C17" t="s">
        <v>106</v>
      </c>
      <c r="D17">
        <v>25.4</v>
      </c>
      <c r="G17">
        <v>25.401800000000001</v>
      </c>
      <c r="J17">
        <v>1.8E-3</v>
      </c>
      <c r="M17">
        <v>25.5</v>
      </c>
      <c r="N17">
        <v>25.3</v>
      </c>
      <c r="O17" t="s">
        <v>100</v>
      </c>
      <c r="P17">
        <v>6.0000000000000001E-3</v>
      </c>
      <c r="Q17">
        <v>0.05</v>
      </c>
      <c r="R17" t="s">
        <v>100</v>
      </c>
    </row>
    <row r="18" spans="1:18" x14ac:dyDescent="0.25">
      <c r="A18">
        <v>12</v>
      </c>
      <c r="B18" t="s">
        <v>3</v>
      </c>
      <c r="C18" t="s">
        <v>106</v>
      </c>
      <c r="D18">
        <v>25.4</v>
      </c>
      <c r="G18">
        <v>25.402999999999999</v>
      </c>
      <c r="J18">
        <v>3.0000000000000001E-3</v>
      </c>
      <c r="M18">
        <v>25.5</v>
      </c>
      <c r="N18">
        <v>25.3</v>
      </c>
      <c r="O18" t="s">
        <v>100</v>
      </c>
      <c r="P18">
        <v>8.8999999999999999E-3</v>
      </c>
      <c r="Q18">
        <v>0.05</v>
      </c>
      <c r="R18" t="s">
        <v>100</v>
      </c>
    </row>
    <row r="19" spans="1:18" x14ac:dyDescent="0.25">
      <c r="A19">
        <v>13</v>
      </c>
      <c r="B19" t="s">
        <v>4</v>
      </c>
      <c r="C19" t="s">
        <v>106</v>
      </c>
      <c r="D19">
        <v>25.4</v>
      </c>
      <c r="G19">
        <v>25.401900000000001</v>
      </c>
      <c r="J19">
        <v>1.9E-3</v>
      </c>
      <c r="M19">
        <v>25.5</v>
      </c>
      <c r="N19">
        <v>25.3</v>
      </c>
      <c r="O19" t="s">
        <v>100</v>
      </c>
      <c r="P19">
        <v>4.1000000000000003E-3</v>
      </c>
      <c r="Q19">
        <v>0.05</v>
      </c>
      <c r="R19" t="s">
        <v>100</v>
      </c>
    </row>
    <row r="20" spans="1:18" x14ac:dyDescent="0.25">
      <c r="A20">
        <v>14</v>
      </c>
      <c r="B20" t="s">
        <v>5</v>
      </c>
      <c r="C20" t="s">
        <v>107</v>
      </c>
      <c r="D20">
        <v>72.887</v>
      </c>
      <c r="G20">
        <v>72.878100000000003</v>
      </c>
      <c r="J20">
        <v>-8.8999999999999999E-3</v>
      </c>
      <c r="M20">
        <v>72.986999999999995</v>
      </c>
      <c r="N20">
        <v>72.787000000000006</v>
      </c>
      <c r="O20" t="s">
        <v>100</v>
      </c>
    </row>
    <row r="21" spans="1:18" x14ac:dyDescent="0.25">
      <c r="A21">
        <v>15</v>
      </c>
      <c r="B21" t="s">
        <v>6</v>
      </c>
      <c r="C21" t="s">
        <v>107</v>
      </c>
      <c r="D21">
        <v>73.745999999999995</v>
      </c>
      <c r="G21">
        <v>73.711500000000001</v>
      </c>
      <c r="J21">
        <v>-3.4500000000000003E-2</v>
      </c>
      <c r="M21">
        <v>73.846000000000004</v>
      </c>
      <c r="N21">
        <v>73.646000000000001</v>
      </c>
      <c r="O21" t="s">
        <v>100</v>
      </c>
    </row>
    <row r="22" spans="1:18" x14ac:dyDescent="0.25">
      <c r="A22">
        <v>16</v>
      </c>
      <c r="B22" t="s">
        <v>7</v>
      </c>
      <c r="C22" t="s">
        <v>107</v>
      </c>
      <c r="D22">
        <v>72.376999999999995</v>
      </c>
      <c r="G22">
        <v>72.338499999999996</v>
      </c>
      <c r="J22">
        <v>-3.85E-2</v>
      </c>
      <c r="M22">
        <v>72.477000000000004</v>
      </c>
      <c r="N22">
        <v>72.277000000000001</v>
      </c>
      <c r="O22" t="s">
        <v>100</v>
      </c>
    </row>
    <row r="23" spans="1:18" x14ac:dyDescent="0.25">
      <c r="A23">
        <v>17</v>
      </c>
      <c r="B23" t="s">
        <v>8</v>
      </c>
      <c r="C23" t="s">
        <v>107</v>
      </c>
      <c r="D23">
        <v>72.031000000000006</v>
      </c>
      <c r="G23">
        <v>71.963999999999999</v>
      </c>
      <c r="J23">
        <v>-6.7000000000000004E-2</v>
      </c>
      <c r="M23">
        <v>72.131</v>
      </c>
      <c r="N23">
        <v>71.930999999999997</v>
      </c>
      <c r="O23" t="s">
        <v>100</v>
      </c>
    </row>
    <row r="24" spans="1:18" x14ac:dyDescent="0.25">
      <c r="A24">
        <v>18</v>
      </c>
      <c r="B24" t="s">
        <v>9</v>
      </c>
      <c r="C24" t="s">
        <v>107</v>
      </c>
      <c r="D24">
        <v>75.007000000000005</v>
      </c>
      <c r="G24">
        <v>74.990899999999996</v>
      </c>
      <c r="J24">
        <v>-1.61E-2</v>
      </c>
      <c r="M24">
        <v>75.106999999999999</v>
      </c>
      <c r="N24">
        <v>74.906999999999996</v>
      </c>
      <c r="O24" t="s">
        <v>100</v>
      </c>
    </row>
    <row r="25" spans="1:18" x14ac:dyDescent="0.25">
      <c r="A25">
        <v>19</v>
      </c>
      <c r="B25" t="s">
        <v>10</v>
      </c>
      <c r="C25" t="s">
        <v>107</v>
      </c>
      <c r="D25">
        <v>74.007000000000005</v>
      </c>
      <c r="G25">
        <v>73.986800000000002</v>
      </c>
      <c r="J25">
        <v>-2.0199999999999999E-2</v>
      </c>
      <c r="M25">
        <v>74.106999999999999</v>
      </c>
      <c r="N25">
        <v>73.906999999999996</v>
      </c>
      <c r="O25" t="s">
        <v>100</v>
      </c>
    </row>
    <row r="26" spans="1:18" x14ac:dyDescent="0.25">
      <c r="A26">
        <v>20</v>
      </c>
      <c r="B26" t="s">
        <v>11</v>
      </c>
      <c r="C26" t="s">
        <v>107</v>
      </c>
      <c r="D26">
        <v>126</v>
      </c>
      <c r="G26">
        <v>125.9298</v>
      </c>
      <c r="J26">
        <v>-7.0199999999999999E-2</v>
      </c>
      <c r="M26">
        <v>126.1</v>
      </c>
      <c r="N26">
        <v>125.9</v>
      </c>
      <c r="O26" t="s">
        <v>100</v>
      </c>
    </row>
    <row r="27" spans="1:18" x14ac:dyDescent="0.25">
      <c r="A27">
        <v>21</v>
      </c>
      <c r="B27" t="s">
        <v>12</v>
      </c>
      <c r="C27" t="s">
        <v>107</v>
      </c>
      <c r="D27">
        <v>124.004</v>
      </c>
      <c r="G27">
        <v>123.92100000000001</v>
      </c>
      <c r="J27">
        <v>-8.3000000000000004E-2</v>
      </c>
      <c r="M27">
        <v>124.104</v>
      </c>
      <c r="N27">
        <v>123.904</v>
      </c>
      <c r="O27" t="s">
        <v>100</v>
      </c>
    </row>
    <row r="28" spans="1:18" x14ac:dyDescent="0.25">
      <c r="A28">
        <v>22</v>
      </c>
      <c r="B28" t="s">
        <v>13</v>
      </c>
      <c r="C28" t="s">
        <v>107</v>
      </c>
      <c r="D28">
        <v>145.262</v>
      </c>
      <c r="G28">
        <v>145.21369999999999</v>
      </c>
      <c r="J28">
        <v>-4.8300000000000003E-2</v>
      </c>
      <c r="M28">
        <v>145.36199999999999</v>
      </c>
      <c r="N28">
        <v>145.16200000000001</v>
      </c>
      <c r="O28" t="s">
        <v>100</v>
      </c>
    </row>
    <row r="29" spans="1:18" x14ac:dyDescent="0.25">
      <c r="A29">
        <v>23</v>
      </c>
      <c r="B29" t="s">
        <v>14</v>
      </c>
      <c r="C29" t="s">
        <v>107</v>
      </c>
      <c r="D29">
        <v>145.774</v>
      </c>
      <c r="G29">
        <v>145.672</v>
      </c>
      <c r="J29">
        <v>-0.10199999999999999</v>
      </c>
      <c r="M29">
        <v>145.874</v>
      </c>
      <c r="N29">
        <v>145.67400000000001</v>
      </c>
      <c r="O29" t="s">
        <v>102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C9924-009B-4D79-A185-3B5DE42CCBB1}">
  <sheetPr codeName="Sheet23"/>
  <dimension ref="A1:R29"/>
  <sheetViews>
    <sheetView workbookViewId="0"/>
  </sheetViews>
  <sheetFormatPr defaultRowHeight="15" x14ac:dyDescent="0.25"/>
  <cols>
    <col min="1" max="1" width="26.5703125" bestFit="1" customWidth="1"/>
    <col min="2" max="2" width="14.140625" bestFit="1" customWidth="1"/>
    <col min="3" max="3" width="18.28515625" bestFit="1" customWidth="1"/>
    <col min="4" max="4" width="8" bestFit="1" customWidth="1"/>
    <col min="5" max="5" width="5.7109375" bestFit="1" customWidth="1"/>
    <col min="6" max="6" width="2" bestFit="1" customWidth="1"/>
    <col min="7" max="7" width="9" bestFit="1" customWidth="1"/>
    <col min="8" max="8" width="8.7109375" bestFit="1" customWidth="1"/>
    <col min="9" max="9" width="7" bestFit="1" customWidth="1"/>
    <col min="10" max="10" width="7.7109375" bestFit="1" customWidth="1"/>
    <col min="11" max="12" width="7" bestFit="1" customWidth="1"/>
    <col min="13" max="14" width="8" bestFit="1" customWidth="1"/>
    <col min="15" max="15" width="5.42578125" bestFit="1" customWidth="1"/>
    <col min="16" max="16" width="7" bestFit="1" customWidth="1"/>
    <col min="17" max="17" width="5" bestFit="1" customWidth="1"/>
    <col min="18" max="18" width="5.42578125" bestFit="1" customWidth="1"/>
  </cols>
  <sheetData>
    <row r="1" spans="1:18" x14ac:dyDescent="0.25">
      <c r="A1" t="s">
        <v>86</v>
      </c>
      <c r="B1" t="s">
        <v>128</v>
      </c>
    </row>
    <row r="2" spans="1:18" x14ac:dyDescent="0.25">
      <c r="A2" t="s">
        <v>88</v>
      </c>
      <c r="B2" t="s">
        <v>89</v>
      </c>
    </row>
    <row r="3" spans="1:18" x14ac:dyDescent="0.25">
      <c r="A3" t="s">
        <v>90</v>
      </c>
      <c r="B3" t="s">
        <v>132</v>
      </c>
    </row>
    <row r="4" spans="1:18" x14ac:dyDescent="0.25">
      <c r="A4" t="s">
        <v>92</v>
      </c>
      <c r="B4" t="s">
        <v>109</v>
      </c>
    </row>
    <row r="5" spans="1:18" x14ac:dyDescent="0.25">
      <c r="A5" t="s">
        <v>94</v>
      </c>
    </row>
    <row r="6" spans="1:18" x14ac:dyDescent="0.25">
      <c r="A6" t="s">
        <v>95</v>
      </c>
    </row>
    <row r="7" spans="1:18" x14ac:dyDescent="0.25">
      <c r="A7" t="s">
        <v>96</v>
      </c>
    </row>
    <row r="8" spans="1:18" x14ac:dyDescent="0.25">
      <c r="A8" t="s">
        <v>88</v>
      </c>
    </row>
    <row r="9" spans="1:18" x14ac:dyDescent="0.25">
      <c r="A9" t="s">
        <v>97</v>
      </c>
    </row>
    <row r="10" spans="1:18" x14ac:dyDescent="0.25">
      <c r="A10">
        <v>4</v>
      </c>
      <c r="B10" t="s">
        <v>98</v>
      </c>
      <c r="C10" t="s">
        <v>99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P10">
        <v>0</v>
      </c>
      <c r="Q10">
        <v>0.05</v>
      </c>
      <c r="R10" t="s">
        <v>100</v>
      </c>
    </row>
    <row r="11" spans="1:18" x14ac:dyDescent="0.25">
      <c r="A11">
        <v>5</v>
      </c>
      <c r="B11" t="s">
        <v>101</v>
      </c>
      <c r="C11" t="s">
        <v>99</v>
      </c>
      <c r="D11">
        <v>62.5</v>
      </c>
      <c r="E11">
        <v>37.5</v>
      </c>
      <c r="F11">
        <v>0</v>
      </c>
      <c r="G11">
        <v>62.478999999999999</v>
      </c>
      <c r="H11">
        <v>37.516500000000001</v>
      </c>
      <c r="I11">
        <v>8.7900000000000006E-2</v>
      </c>
      <c r="J11">
        <v>-2.1000000000000001E-2</v>
      </c>
      <c r="K11">
        <v>1.6500000000000001E-2</v>
      </c>
      <c r="L11">
        <v>8.7900000000000006E-2</v>
      </c>
      <c r="P11">
        <v>0.18379999999999999</v>
      </c>
      <c r="Q11">
        <v>0.05</v>
      </c>
      <c r="R11" t="s">
        <v>102</v>
      </c>
    </row>
    <row r="12" spans="1:18" x14ac:dyDescent="0.25">
      <c r="A12">
        <v>6</v>
      </c>
      <c r="B12" t="s">
        <v>103</v>
      </c>
      <c r="C12" t="s">
        <v>99</v>
      </c>
      <c r="D12">
        <v>-63.5</v>
      </c>
      <c r="E12">
        <v>37.5</v>
      </c>
      <c r="F12">
        <v>0</v>
      </c>
      <c r="G12">
        <v>-63.450400000000002</v>
      </c>
      <c r="H12">
        <v>37.516500000000001</v>
      </c>
      <c r="I12">
        <v>7.0699999999999999E-2</v>
      </c>
      <c r="J12">
        <v>4.9599999999999998E-2</v>
      </c>
      <c r="K12">
        <v>1.6500000000000001E-2</v>
      </c>
      <c r="L12">
        <v>7.0699999999999999E-2</v>
      </c>
      <c r="P12">
        <v>0.1759</v>
      </c>
      <c r="Q12">
        <v>0.05</v>
      </c>
      <c r="R12" t="s">
        <v>102</v>
      </c>
    </row>
    <row r="13" spans="1:18" x14ac:dyDescent="0.25">
      <c r="A13">
        <v>7</v>
      </c>
      <c r="B13" t="s">
        <v>104</v>
      </c>
      <c r="C13" t="s">
        <v>99</v>
      </c>
      <c r="D13">
        <v>-62.5</v>
      </c>
      <c r="E13">
        <v>-36.5</v>
      </c>
      <c r="F13">
        <v>0</v>
      </c>
      <c r="G13">
        <v>-62.476500000000001</v>
      </c>
      <c r="H13">
        <v>-36.4636</v>
      </c>
      <c r="I13">
        <v>8.8200000000000001E-2</v>
      </c>
      <c r="J13">
        <v>2.35E-2</v>
      </c>
      <c r="K13">
        <v>3.6400000000000002E-2</v>
      </c>
      <c r="L13">
        <v>8.8200000000000001E-2</v>
      </c>
      <c r="P13">
        <v>0.19650000000000001</v>
      </c>
      <c r="Q13">
        <v>0.05</v>
      </c>
      <c r="R13" t="s">
        <v>102</v>
      </c>
    </row>
    <row r="14" spans="1:18" x14ac:dyDescent="0.25">
      <c r="A14">
        <v>8</v>
      </c>
      <c r="B14" t="s">
        <v>105</v>
      </c>
      <c r="C14" t="s">
        <v>99</v>
      </c>
      <c r="D14">
        <v>61.5</v>
      </c>
      <c r="E14">
        <v>-37.5</v>
      </c>
      <c r="F14">
        <v>0</v>
      </c>
      <c r="G14">
        <v>61.4405</v>
      </c>
      <c r="H14">
        <v>-37.467300000000002</v>
      </c>
      <c r="I14">
        <v>7.1199999999999999E-2</v>
      </c>
      <c r="J14">
        <v>-5.9499999999999997E-2</v>
      </c>
      <c r="K14">
        <v>3.27E-2</v>
      </c>
      <c r="L14">
        <v>7.1199999999999999E-2</v>
      </c>
      <c r="P14">
        <v>0.1968</v>
      </c>
      <c r="Q14">
        <v>0.05</v>
      </c>
      <c r="R14" t="s">
        <v>102</v>
      </c>
    </row>
    <row r="15" spans="1:18" x14ac:dyDescent="0.25">
      <c r="A15">
        <v>9</v>
      </c>
      <c r="B15" t="s">
        <v>0</v>
      </c>
      <c r="C15" t="s">
        <v>106</v>
      </c>
      <c r="D15">
        <v>25.4</v>
      </c>
      <c r="G15">
        <v>25.398</v>
      </c>
      <c r="J15">
        <v>-2E-3</v>
      </c>
      <c r="M15">
        <v>25.5</v>
      </c>
      <c r="N15">
        <v>25.3</v>
      </c>
      <c r="O15" t="s">
        <v>100</v>
      </c>
      <c r="P15">
        <v>5.5999999999999999E-3</v>
      </c>
      <c r="Q15">
        <v>0.05</v>
      </c>
      <c r="R15" t="s">
        <v>100</v>
      </c>
    </row>
    <row r="16" spans="1:18" x14ac:dyDescent="0.25">
      <c r="A16">
        <v>10</v>
      </c>
      <c r="B16" t="s">
        <v>1</v>
      </c>
      <c r="C16" t="s">
        <v>106</v>
      </c>
      <c r="D16">
        <v>25.4</v>
      </c>
      <c r="G16">
        <v>25.4023</v>
      </c>
      <c r="J16">
        <v>2.3E-3</v>
      </c>
      <c r="M16">
        <v>25.5</v>
      </c>
      <c r="N16">
        <v>25.3</v>
      </c>
      <c r="O16" t="s">
        <v>100</v>
      </c>
      <c r="P16">
        <v>8.0999999999999996E-3</v>
      </c>
      <c r="Q16">
        <v>0.05</v>
      </c>
      <c r="R16" t="s">
        <v>100</v>
      </c>
    </row>
    <row r="17" spans="1:18" x14ac:dyDescent="0.25">
      <c r="A17">
        <v>11</v>
      </c>
      <c r="B17" t="s">
        <v>2</v>
      </c>
      <c r="C17" t="s">
        <v>106</v>
      </c>
      <c r="D17">
        <v>25.4</v>
      </c>
      <c r="G17">
        <v>25.4025</v>
      </c>
      <c r="J17">
        <v>2.5000000000000001E-3</v>
      </c>
      <c r="M17">
        <v>25.5</v>
      </c>
      <c r="N17">
        <v>25.3</v>
      </c>
      <c r="O17" t="s">
        <v>100</v>
      </c>
      <c r="P17">
        <v>4.8999999999999998E-3</v>
      </c>
      <c r="Q17">
        <v>0.05</v>
      </c>
      <c r="R17" t="s">
        <v>100</v>
      </c>
    </row>
    <row r="18" spans="1:18" x14ac:dyDescent="0.25">
      <c r="A18">
        <v>12</v>
      </c>
      <c r="B18" t="s">
        <v>3</v>
      </c>
      <c r="C18" t="s">
        <v>106</v>
      </c>
      <c r="D18">
        <v>25.4</v>
      </c>
      <c r="G18">
        <v>25.403099999999998</v>
      </c>
      <c r="J18">
        <v>3.0999999999999999E-3</v>
      </c>
      <c r="M18">
        <v>25.5</v>
      </c>
      <c r="N18">
        <v>25.3</v>
      </c>
      <c r="O18" t="s">
        <v>100</v>
      </c>
      <c r="P18">
        <v>9.4000000000000004E-3</v>
      </c>
      <c r="Q18">
        <v>0.05</v>
      </c>
      <c r="R18" t="s">
        <v>100</v>
      </c>
    </row>
    <row r="19" spans="1:18" x14ac:dyDescent="0.25">
      <c r="A19">
        <v>13</v>
      </c>
      <c r="B19" t="s">
        <v>4</v>
      </c>
      <c r="C19" t="s">
        <v>106</v>
      </c>
      <c r="D19">
        <v>25.4</v>
      </c>
      <c r="G19">
        <v>25.4011</v>
      </c>
      <c r="J19">
        <v>1.1000000000000001E-3</v>
      </c>
      <c r="M19">
        <v>25.5</v>
      </c>
      <c r="N19">
        <v>25.3</v>
      </c>
      <c r="O19" t="s">
        <v>100</v>
      </c>
      <c r="P19">
        <v>3.0999999999999999E-3</v>
      </c>
      <c r="Q19">
        <v>0.05</v>
      </c>
      <c r="R19" t="s">
        <v>100</v>
      </c>
    </row>
    <row r="20" spans="1:18" x14ac:dyDescent="0.25">
      <c r="A20">
        <v>14</v>
      </c>
      <c r="B20" t="s">
        <v>5</v>
      </c>
      <c r="C20" t="s">
        <v>107</v>
      </c>
      <c r="D20">
        <v>72.887</v>
      </c>
      <c r="G20">
        <v>72.877399999999994</v>
      </c>
      <c r="J20">
        <v>-9.5999999999999992E-3</v>
      </c>
      <c r="M20">
        <v>72.986999999999995</v>
      </c>
      <c r="N20">
        <v>72.787000000000006</v>
      </c>
      <c r="O20" t="s">
        <v>100</v>
      </c>
    </row>
    <row r="21" spans="1:18" x14ac:dyDescent="0.25">
      <c r="A21">
        <v>15</v>
      </c>
      <c r="B21" t="s">
        <v>6</v>
      </c>
      <c r="C21" t="s">
        <v>107</v>
      </c>
      <c r="D21">
        <v>73.745999999999995</v>
      </c>
      <c r="G21">
        <v>73.712000000000003</v>
      </c>
      <c r="J21">
        <v>-3.4000000000000002E-2</v>
      </c>
      <c r="M21">
        <v>73.846000000000004</v>
      </c>
      <c r="N21">
        <v>73.646000000000001</v>
      </c>
      <c r="O21" t="s">
        <v>100</v>
      </c>
    </row>
    <row r="22" spans="1:18" x14ac:dyDescent="0.25">
      <c r="A22">
        <v>16</v>
      </c>
      <c r="B22" t="s">
        <v>7</v>
      </c>
      <c r="C22" t="s">
        <v>107</v>
      </c>
      <c r="D22">
        <v>72.376999999999995</v>
      </c>
      <c r="G22">
        <v>72.338899999999995</v>
      </c>
      <c r="J22">
        <v>-3.8100000000000002E-2</v>
      </c>
      <c r="M22">
        <v>72.477000000000004</v>
      </c>
      <c r="N22">
        <v>72.277000000000001</v>
      </c>
      <c r="O22" t="s">
        <v>100</v>
      </c>
    </row>
    <row r="23" spans="1:18" x14ac:dyDescent="0.25">
      <c r="A23">
        <v>17</v>
      </c>
      <c r="B23" t="s">
        <v>8</v>
      </c>
      <c r="C23" t="s">
        <v>107</v>
      </c>
      <c r="D23">
        <v>72.031000000000006</v>
      </c>
      <c r="G23">
        <v>71.963499999999996</v>
      </c>
      <c r="J23">
        <v>-6.7500000000000004E-2</v>
      </c>
      <c r="M23">
        <v>72.131</v>
      </c>
      <c r="N23">
        <v>71.930999999999997</v>
      </c>
      <c r="O23" t="s">
        <v>100</v>
      </c>
    </row>
    <row r="24" spans="1:18" x14ac:dyDescent="0.25">
      <c r="A24">
        <v>18</v>
      </c>
      <c r="B24" t="s">
        <v>9</v>
      </c>
      <c r="C24" t="s">
        <v>107</v>
      </c>
      <c r="D24">
        <v>75.007000000000005</v>
      </c>
      <c r="G24">
        <v>74.991</v>
      </c>
      <c r="J24">
        <v>-1.6E-2</v>
      </c>
      <c r="M24">
        <v>75.106999999999999</v>
      </c>
      <c r="N24">
        <v>74.906999999999996</v>
      </c>
      <c r="O24" t="s">
        <v>100</v>
      </c>
    </row>
    <row r="25" spans="1:18" x14ac:dyDescent="0.25">
      <c r="A25">
        <v>19</v>
      </c>
      <c r="B25" t="s">
        <v>10</v>
      </c>
      <c r="C25" t="s">
        <v>107</v>
      </c>
      <c r="D25">
        <v>74.007000000000005</v>
      </c>
      <c r="G25">
        <v>73.986500000000007</v>
      </c>
      <c r="J25">
        <v>-2.0500000000000001E-2</v>
      </c>
      <c r="M25">
        <v>74.106999999999999</v>
      </c>
      <c r="N25">
        <v>73.906999999999996</v>
      </c>
      <c r="O25" t="s">
        <v>100</v>
      </c>
    </row>
    <row r="26" spans="1:18" x14ac:dyDescent="0.25">
      <c r="A26">
        <v>20</v>
      </c>
      <c r="B26" t="s">
        <v>11</v>
      </c>
      <c r="C26" t="s">
        <v>107</v>
      </c>
      <c r="D26">
        <v>126</v>
      </c>
      <c r="G26">
        <v>125.9295</v>
      </c>
      <c r="J26">
        <v>-7.0499999999999993E-2</v>
      </c>
      <c r="M26">
        <v>126.1</v>
      </c>
      <c r="N26">
        <v>125.9</v>
      </c>
      <c r="O26" t="s">
        <v>100</v>
      </c>
    </row>
    <row r="27" spans="1:18" x14ac:dyDescent="0.25">
      <c r="A27">
        <v>21</v>
      </c>
      <c r="B27" t="s">
        <v>12</v>
      </c>
      <c r="C27" t="s">
        <v>107</v>
      </c>
      <c r="D27">
        <v>124.004</v>
      </c>
      <c r="G27">
        <v>123.92100000000001</v>
      </c>
      <c r="J27">
        <v>-8.3000000000000004E-2</v>
      </c>
      <c r="M27">
        <v>124.104</v>
      </c>
      <c r="N27">
        <v>123.904</v>
      </c>
      <c r="O27" t="s">
        <v>100</v>
      </c>
    </row>
    <row r="28" spans="1:18" x14ac:dyDescent="0.25">
      <c r="A28">
        <v>22</v>
      </c>
      <c r="B28" t="s">
        <v>13</v>
      </c>
      <c r="C28" t="s">
        <v>107</v>
      </c>
      <c r="D28">
        <v>145.262</v>
      </c>
      <c r="G28">
        <v>145.21340000000001</v>
      </c>
      <c r="J28">
        <v>-4.8599999999999997E-2</v>
      </c>
      <c r="M28">
        <v>145.36199999999999</v>
      </c>
      <c r="N28">
        <v>145.16200000000001</v>
      </c>
      <c r="O28" t="s">
        <v>100</v>
      </c>
    </row>
    <row r="29" spans="1:18" x14ac:dyDescent="0.25">
      <c r="A29">
        <v>23</v>
      </c>
      <c r="B29" t="s">
        <v>14</v>
      </c>
      <c r="C29" t="s">
        <v>107</v>
      </c>
      <c r="D29">
        <v>145.774</v>
      </c>
      <c r="G29">
        <v>145.672</v>
      </c>
      <c r="J29">
        <v>-0.10199999999999999</v>
      </c>
      <c r="M29">
        <v>145.874</v>
      </c>
      <c r="N29">
        <v>145.67400000000001</v>
      </c>
      <c r="O29" t="s">
        <v>102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7BB5FD-CB38-4529-A04A-AEAA548A36B3}">
  <sheetPr codeName="Sheet24"/>
  <dimension ref="A1:R29"/>
  <sheetViews>
    <sheetView workbookViewId="0"/>
  </sheetViews>
  <sheetFormatPr defaultRowHeight="15" x14ac:dyDescent="0.25"/>
  <cols>
    <col min="1" max="1" width="26.5703125" bestFit="1" customWidth="1"/>
    <col min="2" max="2" width="14.140625" bestFit="1" customWidth="1"/>
    <col min="3" max="3" width="18.28515625" bestFit="1" customWidth="1"/>
    <col min="4" max="4" width="8" bestFit="1" customWidth="1"/>
    <col min="5" max="5" width="5.7109375" bestFit="1" customWidth="1"/>
    <col min="6" max="6" width="2" bestFit="1" customWidth="1"/>
    <col min="7" max="7" width="9" bestFit="1" customWidth="1"/>
    <col min="8" max="8" width="8.7109375" bestFit="1" customWidth="1"/>
    <col min="9" max="9" width="7" bestFit="1" customWidth="1"/>
    <col min="10" max="10" width="7.7109375" bestFit="1" customWidth="1"/>
    <col min="11" max="12" width="7" bestFit="1" customWidth="1"/>
    <col min="13" max="14" width="8" bestFit="1" customWidth="1"/>
    <col min="15" max="15" width="5.42578125" bestFit="1" customWidth="1"/>
    <col min="16" max="16" width="7" bestFit="1" customWidth="1"/>
    <col min="17" max="17" width="5" bestFit="1" customWidth="1"/>
    <col min="18" max="18" width="5.42578125" bestFit="1" customWidth="1"/>
  </cols>
  <sheetData>
    <row r="1" spans="1:18" x14ac:dyDescent="0.25">
      <c r="A1" t="s">
        <v>86</v>
      </c>
      <c r="B1" t="s">
        <v>128</v>
      </c>
    </row>
    <row r="2" spans="1:18" x14ac:dyDescent="0.25">
      <c r="A2" t="s">
        <v>88</v>
      </c>
      <c r="B2" t="s">
        <v>89</v>
      </c>
    </row>
    <row r="3" spans="1:18" x14ac:dyDescent="0.25">
      <c r="A3" t="s">
        <v>90</v>
      </c>
      <c r="B3" t="s">
        <v>133</v>
      </c>
    </row>
    <row r="4" spans="1:18" x14ac:dyDescent="0.25">
      <c r="A4" t="s">
        <v>92</v>
      </c>
      <c r="B4" t="s">
        <v>125</v>
      </c>
    </row>
    <row r="5" spans="1:18" x14ac:dyDescent="0.25">
      <c r="A5" t="s">
        <v>94</v>
      </c>
    </row>
    <row r="6" spans="1:18" x14ac:dyDescent="0.25">
      <c r="A6" t="s">
        <v>95</v>
      </c>
    </row>
    <row r="7" spans="1:18" x14ac:dyDescent="0.25">
      <c r="A7" t="s">
        <v>96</v>
      </c>
    </row>
    <row r="8" spans="1:18" x14ac:dyDescent="0.25">
      <c r="A8" t="s">
        <v>88</v>
      </c>
    </row>
    <row r="9" spans="1:18" x14ac:dyDescent="0.25">
      <c r="A9" t="s">
        <v>97</v>
      </c>
    </row>
    <row r="10" spans="1:18" x14ac:dyDescent="0.25">
      <c r="A10">
        <v>4</v>
      </c>
      <c r="B10" t="s">
        <v>98</v>
      </c>
      <c r="C10" t="s">
        <v>99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P10">
        <v>0</v>
      </c>
      <c r="Q10">
        <v>0.05</v>
      </c>
      <c r="R10" t="s">
        <v>100</v>
      </c>
    </row>
    <row r="11" spans="1:18" x14ac:dyDescent="0.25">
      <c r="A11">
        <v>5</v>
      </c>
      <c r="B11" t="s">
        <v>101</v>
      </c>
      <c r="C11" t="s">
        <v>99</v>
      </c>
      <c r="D11">
        <v>62.5</v>
      </c>
      <c r="E11">
        <v>37.5</v>
      </c>
      <c r="F11">
        <v>0</v>
      </c>
      <c r="G11">
        <v>62.479500000000002</v>
      </c>
      <c r="H11">
        <v>37.517099999999999</v>
      </c>
      <c r="I11">
        <v>8.8200000000000001E-2</v>
      </c>
      <c r="J11">
        <v>-2.0500000000000001E-2</v>
      </c>
      <c r="K11">
        <v>1.7100000000000001E-2</v>
      </c>
      <c r="L11">
        <v>8.8200000000000001E-2</v>
      </c>
      <c r="P11">
        <v>0.1842</v>
      </c>
      <c r="Q11">
        <v>0.05</v>
      </c>
      <c r="R11" t="s">
        <v>102</v>
      </c>
    </row>
    <row r="12" spans="1:18" x14ac:dyDescent="0.25">
      <c r="A12">
        <v>6</v>
      </c>
      <c r="B12" t="s">
        <v>103</v>
      </c>
      <c r="C12" t="s">
        <v>99</v>
      </c>
      <c r="D12">
        <v>-63.5</v>
      </c>
      <c r="E12">
        <v>37.5</v>
      </c>
      <c r="F12">
        <v>0</v>
      </c>
      <c r="G12">
        <v>-63.449599999999997</v>
      </c>
      <c r="H12">
        <v>37.517099999999999</v>
      </c>
      <c r="I12">
        <v>7.1199999999999999E-2</v>
      </c>
      <c r="J12">
        <v>5.04E-2</v>
      </c>
      <c r="K12">
        <v>1.7100000000000001E-2</v>
      </c>
      <c r="L12">
        <v>7.1199999999999999E-2</v>
      </c>
      <c r="P12">
        <v>0.1777</v>
      </c>
      <c r="Q12">
        <v>0.05</v>
      </c>
      <c r="R12" t="s">
        <v>102</v>
      </c>
    </row>
    <row r="13" spans="1:18" x14ac:dyDescent="0.25">
      <c r="A13">
        <v>7</v>
      </c>
      <c r="B13" t="s">
        <v>104</v>
      </c>
      <c r="C13" t="s">
        <v>99</v>
      </c>
      <c r="D13">
        <v>-62.5</v>
      </c>
      <c r="E13">
        <v>-36.5</v>
      </c>
      <c r="F13">
        <v>0</v>
      </c>
      <c r="G13">
        <v>-62.476300000000002</v>
      </c>
      <c r="H13">
        <v>-36.462800000000001</v>
      </c>
      <c r="I13">
        <v>8.8400000000000006E-2</v>
      </c>
      <c r="J13">
        <v>2.3699999999999999E-2</v>
      </c>
      <c r="K13">
        <v>3.7199999999999997E-2</v>
      </c>
      <c r="L13">
        <v>8.8400000000000006E-2</v>
      </c>
      <c r="P13">
        <v>0.1976</v>
      </c>
      <c r="Q13">
        <v>0.05</v>
      </c>
      <c r="R13" t="s">
        <v>102</v>
      </c>
    </row>
    <row r="14" spans="1:18" x14ac:dyDescent="0.25">
      <c r="A14">
        <v>8</v>
      </c>
      <c r="B14" t="s">
        <v>105</v>
      </c>
      <c r="C14" t="s">
        <v>99</v>
      </c>
      <c r="D14">
        <v>61.5</v>
      </c>
      <c r="E14">
        <v>-37.5</v>
      </c>
      <c r="F14">
        <v>0</v>
      </c>
      <c r="G14">
        <v>61.440800000000003</v>
      </c>
      <c r="H14">
        <v>-37.466700000000003</v>
      </c>
      <c r="I14">
        <v>7.17E-2</v>
      </c>
      <c r="J14">
        <v>-5.9200000000000003E-2</v>
      </c>
      <c r="K14">
        <v>3.3300000000000003E-2</v>
      </c>
      <c r="L14">
        <v>7.17E-2</v>
      </c>
      <c r="P14">
        <v>0.19739999999999999</v>
      </c>
      <c r="Q14">
        <v>0.05</v>
      </c>
      <c r="R14" t="s">
        <v>102</v>
      </c>
    </row>
    <row r="15" spans="1:18" x14ac:dyDescent="0.25">
      <c r="A15">
        <v>9</v>
      </c>
      <c r="B15" t="s">
        <v>0</v>
      </c>
      <c r="C15" t="s">
        <v>106</v>
      </c>
      <c r="D15">
        <v>25.4</v>
      </c>
      <c r="G15">
        <v>25.398499999999999</v>
      </c>
      <c r="J15">
        <v>-1.5E-3</v>
      </c>
      <c r="M15">
        <v>25.5</v>
      </c>
      <c r="N15">
        <v>25.3</v>
      </c>
      <c r="O15" t="s">
        <v>100</v>
      </c>
      <c r="P15">
        <v>5.0000000000000001E-3</v>
      </c>
      <c r="Q15">
        <v>0.05</v>
      </c>
      <c r="R15" t="s">
        <v>100</v>
      </c>
    </row>
    <row r="16" spans="1:18" x14ac:dyDescent="0.25">
      <c r="A16">
        <v>10</v>
      </c>
      <c r="B16" t="s">
        <v>1</v>
      </c>
      <c r="C16" t="s">
        <v>106</v>
      </c>
      <c r="D16">
        <v>25.4</v>
      </c>
      <c r="G16">
        <v>25.401900000000001</v>
      </c>
      <c r="J16">
        <v>1.9E-3</v>
      </c>
      <c r="M16">
        <v>25.5</v>
      </c>
      <c r="N16">
        <v>25.3</v>
      </c>
      <c r="O16" t="s">
        <v>100</v>
      </c>
      <c r="P16">
        <v>7.7999999999999996E-3</v>
      </c>
      <c r="Q16">
        <v>0.05</v>
      </c>
      <c r="R16" t="s">
        <v>100</v>
      </c>
    </row>
    <row r="17" spans="1:18" x14ac:dyDescent="0.25">
      <c r="A17">
        <v>11</v>
      </c>
      <c r="B17" t="s">
        <v>2</v>
      </c>
      <c r="C17" t="s">
        <v>106</v>
      </c>
      <c r="D17">
        <v>25.4</v>
      </c>
      <c r="G17">
        <v>25.4023</v>
      </c>
      <c r="J17">
        <v>2.3E-3</v>
      </c>
      <c r="M17">
        <v>25.5</v>
      </c>
      <c r="N17">
        <v>25.3</v>
      </c>
      <c r="O17" t="s">
        <v>100</v>
      </c>
      <c r="P17">
        <v>5.0000000000000001E-3</v>
      </c>
      <c r="Q17">
        <v>0.05</v>
      </c>
      <c r="R17" t="s">
        <v>100</v>
      </c>
    </row>
    <row r="18" spans="1:18" x14ac:dyDescent="0.25">
      <c r="A18">
        <v>12</v>
      </c>
      <c r="B18" t="s">
        <v>3</v>
      </c>
      <c r="C18" t="s">
        <v>106</v>
      </c>
      <c r="D18">
        <v>25.4</v>
      </c>
      <c r="G18">
        <v>25.403400000000001</v>
      </c>
      <c r="J18">
        <v>3.3999999999999998E-3</v>
      </c>
      <c r="M18">
        <v>25.5</v>
      </c>
      <c r="N18">
        <v>25.3</v>
      </c>
      <c r="O18" t="s">
        <v>100</v>
      </c>
      <c r="P18">
        <v>9.7000000000000003E-3</v>
      </c>
      <c r="Q18">
        <v>0.05</v>
      </c>
      <c r="R18" t="s">
        <v>100</v>
      </c>
    </row>
    <row r="19" spans="1:18" x14ac:dyDescent="0.25">
      <c r="A19">
        <v>13</v>
      </c>
      <c r="B19" t="s">
        <v>4</v>
      </c>
      <c r="C19" t="s">
        <v>106</v>
      </c>
      <c r="D19">
        <v>25.4</v>
      </c>
      <c r="G19">
        <v>25.401499999999999</v>
      </c>
      <c r="J19">
        <v>1.5E-3</v>
      </c>
      <c r="M19">
        <v>25.5</v>
      </c>
      <c r="N19">
        <v>25.3</v>
      </c>
      <c r="O19" t="s">
        <v>100</v>
      </c>
      <c r="P19">
        <v>5.4000000000000003E-3</v>
      </c>
      <c r="Q19">
        <v>0.05</v>
      </c>
      <c r="R19" t="s">
        <v>100</v>
      </c>
    </row>
    <row r="20" spans="1:18" x14ac:dyDescent="0.25">
      <c r="A20">
        <v>14</v>
      </c>
      <c r="B20" t="s">
        <v>5</v>
      </c>
      <c r="C20" t="s">
        <v>107</v>
      </c>
      <c r="D20">
        <v>72.887</v>
      </c>
      <c r="G20">
        <v>72.878200000000007</v>
      </c>
      <c r="J20">
        <v>-8.8000000000000005E-3</v>
      </c>
      <c r="M20">
        <v>72.986999999999995</v>
      </c>
      <c r="N20">
        <v>72.787000000000006</v>
      </c>
      <c r="O20" t="s">
        <v>100</v>
      </c>
    </row>
    <row r="21" spans="1:18" x14ac:dyDescent="0.25">
      <c r="A21">
        <v>15</v>
      </c>
      <c r="B21" t="s">
        <v>6</v>
      </c>
      <c r="C21" t="s">
        <v>107</v>
      </c>
      <c r="D21">
        <v>73.745999999999995</v>
      </c>
      <c r="G21">
        <v>73.711600000000004</v>
      </c>
      <c r="J21">
        <v>-3.44E-2</v>
      </c>
      <c r="M21">
        <v>73.846000000000004</v>
      </c>
      <c r="N21">
        <v>73.646000000000001</v>
      </c>
      <c r="O21" t="s">
        <v>100</v>
      </c>
    </row>
    <row r="22" spans="1:18" x14ac:dyDescent="0.25">
      <c r="A22">
        <v>16</v>
      </c>
      <c r="B22" t="s">
        <v>7</v>
      </c>
      <c r="C22" t="s">
        <v>107</v>
      </c>
      <c r="D22">
        <v>72.376999999999995</v>
      </c>
      <c r="G22">
        <v>72.338300000000004</v>
      </c>
      <c r="J22">
        <v>-3.8699999999999998E-2</v>
      </c>
      <c r="M22">
        <v>72.477000000000004</v>
      </c>
      <c r="N22">
        <v>72.277000000000001</v>
      </c>
      <c r="O22" t="s">
        <v>100</v>
      </c>
    </row>
    <row r="23" spans="1:18" x14ac:dyDescent="0.25">
      <c r="A23">
        <v>17</v>
      </c>
      <c r="B23" t="s">
        <v>8</v>
      </c>
      <c r="C23" t="s">
        <v>107</v>
      </c>
      <c r="D23">
        <v>72.031000000000006</v>
      </c>
      <c r="G23">
        <v>71.963399999999993</v>
      </c>
      <c r="J23">
        <v>-6.7599999999999993E-2</v>
      </c>
      <c r="M23">
        <v>72.131</v>
      </c>
      <c r="N23">
        <v>71.930999999999997</v>
      </c>
      <c r="O23" t="s">
        <v>100</v>
      </c>
    </row>
    <row r="24" spans="1:18" x14ac:dyDescent="0.25">
      <c r="A24">
        <v>18</v>
      </c>
      <c r="B24" t="s">
        <v>9</v>
      </c>
      <c r="C24" t="s">
        <v>107</v>
      </c>
      <c r="D24">
        <v>75.007000000000005</v>
      </c>
      <c r="G24">
        <v>74.991</v>
      </c>
      <c r="J24">
        <v>-1.6E-2</v>
      </c>
      <c r="M24">
        <v>75.106999999999999</v>
      </c>
      <c r="N24">
        <v>74.906999999999996</v>
      </c>
      <c r="O24" t="s">
        <v>100</v>
      </c>
    </row>
    <row r="25" spans="1:18" x14ac:dyDescent="0.25">
      <c r="A25">
        <v>19</v>
      </c>
      <c r="B25" t="s">
        <v>10</v>
      </c>
      <c r="C25" t="s">
        <v>107</v>
      </c>
      <c r="D25">
        <v>74.007000000000005</v>
      </c>
      <c r="G25">
        <v>73.9863</v>
      </c>
      <c r="J25">
        <v>-2.07E-2</v>
      </c>
      <c r="M25">
        <v>74.106999999999999</v>
      </c>
      <c r="N25">
        <v>73.906999999999996</v>
      </c>
      <c r="O25" t="s">
        <v>100</v>
      </c>
    </row>
    <row r="26" spans="1:18" x14ac:dyDescent="0.25">
      <c r="A26">
        <v>20</v>
      </c>
      <c r="B26" t="s">
        <v>11</v>
      </c>
      <c r="C26" t="s">
        <v>107</v>
      </c>
      <c r="D26">
        <v>126</v>
      </c>
      <c r="G26">
        <v>125.92919999999999</v>
      </c>
      <c r="J26">
        <v>-7.0800000000000002E-2</v>
      </c>
      <c r="M26">
        <v>126.1</v>
      </c>
      <c r="N26">
        <v>125.9</v>
      </c>
      <c r="O26" t="s">
        <v>100</v>
      </c>
    </row>
    <row r="27" spans="1:18" x14ac:dyDescent="0.25">
      <c r="A27">
        <v>21</v>
      </c>
      <c r="B27" t="s">
        <v>12</v>
      </c>
      <c r="C27" t="s">
        <v>107</v>
      </c>
      <c r="D27">
        <v>124.004</v>
      </c>
      <c r="G27">
        <v>123.9212</v>
      </c>
      <c r="J27">
        <v>-8.2799999999999999E-2</v>
      </c>
      <c r="M27">
        <v>124.104</v>
      </c>
      <c r="N27">
        <v>123.904</v>
      </c>
      <c r="O27" t="s">
        <v>100</v>
      </c>
    </row>
    <row r="28" spans="1:18" x14ac:dyDescent="0.25">
      <c r="A28">
        <v>22</v>
      </c>
      <c r="B28" t="s">
        <v>13</v>
      </c>
      <c r="C28" t="s">
        <v>107</v>
      </c>
      <c r="D28">
        <v>145.262</v>
      </c>
      <c r="G28">
        <v>145.21360000000001</v>
      </c>
      <c r="J28">
        <v>-4.8399999999999999E-2</v>
      </c>
      <c r="M28">
        <v>145.36199999999999</v>
      </c>
      <c r="N28">
        <v>145.16200000000001</v>
      </c>
      <c r="O28" t="s">
        <v>100</v>
      </c>
    </row>
    <row r="29" spans="1:18" x14ac:dyDescent="0.25">
      <c r="A29">
        <v>23</v>
      </c>
      <c r="B29" t="s">
        <v>14</v>
      </c>
      <c r="C29" t="s">
        <v>107</v>
      </c>
      <c r="D29">
        <v>145.774</v>
      </c>
      <c r="G29">
        <v>145.67160000000001</v>
      </c>
      <c r="J29">
        <v>-0.1024</v>
      </c>
      <c r="M29">
        <v>145.874</v>
      </c>
      <c r="N29">
        <v>145.67400000000001</v>
      </c>
      <c r="O29" t="s">
        <v>102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A0DC5-AC03-45D7-A239-12F976F9B34F}">
  <sheetPr codeName="Sheet25"/>
  <dimension ref="A1:R29"/>
  <sheetViews>
    <sheetView workbookViewId="0"/>
  </sheetViews>
  <sheetFormatPr defaultRowHeight="15" x14ac:dyDescent="0.25"/>
  <cols>
    <col min="1" max="1" width="26.5703125" bestFit="1" customWidth="1"/>
    <col min="2" max="2" width="14.140625" bestFit="1" customWidth="1"/>
    <col min="3" max="3" width="18.28515625" bestFit="1" customWidth="1"/>
    <col min="4" max="4" width="8" bestFit="1" customWidth="1"/>
    <col min="5" max="5" width="5.7109375" bestFit="1" customWidth="1"/>
    <col min="6" max="6" width="2" bestFit="1" customWidth="1"/>
    <col min="7" max="7" width="9" bestFit="1" customWidth="1"/>
    <col min="8" max="8" width="8.7109375" bestFit="1" customWidth="1"/>
    <col min="9" max="9" width="7" bestFit="1" customWidth="1"/>
    <col min="10" max="10" width="7.7109375" bestFit="1" customWidth="1"/>
    <col min="11" max="12" width="7" bestFit="1" customWidth="1"/>
    <col min="13" max="14" width="8" bestFit="1" customWidth="1"/>
    <col min="15" max="15" width="5.42578125" bestFit="1" customWidth="1"/>
    <col min="16" max="16" width="7" bestFit="1" customWidth="1"/>
    <col min="17" max="17" width="5" bestFit="1" customWidth="1"/>
    <col min="18" max="18" width="5.42578125" bestFit="1" customWidth="1"/>
  </cols>
  <sheetData>
    <row r="1" spans="1:18" x14ac:dyDescent="0.25">
      <c r="A1" t="s">
        <v>86</v>
      </c>
      <c r="B1" t="s">
        <v>128</v>
      </c>
    </row>
    <row r="2" spans="1:18" x14ac:dyDescent="0.25">
      <c r="A2" t="s">
        <v>88</v>
      </c>
      <c r="B2" t="s">
        <v>89</v>
      </c>
    </row>
    <row r="3" spans="1:18" x14ac:dyDescent="0.25">
      <c r="A3" t="s">
        <v>90</v>
      </c>
      <c r="B3" t="s">
        <v>134</v>
      </c>
    </row>
    <row r="4" spans="1:18" x14ac:dyDescent="0.25">
      <c r="A4" t="s">
        <v>92</v>
      </c>
      <c r="B4" t="s">
        <v>109</v>
      </c>
    </row>
    <row r="5" spans="1:18" x14ac:dyDescent="0.25">
      <c r="A5" t="s">
        <v>94</v>
      </c>
    </row>
    <row r="6" spans="1:18" x14ac:dyDescent="0.25">
      <c r="A6" t="s">
        <v>95</v>
      </c>
    </row>
    <row r="7" spans="1:18" x14ac:dyDescent="0.25">
      <c r="A7" t="s">
        <v>96</v>
      </c>
    </row>
    <row r="8" spans="1:18" x14ac:dyDescent="0.25">
      <c r="A8" t="s">
        <v>88</v>
      </c>
    </row>
    <row r="9" spans="1:18" x14ac:dyDescent="0.25">
      <c r="A9" t="s">
        <v>97</v>
      </c>
    </row>
    <row r="10" spans="1:18" x14ac:dyDescent="0.25">
      <c r="A10">
        <v>4</v>
      </c>
      <c r="B10" t="s">
        <v>98</v>
      </c>
      <c r="C10" t="s">
        <v>99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P10">
        <v>0</v>
      </c>
      <c r="Q10">
        <v>0.05</v>
      </c>
      <c r="R10" t="s">
        <v>100</v>
      </c>
    </row>
    <row r="11" spans="1:18" x14ac:dyDescent="0.25">
      <c r="A11">
        <v>5</v>
      </c>
      <c r="B11" t="s">
        <v>101</v>
      </c>
      <c r="C11" t="s">
        <v>99</v>
      </c>
      <c r="D11">
        <v>62.5</v>
      </c>
      <c r="E11">
        <v>37.5</v>
      </c>
      <c r="F11">
        <v>0</v>
      </c>
      <c r="G11">
        <v>62.479500000000002</v>
      </c>
      <c r="H11">
        <v>37.516100000000002</v>
      </c>
      <c r="I11">
        <v>8.7900000000000006E-2</v>
      </c>
      <c r="J11">
        <v>-2.0500000000000001E-2</v>
      </c>
      <c r="K11">
        <v>1.61E-2</v>
      </c>
      <c r="L11">
        <v>8.7900000000000006E-2</v>
      </c>
      <c r="P11">
        <v>0.18329999999999999</v>
      </c>
      <c r="Q11">
        <v>0.05</v>
      </c>
      <c r="R11" t="s">
        <v>102</v>
      </c>
    </row>
    <row r="12" spans="1:18" x14ac:dyDescent="0.25">
      <c r="A12">
        <v>6</v>
      </c>
      <c r="B12" t="s">
        <v>103</v>
      </c>
      <c r="C12" t="s">
        <v>99</v>
      </c>
      <c r="D12">
        <v>-63.5</v>
      </c>
      <c r="E12">
        <v>37.5</v>
      </c>
      <c r="F12">
        <v>0</v>
      </c>
      <c r="G12">
        <v>-63.449800000000003</v>
      </c>
      <c r="H12">
        <v>37.516100000000002</v>
      </c>
      <c r="I12">
        <v>7.0699999999999999E-2</v>
      </c>
      <c r="J12">
        <v>5.0200000000000002E-2</v>
      </c>
      <c r="K12">
        <v>1.61E-2</v>
      </c>
      <c r="L12">
        <v>7.0699999999999999E-2</v>
      </c>
      <c r="P12">
        <v>0.1764</v>
      </c>
      <c r="Q12">
        <v>0.05</v>
      </c>
      <c r="R12" t="s">
        <v>102</v>
      </c>
    </row>
    <row r="13" spans="1:18" x14ac:dyDescent="0.25">
      <c r="A13">
        <v>7</v>
      </c>
      <c r="B13" t="s">
        <v>104</v>
      </c>
      <c r="C13" t="s">
        <v>99</v>
      </c>
      <c r="D13">
        <v>-62.5</v>
      </c>
      <c r="E13">
        <v>-36.5</v>
      </c>
      <c r="F13">
        <v>0</v>
      </c>
      <c r="G13">
        <v>-62.4756</v>
      </c>
      <c r="H13">
        <v>-36.463900000000002</v>
      </c>
      <c r="I13">
        <v>8.8099999999999998E-2</v>
      </c>
      <c r="J13">
        <v>2.4400000000000002E-2</v>
      </c>
      <c r="K13">
        <v>3.61E-2</v>
      </c>
      <c r="L13">
        <v>8.8099999999999998E-2</v>
      </c>
      <c r="P13">
        <v>0.1966</v>
      </c>
      <c r="Q13">
        <v>0.05</v>
      </c>
      <c r="R13" t="s">
        <v>102</v>
      </c>
    </row>
    <row r="14" spans="1:18" x14ac:dyDescent="0.25">
      <c r="A14">
        <v>8</v>
      </c>
      <c r="B14" t="s">
        <v>105</v>
      </c>
      <c r="C14" t="s">
        <v>99</v>
      </c>
      <c r="D14">
        <v>61.5</v>
      </c>
      <c r="E14">
        <v>-37.5</v>
      </c>
      <c r="F14">
        <v>0</v>
      </c>
      <c r="G14">
        <v>61.441099999999999</v>
      </c>
      <c r="H14">
        <v>-37.467399999999998</v>
      </c>
      <c r="I14">
        <v>7.1199999999999999E-2</v>
      </c>
      <c r="J14">
        <v>-5.8900000000000001E-2</v>
      </c>
      <c r="K14">
        <v>3.2599999999999997E-2</v>
      </c>
      <c r="L14">
        <v>7.1199999999999999E-2</v>
      </c>
      <c r="P14">
        <v>0.19600000000000001</v>
      </c>
      <c r="Q14">
        <v>0.05</v>
      </c>
      <c r="R14" t="s">
        <v>102</v>
      </c>
    </row>
    <row r="15" spans="1:18" x14ac:dyDescent="0.25">
      <c r="A15">
        <v>9</v>
      </c>
      <c r="B15" t="s">
        <v>0</v>
      </c>
      <c r="C15" t="s">
        <v>106</v>
      </c>
      <c r="D15">
        <v>25.4</v>
      </c>
      <c r="G15">
        <v>25.397600000000001</v>
      </c>
      <c r="J15">
        <v>-2.3999999999999998E-3</v>
      </c>
      <c r="M15">
        <v>25.5</v>
      </c>
      <c r="N15">
        <v>25.3</v>
      </c>
      <c r="O15" t="s">
        <v>100</v>
      </c>
      <c r="P15">
        <v>5.1000000000000004E-3</v>
      </c>
      <c r="Q15">
        <v>0.05</v>
      </c>
      <c r="R15" t="s">
        <v>100</v>
      </c>
    </row>
    <row r="16" spans="1:18" x14ac:dyDescent="0.25">
      <c r="A16">
        <v>10</v>
      </c>
      <c r="B16" t="s">
        <v>1</v>
      </c>
      <c r="C16" t="s">
        <v>106</v>
      </c>
      <c r="D16">
        <v>25.4</v>
      </c>
      <c r="G16">
        <v>25.401800000000001</v>
      </c>
      <c r="J16">
        <v>1.8E-3</v>
      </c>
      <c r="M16">
        <v>25.5</v>
      </c>
      <c r="N16">
        <v>25.3</v>
      </c>
      <c r="O16" t="s">
        <v>100</v>
      </c>
      <c r="P16">
        <v>8.0000000000000002E-3</v>
      </c>
      <c r="Q16">
        <v>0.05</v>
      </c>
      <c r="R16" t="s">
        <v>100</v>
      </c>
    </row>
    <row r="17" spans="1:18" x14ac:dyDescent="0.25">
      <c r="A17">
        <v>11</v>
      </c>
      <c r="B17" t="s">
        <v>2</v>
      </c>
      <c r="C17" t="s">
        <v>106</v>
      </c>
      <c r="D17">
        <v>25.4</v>
      </c>
      <c r="G17">
        <v>25.401800000000001</v>
      </c>
      <c r="J17">
        <v>1.8E-3</v>
      </c>
      <c r="M17">
        <v>25.5</v>
      </c>
      <c r="N17">
        <v>25.3</v>
      </c>
      <c r="O17" t="s">
        <v>100</v>
      </c>
      <c r="P17">
        <v>4.1999999999999997E-3</v>
      </c>
      <c r="Q17">
        <v>0.05</v>
      </c>
      <c r="R17" t="s">
        <v>100</v>
      </c>
    </row>
    <row r="18" spans="1:18" x14ac:dyDescent="0.25">
      <c r="A18">
        <v>12</v>
      </c>
      <c r="B18" t="s">
        <v>3</v>
      </c>
      <c r="C18" t="s">
        <v>106</v>
      </c>
      <c r="D18">
        <v>25.4</v>
      </c>
      <c r="G18">
        <v>25.403099999999998</v>
      </c>
      <c r="J18">
        <v>3.0999999999999999E-3</v>
      </c>
      <c r="M18">
        <v>25.5</v>
      </c>
      <c r="N18">
        <v>25.3</v>
      </c>
      <c r="O18" t="s">
        <v>100</v>
      </c>
      <c r="P18">
        <v>7.1999999999999998E-3</v>
      </c>
      <c r="Q18">
        <v>0.05</v>
      </c>
      <c r="R18" t="s">
        <v>100</v>
      </c>
    </row>
    <row r="19" spans="1:18" x14ac:dyDescent="0.25">
      <c r="A19">
        <v>13</v>
      </c>
      <c r="B19" t="s">
        <v>4</v>
      </c>
      <c r="C19" t="s">
        <v>106</v>
      </c>
      <c r="D19">
        <v>25.4</v>
      </c>
      <c r="G19">
        <v>25.401499999999999</v>
      </c>
      <c r="J19">
        <v>1.5E-3</v>
      </c>
      <c r="M19">
        <v>25.5</v>
      </c>
      <c r="N19">
        <v>25.3</v>
      </c>
      <c r="O19" t="s">
        <v>100</v>
      </c>
      <c r="P19">
        <v>5.1000000000000004E-3</v>
      </c>
      <c r="Q19">
        <v>0.05</v>
      </c>
      <c r="R19" t="s">
        <v>100</v>
      </c>
    </row>
    <row r="20" spans="1:18" x14ac:dyDescent="0.25">
      <c r="A20">
        <v>14</v>
      </c>
      <c r="B20" t="s">
        <v>5</v>
      </c>
      <c r="C20" t="s">
        <v>107</v>
      </c>
      <c r="D20">
        <v>72.887</v>
      </c>
      <c r="G20">
        <v>72.877700000000004</v>
      </c>
      <c r="J20">
        <v>-9.2999999999999992E-3</v>
      </c>
      <c r="M20">
        <v>72.986999999999995</v>
      </c>
      <c r="N20">
        <v>72.787000000000006</v>
      </c>
      <c r="O20" t="s">
        <v>100</v>
      </c>
    </row>
    <row r="21" spans="1:18" x14ac:dyDescent="0.25">
      <c r="A21">
        <v>15</v>
      </c>
      <c r="B21" t="s">
        <v>6</v>
      </c>
      <c r="C21" t="s">
        <v>107</v>
      </c>
      <c r="D21">
        <v>73.745999999999995</v>
      </c>
      <c r="G21">
        <v>73.711200000000005</v>
      </c>
      <c r="J21">
        <v>-3.4799999999999998E-2</v>
      </c>
      <c r="M21">
        <v>73.846000000000004</v>
      </c>
      <c r="N21">
        <v>73.646000000000001</v>
      </c>
      <c r="O21" t="s">
        <v>100</v>
      </c>
    </row>
    <row r="22" spans="1:18" x14ac:dyDescent="0.25">
      <c r="A22">
        <v>16</v>
      </c>
      <c r="B22" t="s">
        <v>7</v>
      </c>
      <c r="C22" t="s">
        <v>107</v>
      </c>
      <c r="D22">
        <v>72.376999999999995</v>
      </c>
      <c r="G22">
        <v>72.338200000000001</v>
      </c>
      <c r="J22">
        <v>-3.8800000000000001E-2</v>
      </c>
      <c r="M22">
        <v>72.477000000000004</v>
      </c>
      <c r="N22">
        <v>72.277000000000001</v>
      </c>
      <c r="O22" t="s">
        <v>100</v>
      </c>
    </row>
    <row r="23" spans="1:18" x14ac:dyDescent="0.25">
      <c r="A23">
        <v>17</v>
      </c>
      <c r="B23" t="s">
        <v>8</v>
      </c>
      <c r="C23" t="s">
        <v>107</v>
      </c>
      <c r="D23">
        <v>72.031000000000006</v>
      </c>
      <c r="G23">
        <v>71.963999999999999</v>
      </c>
      <c r="J23">
        <v>-6.7000000000000004E-2</v>
      </c>
      <c r="M23">
        <v>72.131</v>
      </c>
      <c r="N23">
        <v>71.930999999999997</v>
      </c>
      <c r="O23" t="s">
        <v>100</v>
      </c>
    </row>
    <row r="24" spans="1:18" x14ac:dyDescent="0.25">
      <c r="A24">
        <v>18</v>
      </c>
      <c r="B24" t="s">
        <v>9</v>
      </c>
      <c r="C24" t="s">
        <v>107</v>
      </c>
      <c r="D24">
        <v>75.007000000000005</v>
      </c>
      <c r="G24">
        <v>74.990700000000004</v>
      </c>
      <c r="J24">
        <v>-1.6299999999999999E-2</v>
      </c>
      <c r="M24">
        <v>75.106999999999999</v>
      </c>
      <c r="N24">
        <v>74.906999999999996</v>
      </c>
      <c r="O24" t="s">
        <v>100</v>
      </c>
    </row>
    <row r="25" spans="1:18" x14ac:dyDescent="0.25">
      <c r="A25">
        <v>19</v>
      </c>
      <c r="B25" t="s">
        <v>10</v>
      </c>
      <c r="C25" t="s">
        <v>107</v>
      </c>
      <c r="D25">
        <v>74.007000000000005</v>
      </c>
      <c r="G25">
        <v>73.9863</v>
      </c>
      <c r="J25">
        <v>-2.07E-2</v>
      </c>
      <c r="M25">
        <v>74.106999999999999</v>
      </c>
      <c r="N25">
        <v>73.906999999999996</v>
      </c>
      <c r="O25" t="s">
        <v>100</v>
      </c>
    </row>
    <row r="26" spans="1:18" x14ac:dyDescent="0.25">
      <c r="A26">
        <v>20</v>
      </c>
      <c r="B26" t="s">
        <v>11</v>
      </c>
      <c r="C26" t="s">
        <v>107</v>
      </c>
      <c r="D26">
        <v>126</v>
      </c>
      <c r="G26">
        <v>125.9294</v>
      </c>
      <c r="J26">
        <v>-7.0599999999999996E-2</v>
      </c>
      <c r="M26">
        <v>126.1</v>
      </c>
      <c r="N26">
        <v>125.9</v>
      </c>
      <c r="O26" t="s">
        <v>100</v>
      </c>
    </row>
    <row r="27" spans="1:18" x14ac:dyDescent="0.25">
      <c r="A27">
        <v>21</v>
      </c>
      <c r="B27" t="s">
        <v>12</v>
      </c>
      <c r="C27" t="s">
        <v>107</v>
      </c>
      <c r="D27">
        <v>124.004</v>
      </c>
      <c r="G27">
        <v>123.9207</v>
      </c>
      <c r="J27">
        <v>-8.3299999999999999E-2</v>
      </c>
      <c r="M27">
        <v>124.104</v>
      </c>
      <c r="N27">
        <v>123.904</v>
      </c>
      <c r="O27" t="s">
        <v>100</v>
      </c>
    </row>
    <row r="28" spans="1:18" x14ac:dyDescent="0.25">
      <c r="A28">
        <v>22</v>
      </c>
      <c r="B28" t="s">
        <v>13</v>
      </c>
      <c r="C28" t="s">
        <v>107</v>
      </c>
      <c r="D28">
        <v>145.262</v>
      </c>
      <c r="G28">
        <v>145.21299999999999</v>
      </c>
      <c r="J28">
        <v>-4.9000000000000002E-2</v>
      </c>
      <c r="M28">
        <v>145.36199999999999</v>
      </c>
      <c r="N28">
        <v>145.16200000000001</v>
      </c>
      <c r="O28" t="s">
        <v>100</v>
      </c>
    </row>
    <row r="29" spans="1:18" x14ac:dyDescent="0.25">
      <c r="A29">
        <v>23</v>
      </c>
      <c r="B29" t="s">
        <v>14</v>
      </c>
      <c r="C29" t="s">
        <v>107</v>
      </c>
      <c r="D29">
        <v>145.774</v>
      </c>
      <c r="G29">
        <v>145.67179999999999</v>
      </c>
      <c r="J29">
        <v>-0.1022</v>
      </c>
      <c r="M29">
        <v>145.874</v>
      </c>
      <c r="N29">
        <v>145.67400000000001</v>
      </c>
      <c r="O29" t="s">
        <v>102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688D0-1EEA-4F16-9008-2775196FFAC9}">
  <sheetPr codeName="Sheet26"/>
  <dimension ref="A1:R29"/>
  <sheetViews>
    <sheetView workbookViewId="0"/>
  </sheetViews>
  <sheetFormatPr defaultRowHeight="15" x14ac:dyDescent="0.25"/>
  <cols>
    <col min="1" max="1" width="26.5703125" bestFit="1" customWidth="1"/>
    <col min="2" max="2" width="14.140625" bestFit="1" customWidth="1"/>
    <col min="3" max="3" width="18.28515625" bestFit="1" customWidth="1"/>
    <col min="4" max="4" width="8" bestFit="1" customWidth="1"/>
    <col min="5" max="5" width="5.7109375" bestFit="1" customWidth="1"/>
    <col min="6" max="6" width="2" bestFit="1" customWidth="1"/>
    <col min="7" max="7" width="9" bestFit="1" customWidth="1"/>
    <col min="8" max="8" width="8.7109375" bestFit="1" customWidth="1"/>
    <col min="9" max="9" width="7" bestFit="1" customWidth="1"/>
    <col min="10" max="10" width="7.7109375" bestFit="1" customWidth="1"/>
    <col min="11" max="12" width="7" bestFit="1" customWidth="1"/>
    <col min="13" max="14" width="8" bestFit="1" customWidth="1"/>
    <col min="15" max="15" width="5.42578125" bestFit="1" customWidth="1"/>
    <col min="16" max="16" width="7" bestFit="1" customWidth="1"/>
    <col min="17" max="17" width="5" bestFit="1" customWidth="1"/>
    <col min="18" max="18" width="5.42578125" bestFit="1" customWidth="1"/>
  </cols>
  <sheetData>
    <row r="1" spans="1:18" x14ac:dyDescent="0.25">
      <c r="A1" t="s">
        <v>86</v>
      </c>
      <c r="B1" t="s">
        <v>128</v>
      </c>
    </row>
    <row r="2" spans="1:18" x14ac:dyDescent="0.25">
      <c r="A2" t="s">
        <v>88</v>
      </c>
      <c r="B2" t="s">
        <v>89</v>
      </c>
    </row>
    <row r="3" spans="1:18" x14ac:dyDescent="0.25">
      <c r="A3" t="s">
        <v>90</v>
      </c>
      <c r="B3" t="s">
        <v>135</v>
      </c>
    </row>
    <row r="4" spans="1:18" x14ac:dyDescent="0.25">
      <c r="A4" t="s">
        <v>92</v>
      </c>
      <c r="B4" t="s">
        <v>93</v>
      </c>
    </row>
    <row r="5" spans="1:18" x14ac:dyDescent="0.25">
      <c r="A5" t="s">
        <v>94</v>
      </c>
    </row>
    <row r="6" spans="1:18" x14ac:dyDescent="0.25">
      <c r="A6" t="s">
        <v>95</v>
      </c>
    </row>
    <row r="7" spans="1:18" x14ac:dyDescent="0.25">
      <c r="A7" t="s">
        <v>96</v>
      </c>
    </row>
    <row r="8" spans="1:18" x14ac:dyDescent="0.25">
      <c r="A8" t="s">
        <v>88</v>
      </c>
    </row>
    <row r="9" spans="1:18" x14ac:dyDescent="0.25">
      <c r="A9" t="s">
        <v>97</v>
      </c>
    </row>
    <row r="10" spans="1:18" x14ac:dyDescent="0.25">
      <c r="A10">
        <v>4</v>
      </c>
      <c r="B10" t="s">
        <v>98</v>
      </c>
      <c r="C10" t="s">
        <v>99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P10">
        <v>0</v>
      </c>
      <c r="Q10">
        <v>0.05</v>
      </c>
      <c r="R10" t="s">
        <v>100</v>
      </c>
    </row>
    <row r="11" spans="1:18" x14ac:dyDescent="0.25">
      <c r="A11">
        <v>5</v>
      </c>
      <c r="B11" t="s">
        <v>101</v>
      </c>
      <c r="C11" t="s">
        <v>99</v>
      </c>
      <c r="D11">
        <v>62.5</v>
      </c>
      <c r="E11">
        <v>37.5</v>
      </c>
      <c r="F11">
        <v>0</v>
      </c>
      <c r="G11">
        <v>62.4786</v>
      </c>
      <c r="H11">
        <v>37.5169</v>
      </c>
      <c r="I11">
        <v>8.7800000000000003E-2</v>
      </c>
      <c r="J11">
        <v>-2.1399999999999999E-2</v>
      </c>
      <c r="K11">
        <v>1.6899999999999998E-2</v>
      </c>
      <c r="L11">
        <v>8.7800000000000003E-2</v>
      </c>
      <c r="P11">
        <v>0.18379999999999999</v>
      </c>
      <c r="Q11">
        <v>0.05</v>
      </c>
      <c r="R11" t="s">
        <v>102</v>
      </c>
    </row>
    <row r="12" spans="1:18" x14ac:dyDescent="0.25">
      <c r="A12">
        <v>6</v>
      </c>
      <c r="B12" t="s">
        <v>103</v>
      </c>
      <c r="C12" t="s">
        <v>99</v>
      </c>
      <c r="D12">
        <v>-63.5</v>
      </c>
      <c r="E12">
        <v>37.5</v>
      </c>
      <c r="F12">
        <v>0</v>
      </c>
      <c r="G12">
        <v>-63.450699999999998</v>
      </c>
      <c r="H12">
        <v>37.5169</v>
      </c>
      <c r="I12">
        <v>7.1300000000000002E-2</v>
      </c>
      <c r="J12">
        <v>4.9299999999999997E-2</v>
      </c>
      <c r="K12">
        <v>1.6899999999999998E-2</v>
      </c>
      <c r="L12">
        <v>7.1300000000000002E-2</v>
      </c>
      <c r="P12">
        <v>0.17660000000000001</v>
      </c>
      <c r="Q12">
        <v>0.05</v>
      </c>
      <c r="R12" t="s">
        <v>102</v>
      </c>
    </row>
    <row r="13" spans="1:18" x14ac:dyDescent="0.25">
      <c r="A13">
        <v>7</v>
      </c>
      <c r="B13" t="s">
        <v>104</v>
      </c>
      <c r="C13" t="s">
        <v>99</v>
      </c>
      <c r="D13">
        <v>-62.5</v>
      </c>
      <c r="E13">
        <v>-36.5</v>
      </c>
      <c r="F13">
        <v>0</v>
      </c>
      <c r="G13">
        <v>-62.477200000000003</v>
      </c>
      <c r="H13">
        <v>-36.463200000000001</v>
      </c>
      <c r="I13">
        <v>8.7999999999999995E-2</v>
      </c>
      <c r="J13">
        <v>2.2800000000000001E-2</v>
      </c>
      <c r="K13">
        <v>3.6799999999999999E-2</v>
      </c>
      <c r="L13">
        <v>8.7999999999999995E-2</v>
      </c>
      <c r="P13">
        <v>0.19620000000000001</v>
      </c>
      <c r="Q13">
        <v>0.05</v>
      </c>
      <c r="R13" t="s">
        <v>102</v>
      </c>
    </row>
    <row r="14" spans="1:18" x14ac:dyDescent="0.25">
      <c r="A14">
        <v>8</v>
      </c>
      <c r="B14" t="s">
        <v>105</v>
      </c>
      <c r="C14" t="s">
        <v>99</v>
      </c>
      <c r="D14">
        <v>61.5</v>
      </c>
      <c r="E14">
        <v>-37.5</v>
      </c>
      <c r="F14">
        <v>0</v>
      </c>
      <c r="G14">
        <v>61.440399999999997</v>
      </c>
      <c r="H14">
        <v>-37.466299999999997</v>
      </c>
      <c r="I14">
        <v>7.1800000000000003E-2</v>
      </c>
      <c r="J14">
        <v>-5.96E-2</v>
      </c>
      <c r="K14">
        <v>3.3700000000000001E-2</v>
      </c>
      <c r="L14">
        <v>7.1800000000000003E-2</v>
      </c>
      <c r="P14">
        <v>0.1983</v>
      </c>
      <c r="Q14">
        <v>0.05</v>
      </c>
      <c r="R14" t="s">
        <v>102</v>
      </c>
    </row>
    <row r="15" spans="1:18" x14ac:dyDescent="0.25">
      <c r="A15">
        <v>9</v>
      </c>
      <c r="B15" t="s">
        <v>0</v>
      </c>
      <c r="C15" t="s">
        <v>106</v>
      </c>
      <c r="D15">
        <v>25.4</v>
      </c>
      <c r="G15">
        <v>25.398099999999999</v>
      </c>
      <c r="J15">
        <v>-1.9E-3</v>
      </c>
      <c r="M15">
        <v>25.5</v>
      </c>
      <c r="N15">
        <v>25.3</v>
      </c>
      <c r="O15" t="s">
        <v>100</v>
      </c>
      <c r="P15">
        <v>4.7999999999999996E-3</v>
      </c>
      <c r="Q15">
        <v>0.05</v>
      </c>
      <c r="R15" t="s">
        <v>100</v>
      </c>
    </row>
    <row r="16" spans="1:18" x14ac:dyDescent="0.25">
      <c r="A16">
        <v>10</v>
      </c>
      <c r="B16" t="s">
        <v>1</v>
      </c>
      <c r="C16" t="s">
        <v>106</v>
      </c>
      <c r="D16">
        <v>25.4</v>
      </c>
      <c r="G16">
        <v>25.402200000000001</v>
      </c>
      <c r="J16">
        <v>2.2000000000000001E-3</v>
      </c>
      <c r="M16">
        <v>25.5</v>
      </c>
      <c r="N16">
        <v>25.3</v>
      </c>
      <c r="O16" t="s">
        <v>100</v>
      </c>
      <c r="P16">
        <v>8.2000000000000007E-3</v>
      </c>
      <c r="Q16">
        <v>0.05</v>
      </c>
      <c r="R16" t="s">
        <v>100</v>
      </c>
    </row>
    <row r="17" spans="1:18" x14ac:dyDescent="0.25">
      <c r="A17">
        <v>11</v>
      </c>
      <c r="B17" t="s">
        <v>2</v>
      </c>
      <c r="C17" t="s">
        <v>106</v>
      </c>
      <c r="D17">
        <v>25.4</v>
      </c>
      <c r="G17">
        <v>25.402000000000001</v>
      </c>
      <c r="J17">
        <v>2E-3</v>
      </c>
      <c r="M17">
        <v>25.5</v>
      </c>
      <c r="N17">
        <v>25.3</v>
      </c>
      <c r="O17" t="s">
        <v>100</v>
      </c>
      <c r="P17">
        <v>4.1000000000000003E-3</v>
      </c>
      <c r="Q17">
        <v>0.05</v>
      </c>
      <c r="R17" t="s">
        <v>100</v>
      </c>
    </row>
    <row r="18" spans="1:18" x14ac:dyDescent="0.25">
      <c r="A18">
        <v>12</v>
      </c>
      <c r="B18" t="s">
        <v>3</v>
      </c>
      <c r="C18" t="s">
        <v>106</v>
      </c>
      <c r="D18">
        <v>25.4</v>
      </c>
      <c r="G18">
        <v>25.403199999999998</v>
      </c>
      <c r="J18">
        <v>3.2000000000000002E-3</v>
      </c>
      <c r="M18">
        <v>25.5</v>
      </c>
      <c r="N18">
        <v>25.3</v>
      </c>
      <c r="O18" t="s">
        <v>100</v>
      </c>
      <c r="P18">
        <v>6.8999999999999999E-3</v>
      </c>
      <c r="Q18">
        <v>0.05</v>
      </c>
      <c r="R18" t="s">
        <v>100</v>
      </c>
    </row>
    <row r="19" spans="1:18" x14ac:dyDescent="0.25">
      <c r="A19">
        <v>13</v>
      </c>
      <c r="B19" t="s">
        <v>4</v>
      </c>
      <c r="C19" t="s">
        <v>106</v>
      </c>
      <c r="D19">
        <v>25.4</v>
      </c>
      <c r="G19">
        <v>25.401399999999999</v>
      </c>
      <c r="J19">
        <v>1.4E-3</v>
      </c>
      <c r="M19">
        <v>25.5</v>
      </c>
      <c r="N19">
        <v>25.3</v>
      </c>
      <c r="O19" t="s">
        <v>100</v>
      </c>
      <c r="P19">
        <v>4.7000000000000002E-3</v>
      </c>
      <c r="Q19">
        <v>0.05</v>
      </c>
      <c r="R19" t="s">
        <v>100</v>
      </c>
    </row>
    <row r="20" spans="1:18" x14ac:dyDescent="0.25">
      <c r="A20">
        <v>14</v>
      </c>
      <c r="B20" t="s">
        <v>5</v>
      </c>
      <c r="C20" t="s">
        <v>107</v>
      </c>
      <c r="D20">
        <v>72.887</v>
      </c>
      <c r="G20">
        <v>72.877300000000005</v>
      </c>
      <c r="J20">
        <v>-9.7000000000000003E-3</v>
      </c>
      <c r="M20">
        <v>72.986999999999995</v>
      </c>
      <c r="N20">
        <v>72.787000000000006</v>
      </c>
      <c r="O20" t="s">
        <v>100</v>
      </c>
    </row>
    <row r="21" spans="1:18" x14ac:dyDescent="0.25">
      <c r="A21">
        <v>15</v>
      </c>
      <c r="B21" t="s">
        <v>6</v>
      </c>
      <c r="C21" t="s">
        <v>107</v>
      </c>
      <c r="D21">
        <v>73.745999999999995</v>
      </c>
      <c r="G21">
        <v>73.712400000000002</v>
      </c>
      <c r="J21">
        <v>-3.3599999999999998E-2</v>
      </c>
      <c r="M21">
        <v>73.846000000000004</v>
      </c>
      <c r="N21">
        <v>73.646000000000001</v>
      </c>
      <c r="O21" t="s">
        <v>100</v>
      </c>
    </row>
    <row r="22" spans="1:18" x14ac:dyDescent="0.25">
      <c r="A22">
        <v>16</v>
      </c>
      <c r="B22" t="s">
        <v>7</v>
      </c>
      <c r="C22" t="s">
        <v>107</v>
      </c>
      <c r="D22">
        <v>72.376999999999995</v>
      </c>
      <c r="G22">
        <v>72.339299999999994</v>
      </c>
      <c r="J22">
        <v>-3.7699999999999997E-2</v>
      </c>
      <c r="M22">
        <v>72.477000000000004</v>
      </c>
      <c r="N22">
        <v>72.277000000000001</v>
      </c>
      <c r="O22" t="s">
        <v>100</v>
      </c>
    </row>
    <row r="23" spans="1:18" x14ac:dyDescent="0.25">
      <c r="A23">
        <v>17</v>
      </c>
      <c r="B23" t="s">
        <v>8</v>
      </c>
      <c r="C23" t="s">
        <v>107</v>
      </c>
      <c r="D23">
        <v>72.031000000000006</v>
      </c>
      <c r="G23">
        <v>71.962900000000005</v>
      </c>
      <c r="J23">
        <v>-6.8099999999999994E-2</v>
      </c>
      <c r="M23">
        <v>72.131</v>
      </c>
      <c r="N23">
        <v>71.930999999999997</v>
      </c>
      <c r="O23" t="s">
        <v>100</v>
      </c>
    </row>
    <row r="24" spans="1:18" x14ac:dyDescent="0.25">
      <c r="A24">
        <v>18</v>
      </c>
      <c r="B24" t="s">
        <v>9</v>
      </c>
      <c r="C24" t="s">
        <v>107</v>
      </c>
      <c r="D24">
        <v>75.007000000000005</v>
      </c>
      <c r="G24">
        <v>74.990399999999994</v>
      </c>
      <c r="J24">
        <v>-1.66E-2</v>
      </c>
      <c r="M24">
        <v>75.106999999999999</v>
      </c>
      <c r="N24">
        <v>74.906999999999996</v>
      </c>
      <c r="O24" t="s">
        <v>100</v>
      </c>
    </row>
    <row r="25" spans="1:18" x14ac:dyDescent="0.25">
      <c r="A25">
        <v>19</v>
      </c>
      <c r="B25" t="s">
        <v>10</v>
      </c>
      <c r="C25" t="s">
        <v>107</v>
      </c>
      <c r="D25">
        <v>74.007000000000005</v>
      </c>
      <c r="G25">
        <v>73.986400000000003</v>
      </c>
      <c r="J25">
        <v>-2.06E-2</v>
      </c>
      <c r="M25">
        <v>74.106999999999999</v>
      </c>
      <c r="N25">
        <v>73.906999999999996</v>
      </c>
      <c r="O25" t="s">
        <v>100</v>
      </c>
    </row>
    <row r="26" spans="1:18" x14ac:dyDescent="0.25">
      <c r="A26">
        <v>20</v>
      </c>
      <c r="B26" t="s">
        <v>11</v>
      </c>
      <c r="C26" t="s">
        <v>107</v>
      </c>
      <c r="D26">
        <v>126</v>
      </c>
      <c r="G26">
        <v>125.9293</v>
      </c>
      <c r="J26">
        <v>-7.0699999999999999E-2</v>
      </c>
      <c r="M26">
        <v>126.1</v>
      </c>
      <c r="N26">
        <v>125.9</v>
      </c>
      <c r="O26" t="s">
        <v>100</v>
      </c>
    </row>
    <row r="27" spans="1:18" x14ac:dyDescent="0.25">
      <c r="A27">
        <v>21</v>
      </c>
      <c r="B27" t="s">
        <v>12</v>
      </c>
      <c r="C27" t="s">
        <v>107</v>
      </c>
      <c r="D27">
        <v>124.004</v>
      </c>
      <c r="G27">
        <v>123.9217</v>
      </c>
      <c r="J27">
        <v>-8.2299999999999998E-2</v>
      </c>
      <c r="M27">
        <v>124.104</v>
      </c>
      <c r="N27">
        <v>123.904</v>
      </c>
      <c r="O27" t="s">
        <v>100</v>
      </c>
    </row>
    <row r="28" spans="1:18" x14ac:dyDescent="0.25">
      <c r="A28">
        <v>22</v>
      </c>
      <c r="B28" t="s">
        <v>13</v>
      </c>
      <c r="C28" t="s">
        <v>107</v>
      </c>
      <c r="D28">
        <v>145.262</v>
      </c>
      <c r="G28">
        <v>145.21360000000001</v>
      </c>
      <c r="J28">
        <v>-4.8399999999999999E-2</v>
      </c>
      <c r="M28">
        <v>145.36199999999999</v>
      </c>
      <c r="N28">
        <v>145.16200000000001</v>
      </c>
      <c r="O28" t="s">
        <v>100</v>
      </c>
    </row>
    <row r="29" spans="1:18" x14ac:dyDescent="0.25">
      <c r="A29">
        <v>23</v>
      </c>
      <c r="B29" t="s">
        <v>14</v>
      </c>
      <c r="C29" t="s">
        <v>107</v>
      </c>
      <c r="D29">
        <v>145.774</v>
      </c>
      <c r="G29">
        <v>145.67189999999999</v>
      </c>
      <c r="J29">
        <v>-0.1021</v>
      </c>
      <c r="M29">
        <v>145.874</v>
      </c>
      <c r="N29">
        <v>145.67400000000001</v>
      </c>
      <c r="O29" t="s">
        <v>102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BFC0-0469-43EC-8440-A0F0AF211E59}">
  <sheetPr codeName="Sheet27"/>
  <dimension ref="A1:R29"/>
  <sheetViews>
    <sheetView workbookViewId="0"/>
  </sheetViews>
  <sheetFormatPr defaultRowHeight="15" x14ac:dyDescent="0.25"/>
  <cols>
    <col min="1" max="1" width="26.5703125" bestFit="1" customWidth="1"/>
    <col min="2" max="2" width="14.140625" bestFit="1" customWidth="1"/>
    <col min="3" max="3" width="18.28515625" bestFit="1" customWidth="1"/>
    <col min="4" max="4" width="8" bestFit="1" customWidth="1"/>
    <col min="5" max="5" width="5.7109375" bestFit="1" customWidth="1"/>
    <col min="6" max="6" width="2" bestFit="1" customWidth="1"/>
    <col min="7" max="7" width="9" bestFit="1" customWidth="1"/>
    <col min="8" max="8" width="8.7109375" bestFit="1" customWidth="1"/>
    <col min="9" max="9" width="7" bestFit="1" customWidth="1"/>
    <col min="10" max="10" width="7.7109375" bestFit="1" customWidth="1"/>
    <col min="11" max="12" width="7" bestFit="1" customWidth="1"/>
    <col min="13" max="14" width="8" bestFit="1" customWidth="1"/>
    <col min="15" max="15" width="5.42578125" bestFit="1" customWidth="1"/>
    <col min="16" max="16" width="7" bestFit="1" customWidth="1"/>
    <col min="17" max="17" width="5" bestFit="1" customWidth="1"/>
    <col min="18" max="18" width="5.42578125" bestFit="1" customWidth="1"/>
  </cols>
  <sheetData>
    <row r="1" spans="1:18" x14ac:dyDescent="0.25">
      <c r="A1" t="s">
        <v>86</v>
      </c>
      <c r="B1" t="s">
        <v>128</v>
      </c>
    </row>
    <row r="2" spans="1:18" x14ac:dyDescent="0.25">
      <c r="A2" t="s">
        <v>88</v>
      </c>
      <c r="B2" t="s">
        <v>89</v>
      </c>
    </row>
    <row r="3" spans="1:18" x14ac:dyDescent="0.25">
      <c r="A3" t="s">
        <v>90</v>
      </c>
      <c r="B3" t="s">
        <v>136</v>
      </c>
    </row>
    <row r="4" spans="1:18" x14ac:dyDescent="0.25">
      <c r="A4" t="s">
        <v>92</v>
      </c>
      <c r="B4" t="s">
        <v>109</v>
      </c>
    </row>
    <row r="5" spans="1:18" x14ac:dyDescent="0.25">
      <c r="A5" t="s">
        <v>94</v>
      </c>
    </row>
    <row r="6" spans="1:18" x14ac:dyDescent="0.25">
      <c r="A6" t="s">
        <v>95</v>
      </c>
    </row>
    <row r="7" spans="1:18" x14ac:dyDescent="0.25">
      <c r="A7" t="s">
        <v>96</v>
      </c>
    </row>
    <row r="8" spans="1:18" x14ac:dyDescent="0.25">
      <c r="A8" t="s">
        <v>88</v>
      </c>
    </row>
    <row r="9" spans="1:18" x14ac:dyDescent="0.25">
      <c r="A9" t="s">
        <v>97</v>
      </c>
    </row>
    <row r="10" spans="1:18" x14ac:dyDescent="0.25">
      <c r="A10">
        <v>4</v>
      </c>
      <c r="B10" t="s">
        <v>98</v>
      </c>
      <c r="C10" t="s">
        <v>99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P10">
        <v>0</v>
      </c>
      <c r="Q10">
        <v>0.05</v>
      </c>
      <c r="R10" t="s">
        <v>100</v>
      </c>
    </row>
    <row r="11" spans="1:18" x14ac:dyDescent="0.25">
      <c r="A11">
        <v>5</v>
      </c>
      <c r="B11" t="s">
        <v>101</v>
      </c>
      <c r="C11" t="s">
        <v>99</v>
      </c>
      <c r="D11">
        <v>62.5</v>
      </c>
      <c r="E11">
        <v>37.5</v>
      </c>
      <c r="F11">
        <v>0</v>
      </c>
      <c r="G11">
        <v>62.479599999999998</v>
      </c>
      <c r="H11">
        <v>37.516399999999997</v>
      </c>
      <c r="I11">
        <v>8.8099999999999998E-2</v>
      </c>
      <c r="J11">
        <v>-2.0400000000000001E-2</v>
      </c>
      <c r="K11">
        <v>1.6400000000000001E-2</v>
      </c>
      <c r="L11">
        <v>8.8099999999999998E-2</v>
      </c>
      <c r="P11">
        <v>0.1837</v>
      </c>
      <c r="Q11">
        <v>0.05</v>
      </c>
      <c r="R11" t="s">
        <v>102</v>
      </c>
    </row>
    <row r="12" spans="1:18" x14ac:dyDescent="0.25">
      <c r="A12">
        <v>6</v>
      </c>
      <c r="B12" t="s">
        <v>103</v>
      </c>
      <c r="C12" t="s">
        <v>99</v>
      </c>
      <c r="D12">
        <v>-63.5</v>
      </c>
      <c r="E12">
        <v>37.5</v>
      </c>
      <c r="F12">
        <v>0</v>
      </c>
      <c r="G12">
        <v>-63.450400000000002</v>
      </c>
      <c r="H12">
        <v>37.516399999999997</v>
      </c>
      <c r="I12">
        <v>7.1400000000000005E-2</v>
      </c>
      <c r="J12">
        <v>4.9599999999999998E-2</v>
      </c>
      <c r="K12">
        <v>1.6400000000000001E-2</v>
      </c>
      <c r="L12">
        <v>7.1400000000000005E-2</v>
      </c>
      <c r="P12">
        <v>0.17699999999999999</v>
      </c>
      <c r="Q12">
        <v>0.05</v>
      </c>
      <c r="R12" t="s">
        <v>102</v>
      </c>
    </row>
    <row r="13" spans="1:18" x14ac:dyDescent="0.25">
      <c r="A13">
        <v>7</v>
      </c>
      <c r="B13" t="s">
        <v>104</v>
      </c>
      <c r="C13" t="s">
        <v>99</v>
      </c>
      <c r="D13">
        <v>-62.5</v>
      </c>
      <c r="E13">
        <v>-36.5</v>
      </c>
      <c r="F13">
        <v>0</v>
      </c>
      <c r="G13">
        <v>-62.476700000000001</v>
      </c>
      <c r="H13">
        <v>-36.463700000000003</v>
      </c>
      <c r="I13">
        <v>8.8300000000000003E-2</v>
      </c>
      <c r="J13">
        <v>2.3300000000000001E-2</v>
      </c>
      <c r="K13">
        <v>3.6299999999999999E-2</v>
      </c>
      <c r="L13">
        <v>8.8300000000000003E-2</v>
      </c>
      <c r="P13">
        <v>0.19650000000000001</v>
      </c>
      <c r="Q13">
        <v>0.05</v>
      </c>
      <c r="R13" t="s">
        <v>102</v>
      </c>
    </row>
    <row r="14" spans="1:18" x14ac:dyDescent="0.25">
      <c r="A14">
        <v>8</v>
      </c>
      <c r="B14" t="s">
        <v>105</v>
      </c>
      <c r="C14" t="s">
        <v>99</v>
      </c>
      <c r="D14">
        <v>61.5</v>
      </c>
      <c r="E14">
        <v>-37.5</v>
      </c>
      <c r="F14">
        <v>0</v>
      </c>
      <c r="G14">
        <v>61.440100000000001</v>
      </c>
      <c r="H14">
        <v>-37.467700000000001</v>
      </c>
      <c r="I14">
        <v>7.1900000000000006E-2</v>
      </c>
      <c r="J14">
        <v>-5.9900000000000002E-2</v>
      </c>
      <c r="K14">
        <v>3.2300000000000002E-2</v>
      </c>
      <c r="L14">
        <v>7.1900000000000006E-2</v>
      </c>
      <c r="P14">
        <v>0.19800000000000001</v>
      </c>
      <c r="Q14">
        <v>0.05</v>
      </c>
      <c r="R14" t="s">
        <v>102</v>
      </c>
    </row>
    <row r="15" spans="1:18" x14ac:dyDescent="0.25">
      <c r="A15">
        <v>9</v>
      </c>
      <c r="B15" t="s">
        <v>0</v>
      </c>
      <c r="C15" t="s">
        <v>106</v>
      </c>
      <c r="D15">
        <v>25.4</v>
      </c>
      <c r="G15">
        <v>25.3978</v>
      </c>
      <c r="J15">
        <v>-2.2000000000000001E-3</v>
      </c>
      <c r="M15">
        <v>25.5</v>
      </c>
      <c r="N15">
        <v>25.3</v>
      </c>
      <c r="O15" t="s">
        <v>100</v>
      </c>
      <c r="P15">
        <v>5.1999999999999998E-3</v>
      </c>
      <c r="Q15">
        <v>0.05</v>
      </c>
      <c r="R15" t="s">
        <v>100</v>
      </c>
    </row>
    <row r="16" spans="1:18" x14ac:dyDescent="0.25">
      <c r="A16">
        <v>10</v>
      </c>
      <c r="B16" t="s">
        <v>1</v>
      </c>
      <c r="C16" t="s">
        <v>106</v>
      </c>
      <c r="D16">
        <v>25.4</v>
      </c>
      <c r="G16">
        <v>25.4023</v>
      </c>
      <c r="J16">
        <v>2.3E-3</v>
      </c>
      <c r="M16">
        <v>25.5</v>
      </c>
      <c r="N16">
        <v>25.3</v>
      </c>
      <c r="O16" t="s">
        <v>100</v>
      </c>
      <c r="P16">
        <v>7.4000000000000003E-3</v>
      </c>
      <c r="Q16">
        <v>0.05</v>
      </c>
      <c r="R16" t="s">
        <v>100</v>
      </c>
    </row>
    <row r="17" spans="1:18" x14ac:dyDescent="0.25">
      <c r="A17">
        <v>11</v>
      </c>
      <c r="B17" t="s">
        <v>2</v>
      </c>
      <c r="C17" t="s">
        <v>106</v>
      </c>
      <c r="D17">
        <v>25.4</v>
      </c>
      <c r="G17">
        <v>25.402100000000001</v>
      </c>
      <c r="J17">
        <v>2.0999999999999999E-3</v>
      </c>
      <c r="M17">
        <v>25.5</v>
      </c>
      <c r="N17">
        <v>25.3</v>
      </c>
      <c r="O17" t="s">
        <v>100</v>
      </c>
      <c r="P17">
        <v>5.8999999999999999E-3</v>
      </c>
      <c r="Q17">
        <v>0.05</v>
      </c>
      <c r="R17" t="s">
        <v>100</v>
      </c>
    </row>
    <row r="18" spans="1:18" x14ac:dyDescent="0.25">
      <c r="A18">
        <v>12</v>
      </c>
      <c r="B18" t="s">
        <v>3</v>
      </c>
      <c r="C18" t="s">
        <v>106</v>
      </c>
      <c r="D18">
        <v>25.4</v>
      </c>
      <c r="G18">
        <v>25.403099999999998</v>
      </c>
      <c r="J18">
        <v>3.0999999999999999E-3</v>
      </c>
      <c r="M18">
        <v>25.5</v>
      </c>
      <c r="N18">
        <v>25.3</v>
      </c>
      <c r="O18" t="s">
        <v>100</v>
      </c>
      <c r="P18">
        <v>7.6E-3</v>
      </c>
      <c r="Q18">
        <v>0.05</v>
      </c>
      <c r="R18" t="s">
        <v>100</v>
      </c>
    </row>
    <row r="19" spans="1:18" x14ac:dyDescent="0.25">
      <c r="A19">
        <v>13</v>
      </c>
      <c r="B19" t="s">
        <v>4</v>
      </c>
      <c r="C19" t="s">
        <v>106</v>
      </c>
      <c r="D19">
        <v>25.4</v>
      </c>
      <c r="G19">
        <v>25.401399999999999</v>
      </c>
      <c r="J19">
        <v>1.4E-3</v>
      </c>
      <c r="M19">
        <v>25.5</v>
      </c>
      <c r="N19">
        <v>25.3</v>
      </c>
      <c r="O19" t="s">
        <v>100</v>
      </c>
      <c r="P19">
        <v>3.8E-3</v>
      </c>
      <c r="Q19">
        <v>0.05</v>
      </c>
      <c r="R19" t="s">
        <v>100</v>
      </c>
    </row>
    <row r="20" spans="1:18" x14ac:dyDescent="0.25">
      <c r="A20">
        <v>14</v>
      </c>
      <c r="B20" t="s">
        <v>5</v>
      </c>
      <c r="C20" t="s">
        <v>107</v>
      </c>
      <c r="D20">
        <v>72.887</v>
      </c>
      <c r="G20">
        <v>72.877899999999997</v>
      </c>
      <c r="J20">
        <v>-9.1000000000000004E-3</v>
      </c>
      <c r="M20">
        <v>72.986999999999995</v>
      </c>
      <c r="N20">
        <v>72.787000000000006</v>
      </c>
      <c r="O20" t="s">
        <v>100</v>
      </c>
    </row>
    <row r="21" spans="1:18" x14ac:dyDescent="0.25">
      <c r="A21">
        <v>15</v>
      </c>
      <c r="B21" t="s">
        <v>6</v>
      </c>
      <c r="C21" t="s">
        <v>107</v>
      </c>
      <c r="D21">
        <v>73.745999999999995</v>
      </c>
      <c r="G21">
        <v>73.711799999999997</v>
      </c>
      <c r="J21">
        <v>-3.4200000000000001E-2</v>
      </c>
      <c r="M21">
        <v>73.846000000000004</v>
      </c>
      <c r="N21">
        <v>73.646000000000001</v>
      </c>
      <c r="O21" t="s">
        <v>100</v>
      </c>
    </row>
    <row r="22" spans="1:18" x14ac:dyDescent="0.25">
      <c r="A22">
        <v>16</v>
      </c>
      <c r="B22" t="s">
        <v>7</v>
      </c>
      <c r="C22" t="s">
        <v>107</v>
      </c>
      <c r="D22">
        <v>72.376999999999995</v>
      </c>
      <c r="G22">
        <v>72.339100000000002</v>
      </c>
      <c r="J22">
        <v>-3.7900000000000003E-2</v>
      </c>
      <c r="M22">
        <v>72.477000000000004</v>
      </c>
      <c r="N22">
        <v>72.277000000000001</v>
      </c>
      <c r="O22" t="s">
        <v>100</v>
      </c>
    </row>
    <row r="23" spans="1:18" x14ac:dyDescent="0.25">
      <c r="A23">
        <v>17</v>
      </c>
      <c r="B23" t="s">
        <v>8</v>
      </c>
      <c r="C23" t="s">
        <v>107</v>
      </c>
      <c r="D23">
        <v>72.031000000000006</v>
      </c>
      <c r="G23">
        <v>71.963300000000004</v>
      </c>
      <c r="J23">
        <v>-6.7699999999999996E-2</v>
      </c>
      <c r="M23">
        <v>72.131</v>
      </c>
      <c r="N23">
        <v>71.930999999999997</v>
      </c>
      <c r="O23" t="s">
        <v>100</v>
      </c>
    </row>
    <row r="24" spans="1:18" x14ac:dyDescent="0.25">
      <c r="A24">
        <v>18</v>
      </c>
      <c r="B24" t="s">
        <v>9</v>
      </c>
      <c r="C24" t="s">
        <v>107</v>
      </c>
      <c r="D24">
        <v>75.007000000000005</v>
      </c>
      <c r="G24">
        <v>74.991299999999995</v>
      </c>
      <c r="J24">
        <v>-1.5699999999999999E-2</v>
      </c>
      <c r="M24">
        <v>75.106999999999999</v>
      </c>
      <c r="N24">
        <v>74.906999999999996</v>
      </c>
      <c r="O24" t="s">
        <v>100</v>
      </c>
    </row>
    <row r="25" spans="1:18" x14ac:dyDescent="0.25">
      <c r="A25">
        <v>19</v>
      </c>
      <c r="B25" t="s">
        <v>10</v>
      </c>
      <c r="C25" t="s">
        <v>107</v>
      </c>
      <c r="D25">
        <v>74.007000000000005</v>
      </c>
      <c r="G25">
        <v>73.986400000000003</v>
      </c>
      <c r="J25">
        <v>-2.06E-2</v>
      </c>
      <c r="M25">
        <v>74.106999999999999</v>
      </c>
      <c r="N25">
        <v>73.906999999999996</v>
      </c>
      <c r="O25" t="s">
        <v>100</v>
      </c>
    </row>
    <row r="26" spans="1:18" x14ac:dyDescent="0.25">
      <c r="A26">
        <v>20</v>
      </c>
      <c r="B26" t="s">
        <v>11</v>
      </c>
      <c r="C26" t="s">
        <v>107</v>
      </c>
      <c r="D26">
        <v>126</v>
      </c>
      <c r="G26">
        <v>125.93</v>
      </c>
      <c r="J26">
        <v>-7.0000000000000007E-2</v>
      </c>
      <c r="M26">
        <v>126.1</v>
      </c>
      <c r="N26">
        <v>125.9</v>
      </c>
      <c r="O26" t="s">
        <v>100</v>
      </c>
    </row>
    <row r="27" spans="1:18" x14ac:dyDescent="0.25">
      <c r="A27">
        <v>21</v>
      </c>
      <c r="B27" t="s">
        <v>12</v>
      </c>
      <c r="C27" t="s">
        <v>107</v>
      </c>
      <c r="D27">
        <v>124.004</v>
      </c>
      <c r="G27">
        <v>123.9209</v>
      </c>
      <c r="J27">
        <v>-8.3099999999999993E-2</v>
      </c>
      <c r="M27">
        <v>124.104</v>
      </c>
      <c r="N27">
        <v>123.904</v>
      </c>
      <c r="O27" t="s">
        <v>100</v>
      </c>
    </row>
    <row r="28" spans="1:18" x14ac:dyDescent="0.25">
      <c r="A28">
        <v>22</v>
      </c>
      <c r="B28" t="s">
        <v>13</v>
      </c>
      <c r="C28" t="s">
        <v>107</v>
      </c>
      <c r="D28">
        <v>145.262</v>
      </c>
      <c r="G28">
        <v>145.2141</v>
      </c>
      <c r="J28">
        <v>-4.7899999999999998E-2</v>
      </c>
      <c r="M28">
        <v>145.36199999999999</v>
      </c>
      <c r="N28">
        <v>145.16200000000001</v>
      </c>
      <c r="O28" t="s">
        <v>100</v>
      </c>
    </row>
    <row r="29" spans="1:18" x14ac:dyDescent="0.25">
      <c r="A29">
        <v>23</v>
      </c>
      <c r="B29" t="s">
        <v>14</v>
      </c>
      <c r="C29" t="s">
        <v>107</v>
      </c>
      <c r="D29">
        <v>145.774</v>
      </c>
      <c r="G29">
        <v>145.67169999999999</v>
      </c>
      <c r="J29">
        <v>-0.1023</v>
      </c>
      <c r="M29">
        <v>145.874</v>
      </c>
      <c r="N29">
        <v>145.67400000000001</v>
      </c>
      <c r="O29" t="s">
        <v>102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E0A2C-DCA8-4410-A84F-7F99ECDD56AD}">
  <sheetPr codeName="Sheet28"/>
  <dimension ref="A1:R29"/>
  <sheetViews>
    <sheetView workbookViewId="0"/>
  </sheetViews>
  <sheetFormatPr defaultRowHeight="15" x14ac:dyDescent="0.25"/>
  <cols>
    <col min="1" max="1" width="26.5703125" bestFit="1" customWidth="1"/>
    <col min="2" max="2" width="14.140625" bestFit="1" customWidth="1"/>
    <col min="3" max="3" width="18.28515625" bestFit="1" customWidth="1"/>
    <col min="4" max="4" width="8" bestFit="1" customWidth="1"/>
    <col min="5" max="5" width="5.7109375" bestFit="1" customWidth="1"/>
    <col min="6" max="6" width="2" bestFit="1" customWidth="1"/>
    <col min="7" max="7" width="9" bestFit="1" customWidth="1"/>
    <col min="8" max="8" width="8.7109375" bestFit="1" customWidth="1"/>
    <col min="9" max="9" width="7" bestFit="1" customWidth="1"/>
    <col min="10" max="10" width="7.7109375" bestFit="1" customWidth="1"/>
    <col min="11" max="12" width="7" bestFit="1" customWidth="1"/>
    <col min="13" max="14" width="8" bestFit="1" customWidth="1"/>
    <col min="15" max="15" width="5.42578125" bestFit="1" customWidth="1"/>
    <col min="16" max="16" width="7" bestFit="1" customWidth="1"/>
    <col min="17" max="17" width="5" bestFit="1" customWidth="1"/>
    <col min="18" max="18" width="5.42578125" bestFit="1" customWidth="1"/>
  </cols>
  <sheetData>
    <row r="1" spans="1:18" x14ac:dyDescent="0.25">
      <c r="A1" t="s">
        <v>86</v>
      </c>
      <c r="B1" t="s">
        <v>128</v>
      </c>
    </row>
    <row r="2" spans="1:18" x14ac:dyDescent="0.25">
      <c r="A2" t="s">
        <v>88</v>
      </c>
      <c r="B2" t="s">
        <v>89</v>
      </c>
    </row>
    <row r="3" spans="1:18" x14ac:dyDescent="0.25">
      <c r="A3" t="s">
        <v>90</v>
      </c>
      <c r="B3" t="s">
        <v>137</v>
      </c>
    </row>
    <row r="4" spans="1:18" x14ac:dyDescent="0.25">
      <c r="A4" t="s">
        <v>92</v>
      </c>
      <c r="B4" t="s">
        <v>93</v>
      </c>
    </row>
    <row r="5" spans="1:18" x14ac:dyDescent="0.25">
      <c r="A5" t="s">
        <v>94</v>
      </c>
    </row>
    <row r="6" spans="1:18" x14ac:dyDescent="0.25">
      <c r="A6" t="s">
        <v>95</v>
      </c>
    </row>
    <row r="7" spans="1:18" x14ac:dyDescent="0.25">
      <c r="A7" t="s">
        <v>96</v>
      </c>
    </row>
    <row r="8" spans="1:18" x14ac:dyDescent="0.25">
      <c r="A8" t="s">
        <v>88</v>
      </c>
    </row>
    <row r="9" spans="1:18" x14ac:dyDescent="0.25">
      <c r="A9" t="s">
        <v>97</v>
      </c>
    </row>
    <row r="10" spans="1:18" x14ac:dyDescent="0.25">
      <c r="A10">
        <v>4</v>
      </c>
      <c r="B10" t="s">
        <v>98</v>
      </c>
      <c r="C10" t="s">
        <v>99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P10">
        <v>0</v>
      </c>
      <c r="Q10">
        <v>0.05</v>
      </c>
      <c r="R10" t="s">
        <v>100</v>
      </c>
    </row>
    <row r="11" spans="1:18" x14ac:dyDescent="0.25">
      <c r="A11">
        <v>5</v>
      </c>
      <c r="B11" t="s">
        <v>101</v>
      </c>
      <c r="C11" t="s">
        <v>99</v>
      </c>
      <c r="D11">
        <v>62.5</v>
      </c>
      <c r="E11">
        <v>37.5</v>
      </c>
      <c r="F11">
        <v>0</v>
      </c>
      <c r="G11">
        <v>62.479399999999998</v>
      </c>
      <c r="H11">
        <v>37.517000000000003</v>
      </c>
      <c r="I11">
        <v>8.8099999999999998E-2</v>
      </c>
      <c r="J11">
        <v>-2.06E-2</v>
      </c>
      <c r="K11">
        <v>1.7000000000000001E-2</v>
      </c>
      <c r="L11">
        <v>8.8099999999999998E-2</v>
      </c>
      <c r="P11">
        <v>0.1842</v>
      </c>
      <c r="Q11">
        <v>0.05</v>
      </c>
      <c r="R11" t="s">
        <v>102</v>
      </c>
    </row>
    <row r="12" spans="1:18" x14ac:dyDescent="0.25">
      <c r="A12">
        <v>6</v>
      </c>
      <c r="B12" t="s">
        <v>103</v>
      </c>
      <c r="C12" t="s">
        <v>99</v>
      </c>
      <c r="D12">
        <v>-63.5</v>
      </c>
      <c r="E12">
        <v>37.5</v>
      </c>
      <c r="F12">
        <v>0</v>
      </c>
      <c r="G12">
        <v>-63.45</v>
      </c>
      <c r="H12">
        <v>37.517000000000003</v>
      </c>
      <c r="I12">
        <v>7.1199999999999999E-2</v>
      </c>
      <c r="J12">
        <v>0.05</v>
      </c>
      <c r="K12">
        <v>1.7000000000000001E-2</v>
      </c>
      <c r="L12">
        <v>7.1199999999999999E-2</v>
      </c>
      <c r="P12">
        <v>0.17730000000000001</v>
      </c>
      <c r="Q12">
        <v>0.05</v>
      </c>
      <c r="R12" t="s">
        <v>102</v>
      </c>
    </row>
    <row r="13" spans="1:18" x14ac:dyDescent="0.25">
      <c r="A13">
        <v>7</v>
      </c>
      <c r="B13" t="s">
        <v>104</v>
      </c>
      <c r="C13" t="s">
        <v>99</v>
      </c>
      <c r="D13">
        <v>-62.5</v>
      </c>
      <c r="E13">
        <v>-36.5</v>
      </c>
      <c r="F13">
        <v>0</v>
      </c>
      <c r="G13">
        <v>-62.476900000000001</v>
      </c>
      <c r="H13">
        <v>-36.4621</v>
      </c>
      <c r="I13">
        <v>8.8400000000000006E-2</v>
      </c>
      <c r="J13">
        <v>2.3099999999999999E-2</v>
      </c>
      <c r="K13">
        <v>3.7900000000000003E-2</v>
      </c>
      <c r="L13">
        <v>8.8400000000000006E-2</v>
      </c>
      <c r="P13">
        <v>0.1978</v>
      </c>
      <c r="Q13">
        <v>0.05</v>
      </c>
      <c r="R13" t="s">
        <v>102</v>
      </c>
    </row>
    <row r="14" spans="1:18" x14ac:dyDescent="0.25">
      <c r="A14">
        <v>8</v>
      </c>
      <c r="B14" t="s">
        <v>105</v>
      </c>
      <c r="C14" t="s">
        <v>99</v>
      </c>
      <c r="D14">
        <v>61.5</v>
      </c>
      <c r="E14">
        <v>-37.5</v>
      </c>
      <c r="F14">
        <v>0</v>
      </c>
      <c r="G14">
        <v>61.4407</v>
      </c>
      <c r="H14">
        <v>-37.466700000000003</v>
      </c>
      <c r="I14">
        <v>7.17E-2</v>
      </c>
      <c r="J14">
        <v>-5.9299999999999999E-2</v>
      </c>
      <c r="K14">
        <v>3.3300000000000003E-2</v>
      </c>
      <c r="L14">
        <v>7.17E-2</v>
      </c>
      <c r="P14">
        <v>0.1976</v>
      </c>
      <c r="Q14">
        <v>0.05</v>
      </c>
      <c r="R14" t="s">
        <v>102</v>
      </c>
    </row>
    <row r="15" spans="1:18" x14ac:dyDescent="0.25">
      <c r="A15">
        <v>9</v>
      </c>
      <c r="B15" t="s">
        <v>0</v>
      </c>
      <c r="C15" t="s">
        <v>106</v>
      </c>
      <c r="D15">
        <v>25.4</v>
      </c>
      <c r="G15">
        <v>25.398599999999998</v>
      </c>
      <c r="J15">
        <v>-1.4E-3</v>
      </c>
      <c r="M15">
        <v>25.5</v>
      </c>
      <c r="N15">
        <v>25.3</v>
      </c>
      <c r="O15" t="s">
        <v>100</v>
      </c>
      <c r="P15">
        <v>6.1999999999999998E-3</v>
      </c>
      <c r="Q15">
        <v>0.05</v>
      </c>
      <c r="R15" t="s">
        <v>100</v>
      </c>
    </row>
    <row r="16" spans="1:18" x14ac:dyDescent="0.25">
      <c r="A16">
        <v>10</v>
      </c>
      <c r="B16" t="s">
        <v>1</v>
      </c>
      <c r="C16" t="s">
        <v>106</v>
      </c>
      <c r="D16">
        <v>25.4</v>
      </c>
      <c r="G16">
        <v>25.4024</v>
      </c>
      <c r="J16">
        <v>2.3999999999999998E-3</v>
      </c>
      <c r="M16">
        <v>25.5</v>
      </c>
      <c r="N16">
        <v>25.3</v>
      </c>
      <c r="O16" t="s">
        <v>100</v>
      </c>
      <c r="P16">
        <v>8.5000000000000006E-3</v>
      </c>
      <c r="Q16">
        <v>0.05</v>
      </c>
      <c r="R16" t="s">
        <v>100</v>
      </c>
    </row>
    <row r="17" spans="1:18" x14ac:dyDescent="0.25">
      <c r="A17">
        <v>11</v>
      </c>
      <c r="B17" t="s">
        <v>2</v>
      </c>
      <c r="C17" t="s">
        <v>106</v>
      </c>
      <c r="D17">
        <v>25.4</v>
      </c>
      <c r="G17">
        <v>25.401900000000001</v>
      </c>
      <c r="J17">
        <v>1.9E-3</v>
      </c>
      <c r="M17">
        <v>25.5</v>
      </c>
      <c r="N17">
        <v>25.3</v>
      </c>
      <c r="O17" t="s">
        <v>100</v>
      </c>
      <c r="P17">
        <v>4.4999999999999997E-3</v>
      </c>
      <c r="Q17">
        <v>0.05</v>
      </c>
      <c r="R17" t="s">
        <v>100</v>
      </c>
    </row>
    <row r="18" spans="1:18" x14ac:dyDescent="0.25">
      <c r="A18">
        <v>12</v>
      </c>
      <c r="B18" t="s">
        <v>3</v>
      </c>
      <c r="C18" t="s">
        <v>106</v>
      </c>
      <c r="D18">
        <v>25.4</v>
      </c>
      <c r="G18">
        <v>25.403199999999998</v>
      </c>
      <c r="J18">
        <v>3.2000000000000002E-3</v>
      </c>
      <c r="M18">
        <v>25.5</v>
      </c>
      <c r="N18">
        <v>25.3</v>
      </c>
      <c r="O18" t="s">
        <v>100</v>
      </c>
      <c r="P18">
        <v>5.4999999999999997E-3</v>
      </c>
      <c r="Q18">
        <v>0.05</v>
      </c>
      <c r="R18" t="s">
        <v>100</v>
      </c>
    </row>
    <row r="19" spans="1:18" x14ac:dyDescent="0.25">
      <c r="A19">
        <v>13</v>
      </c>
      <c r="B19" t="s">
        <v>4</v>
      </c>
      <c r="C19" t="s">
        <v>106</v>
      </c>
      <c r="D19">
        <v>25.4</v>
      </c>
      <c r="G19">
        <v>25.402100000000001</v>
      </c>
      <c r="J19">
        <v>2.0999999999999999E-3</v>
      </c>
      <c r="M19">
        <v>25.5</v>
      </c>
      <c r="N19">
        <v>25.3</v>
      </c>
      <c r="O19" t="s">
        <v>100</v>
      </c>
      <c r="P19">
        <v>4.3E-3</v>
      </c>
      <c r="Q19">
        <v>0.05</v>
      </c>
      <c r="R19" t="s">
        <v>100</v>
      </c>
    </row>
    <row r="20" spans="1:18" x14ac:dyDescent="0.25">
      <c r="A20">
        <v>14</v>
      </c>
      <c r="B20" t="s">
        <v>5</v>
      </c>
      <c r="C20" t="s">
        <v>107</v>
      </c>
      <c r="D20">
        <v>72.887</v>
      </c>
      <c r="G20">
        <v>72.878</v>
      </c>
      <c r="J20">
        <v>-8.9999999999999993E-3</v>
      </c>
      <c r="M20">
        <v>72.986999999999995</v>
      </c>
      <c r="N20">
        <v>72.787000000000006</v>
      </c>
      <c r="O20" t="s">
        <v>100</v>
      </c>
    </row>
    <row r="21" spans="1:18" x14ac:dyDescent="0.25">
      <c r="A21">
        <v>15</v>
      </c>
      <c r="B21" t="s">
        <v>6</v>
      </c>
      <c r="C21" t="s">
        <v>107</v>
      </c>
      <c r="D21">
        <v>73.745999999999995</v>
      </c>
      <c r="G21">
        <v>73.711799999999997</v>
      </c>
      <c r="J21">
        <v>-3.4200000000000001E-2</v>
      </c>
      <c r="M21">
        <v>73.846000000000004</v>
      </c>
      <c r="N21">
        <v>73.646000000000001</v>
      </c>
      <c r="O21" t="s">
        <v>100</v>
      </c>
    </row>
    <row r="22" spans="1:18" x14ac:dyDescent="0.25">
      <c r="A22">
        <v>16</v>
      </c>
      <c r="B22" t="s">
        <v>7</v>
      </c>
      <c r="C22" t="s">
        <v>107</v>
      </c>
      <c r="D22">
        <v>72.376999999999995</v>
      </c>
      <c r="G22">
        <v>72.338499999999996</v>
      </c>
      <c r="J22">
        <v>-3.85E-2</v>
      </c>
      <c r="M22">
        <v>72.477000000000004</v>
      </c>
      <c r="N22">
        <v>72.277000000000001</v>
      </c>
      <c r="O22" t="s">
        <v>100</v>
      </c>
    </row>
    <row r="23" spans="1:18" x14ac:dyDescent="0.25">
      <c r="A23">
        <v>17</v>
      </c>
      <c r="B23" t="s">
        <v>8</v>
      </c>
      <c r="C23" t="s">
        <v>107</v>
      </c>
      <c r="D23">
        <v>72.031000000000006</v>
      </c>
      <c r="G23">
        <v>71.963300000000004</v>
      </c>
      <c r="J23">
        <v>-6.7699999999999996E-2</v>
      </c>
      <c r="M23">
        <v>72.131</v>
      </c>
      <c r="N23">
        <v>71.930999999999997</v>
      </c>
      <c r="O23" t="s">
        <v>100</v>
      </c>
    </row>
    <row r="24" spans="1:18" x14ac:dyDescent="0.25">
      <c r="A24">
        <v>18</v>
      </c>
      <c r="B24" t="s">
        <v>9</v>
      </c>
      <c r="C24" t="s">
        <v>107</v>
      </c>
      <c r="D24">
        <v>75.007000000000005</v>
      </c>
      <c r="G24">
        <v>74.990899999999996</v>
      </c>
      <c r="J24">
        <v>-1.61E-2</v>
      </c>
      <c r="M24">
        <v>75.106999999999999</v>
      </c>
      <c r="N24">
        <v>74.906999999999996</v>
      </c>
      <c r="O24" t="s">
        <v>100</v>
      </c>
    </row>
    <row r="25" spans="1:18" x14ac:dyDescent="0.25">
      <c r="A25">
        <v>19</v>
      </c>
      <c r="B25" t="s">
        <v>10</v>
      </c>
      <c r="C25" t="s">
        <v>107</v>
      </c>
      <c r="D25">
        <v>74.007000000000005</v>
      </c>
      <c r="G25">
        <v>73.985500000000002</v>
      </c>
      <c r="J25">
        <v>-2.1499999999999998E-2</v>
      </c>
      <c r="M25">
        <v>74.106999999999999</v>
      </c>
      <c r="N25">
        <v>73.906999999999996</v>
      </c>
      <c r="O25" t="s">
        <v>100</v>
      </c>
    </row>
    <row r="26" spans="1:18" x14ac:dyDescent="0.25">
      <c r="A26">
        <v>20</v>
      </c>
      <c r="B26" t="s">
        <v>11</v>
      </c>
      <c r="C26" t="s">
        <v>107</v>
      </c>
      <c r="D26">
        <v>126</v>
      </c>
      <c r="G26">
        <v>125.9294</v>
      </c>
      <c r="J26">
        <v>-7.0599999999999996E-2</v>
      </c>
      <c r="M26">
        <v>126.1</v>
      </c>
      <c r="N26">
        <v>125.9</v>
      </c>
      <c r="O26" t="s">
        <v>100</v>
      </c>
    </row>
    <row r="27" spans="1:18" x14ac:dyDescent="0.25">
      <c r="A27">
        <v>21</v>
      </c>
      <c r="B27" t="s">
        <v>12</v>
      </c>
      <c r="C27" t="s">
        <v>107</v>
      </c>
      <c r="D27">
        <v>124.004</v>
      </c>
      <c r="G27">
        <v>123.9217</v>
      </c>
      <c r="J27">
        <v>-8.2299999999999998E-2</v>
      </c>
      <c r="M27">
        <v>124.104</v>
      </c>
      <c r="N27">
        <v>123.904</v>
      </c>
      <c r="O27" t="s">
        <v>100</v>
      </c>
    </row>
    <row r="28" spans="1:18" x14ac:dyDescent="0.25">
      <c r="A28">
        <v>22</v>
      </c>
      <c r="B28" t="s">
        <v>13</v>
      </c>
      <c r="C28" t="s">
        <v>107</v>
      </c>
      <c r="D28">
        <v>145.262</v>
      </c>
      <c r="G28">
        <v>145.21360000000001</v>
      </c>
      <c r="J28">
        <v>-4.8399999999999999E-2</v>
      </c>
      <c r="M28">
        <v>145.36199999999999</v>
      </c>
      <c r="N28">
        <v>145.16200000000001</v>
      </c>
      <c r="O28" t="s">
        <v>100</v>
      </c>
    </row>
    <row r="29" spans="1:18" x14ac:dyDescent="0.25">
      <c r="A29">
        <v>23</v>
      </c>
      <c r="B29" t="s">
        <v>14</v>
      </c>
      <c r="C29" t="s">
        <v>107</v>
      </c>
      <c r="D29">
        <v>145.774</v>
      </c>
      <c r="G29">
        <v>145.67169999999999</v>
      </c>
      <c r="J29">
        <v>-0.1023</v>
      </c>
      <c r="M29">
        <v>145.874</v>
      </c>
      <c r="N29">
        <v>145.67400000000001</v>
      </c>
      <c r="O29" t="s">
        <v>102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74FC6-5178-43CE-8839-1C467D5B0483}">
  <sheetPr codeName="Sheet29"/>
  <dimension ref="A1:R29"/>
  <sheetViews>
    <sheetView workbookViewId="0"/>
  </sheetViews>
  <sheetFormatPr defaultRowHeight="15" x14ac:dyDescent="0.25"/>
  <cols>
    <col min="1" max="1" width="26.5703125" bestFit="1" customWidth="1"/>
    <col min="2" max="2" width="14.140625" bestFit="1" customWidth="1"/>
    <col min="3" max="3" width="18.28515625" bestFit="1" customWidth="1"/>
    <col min="4" max="4" width="8" bestFit="1" customWidth="1"/>
    <col min="5" max="5" width="5.7109375" bestFit="1" customWidth="1"/>
    <col min="6" max="6" width="2" bestFit="1" customWidth="1"/>
    <col min="7" max="7" width="9" bestFit="1" customWidth="1"/>
    <col min="8" max="8" width="8.7109375" bestFit="1" customWidth="1"/>
    <col min="9" max="9" width="7" bestFit="1" customWidth="1"/>
    <col min="10" max="10" width="7.7109375" bestFit="1" customWidth="1"/>
    <col min="11" max="12" width="7" bestFit="1" customWidth="1"/>
    <col min="13" max="14" width="8" bestFit="1" customWidth="1"/>
    <col min="15" max="15" width="5.42578125" bestFit="1" customWidth="1"/>
    <col min="16" max="16" width="7" bestFit="1" customWidth="1"/>
    <col min="17" max="17" width="5" bestFit="1" customWidth="1"/>
    <col min="18" max="18" width="5.42578125" bestFit="1" customWidth="1"/>
  </cols>
  <sheetData>
    <row r="1" spans="1:18" x14ac:dyDescent="0.25">
      <c r="A1" t="s">
        <v>86</v>
      </c>
      <c r="B1" t="s">
        <v>128</v>
      </c>
    </row>
    <row r="2" spans="1:18" x14ac:dyDescent="0.25">
      <c r="A2" t="s">
        <v>88</v>
      </c>
      <c r="B2" t="s">
        <v>89</v>
      </c>
    </row>
    <row r="3" spans="1:18" x14ac:dyDescent="0.25">
      <c r="A3" t="s">
        <v>90</v>
      </c>
      <c r="B3" t="s">
        <v>138</v>
      </c>
    </row>
    <row r="4" spans="1:18" x14ac:dyDescent="0.25">
      <c r="A4" t="s">
        <v>92</v>
      </c>
      <c r="B4" t="s">
        <v>109</v>
      </c>
    </row>
    <row r="5" spans="1:18" x14ac:dyDescent="0.25">
      <c r="A5" t="s">
        <v>94</v>
      </c>
    </row>
    <row r="6" spans="1:18" x14ac:dyDescent="0.25">
      <c r="A6" t="s">
        <v>95</v>
      </c>
    </row>
    <row r="7" spans="1:18" x14ac:dyDescent="0.25">
      <c r="A7" t="s">
        <v>96</v>
      </c>
    </row>
    <row r="8" spans="1:18" x14ac:dyDescent="0.25">
      <c r="A8" t="s">
        <v>88</v>
      </c>
    </row>
    <row r="9" spans="1:18" x14ac:dyDescent="0.25">
      <c r="A9" t="s">
        <v>97</v>
      </c>
    </row>
    <row r="10" spans="1:18" x14ac:dyDescent="0.25">
      <c r="A10">
        <v>4</v>
      </c>
      <c r="B10" t="s">
        <v>98</v>
      </c>
      <c r="C10" t="s">
        <v>99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P10">
        <v>0</v>
      </c>
      <c r="Q10">
        <v>0.05</v>
      </c>
      <c r="R10" t="s">
        <v>100</v>
      </c>
    </row>
    <row r="11" spans="1:18" x14ac:dyDescent="0.25">
      <c r="A11">
        <v>5</v>
      </c>
      <c r="B11" t="s">
        <v>101</v>
      </c>
      <c r="C11" t="s">
        <v>99</v>
      </c>
      <c r="D11">
        <v>62.5</v>
      </c>
      <c r="E11">
        <v>37.5</v>
      </c>
      <c r="F11">
        <v>0</v>
      </c>
      <c r="G11">
        <v>62.479300000000002</v>
      </c>
      <c r="H11">
        <v>37.517200000000003</v>
      </c>
      <c r="I11">
        <v>8.8400000000000006E-2</v>
      </c>
      <c r="J11">
        <v>-2.07E-2</v>
      </c>
      <c r="K11">
        <v>1.72E-2</v>
      </c>
      <c r="L11">
        <v>8.8400000000000006E-2</v>
      </c>
      <c r="P11">
        <v>0.18490000000000001</v>
      </c>
      <c r="Q11">
        <v>0.05</v>
      </c>
      <c r="R11" t="s">
        <v>102</v>
      </c>
    </row>
    <row r="12" spans="1:18" x14ac:dyDescent="0.25">
      <c r="A12">
        <v>6</v>
      </c>
      <c r="B12" t="s">
        <v>103</v>
      </c>
      <c r="C12" t="s">
        <v>99</v>
      </c>
      <c r="D12">
        <v>-63.5</v>
      </c>
      <c r="E12">
        <v>37.5</v>
      </c>
      <c r="F12">
        <v>0</v>
      </c>
      <c r="G12">
        <v>-63.4497</v>
      </c>
      <c r="H12">
        <v>37.517200000000003</v>
      </c>
      <c r="I12">
        <v>7.1199999999999999E-2</v>
      </c>
      <c r="J12">
        <v>5.0299999999999997E-2</v>
      </c>
      <c r="K12">
        <v>1.72E-2</v>
      </c>
      <c r="L12">
        <v>7.1199999999999999E-2</v>
      </c>
      <c r="P12">
        <v>0.1777</v>
      </c>
      <c r="Q12">
        <v>0.05</v>
      </c>
      <c r="R12" t="s">
        <v>102</v>
      </c>
    </row>
    <row r="13" spans="1:18" x14ac:dyDescent="0.25">
      <c r="A13">
        <v>7</v>
      </c>
      <c r="B13" t="s">
        <v>104</v>
      </c>
      <c r="C13" t="s">
        <v>99</v>
      </c>
      <c r="D13">
        <v>-62.5</v>
      </c>
      <c r="E13">
        <v>-36.5</v>
      </c>
      <c r="F13">
        <v>0</v>
      </c>
      <c r="G13">
        <v>-62.475900000000003</v>
      </c>
      <c r="H13">
        <v>-36.463799999999999</v>
      </c>
      <c r="I13">
        <v>8.8700000000000001E-2</v>
      </c>
      <c r="J13">
        <v>2.41E-2</v>
      </c>
      <c r="K13">
        <v>3.6200000000000003E-2</v>
      </c>
      <c r="L13">
        <v>8.8700000000000001E-2</v>
      </c>
      <c r="P13">
        <v>0.19750000000000001</v>
      </c>
      <c r="Q13">
        <v>0.05</v>
      </c>
      <c r="R13" t="s">
        <v>102</v>
      </c>
    </row>
    <row r="14" spans="1:18" x14ac:dyDescent="0.25">
      <c r="A14">
        <v>8</v>
      </c>
      <c r="B14" t="s">
        <v>105</v>
      </c>
      <c r="C14" t="s">
        <v>99</v>
      </c>
      <c r="D14">
        <v>61.5</v>
      </c>
      <c r="E14">
        <v>-37.5</v>
      </c>
      <c r="F14">
        <v>0</v>
      </c>
      <c r="G14">
        <v>61.441000000000003</v>
      </c>
      <c r="H14">
        <v>-37.466900000000003</v>
      </c>
      <c r="I14">
        <v>7.1599999999999997E-2</v>
      </c>
      <c r="J14">
        <v>-5.8999999999999997E-2</v>
      </c>
      <c r="K14">
        <v>3.3099999999999997E-2</v>
      </c>
      <c r="L14">
        <v>7.1599999999999997E-2</v>
      </c>
      <c r="P14">
        <v>0.19700000000000001</v>
      </c>
      <c r="Q14">
        <v>0.05</v>
      </c>
      <c r="R14" t="s">
        <v>102</v>
      </c>
    </row>
    <row r="15" spans="1:18" x14ac:dyDescent="0.25">
      <c r="A15">
        <v>9</v>
      </c>
      <c r="B15" t="s">
        <v>0</v>
      </c>
      <c r="C15" t="s">
        <v>106</v>
      </c>
      <c r="D15">
        <v>25.4</v>
      </c>
      <c r="G15">
        <v>25.398399999999999</v>
      </c>
      <c r="J15">
        <v>-1.6000000000000001E-3</v>
      </c>
      <c r="M15">
        <v>25.5</v>
      </c>
      <c r="N15">
        <v>25.3</v>
      </c>
      <c r="O15" t="s">
        <v>100</v>
      </c>
      <c r="P15">
        <v>5.1000000000000004E-3</v>
      </c>
      <c r="Q15">
        <v>0.05</v>
      </c>
      <c r="R15" t="s">
        <v>100</v>
      </c>
    </row>
    <row r="16" spans="1:18" x14ac:dyDescent="0.25">
      <c r="A16">
        <v>10</v>
      </c>
      <c r="B16" t="s">
        <v>1</v>
      </c>
      <c r="C16" t="s">
        <v>106</v>
      </c>
      <c r="D16">
        <v>25.4</v>
      </c>
      <c r="G16">
        <v>25.402200000000001</v>
      </c>
      <c r="J16">
        <v>2.2000000000000001E-3</v>
      </c>
      <c r="M16">
        <v>25.5</v>
      </c>
      <c r="N16">
        <v>25.3</v>
      </c>
      <c r="O16" t="s">
        <v>100</v>
      </c>
      <c r="P16">
        <v>8.0999999999999996E-3</v>
      </c>
      <c r="Q16">
        <v>0.05</v>
      </c>
      <c r="R16" t="s">
        <v>100</v>
      </c>
    </row>
    <row r="17" spans="1:18" x14ac:dyDescent="0.25">
      <c r="A17">
        <v>11</v>
      </c>
      <c r="B17" t="s">
        <v>2</v>
      </c>
      <c r="C17" t="s">
        <v>106</v>
      </c>
      <c r="D17">
        <v>25.4</v>
      </c>
      <c r="G17">
        <v>25.401700000000002</v>
      </c>
      <c r="J17">
        <v>1.6999999999999999E-3</v>
      </c>
      <c r="M17">
        <v>25.5</v>
      </c>
      <c r="N17">
        <v>25.3</v>
      </c>
      <c r="O17" t="s">
        <v>100</v>
      </c>
      <c r="P17">
        <v>5.4000000000000003E-3</v>
      </c>
      <c r="Q17">
        <v>0.05</v>
      </c>
      <c r="R17" t="s">
        <v>100</v>
      </c>
    </row>
    <row r="18" spans="1:18" x14ac:dyDescent="0.25">
      <c r="A18">
        <v>12</v>
      </c>
      <c r="B18" t="s">
        <v>3</v>
      </c>
      <c r="C18" t="s">
        <v>106</v>
      </c>
      <c r="D18">
        <v>25.4</v>
      </c>
      <c r="G18">
        <v>25.403300000000002</v>
      </c>
      <c r="J18">
        <v>3.3E-3</v>
      </c>
      <c r="M18">
        <v>25.5</v>
      </c>
      <c r="N18">
        <v>25.3</v>
      </c>
      <c r="O18" t="s">
        <v>100</v>
      </c>
      <c r="P18">
        <v>9.5999999999999992E-3</v>
      </c>
      <c r="Q18">
        <v>0.05</v>
      </c>
      <c r="R18" t="s">
        <v>100</v>
      </c>
    </row>
    <row r="19" spans="1:18" x14ac:dyDescent="0.25">
      <c r="A19">
        <v>13</v>
      </c>
      <c r="B19" t="s">
        <v>4</v>
      </c>
      <c r="C19" t="s">
        <v>106</v>
      </c>
      <c r="D19">
        <v>25.4</v>
      </c>
      <c r="G19">
        <v>25.402100000000001</v>
      </c>
      <c r="J19">
        <v>2.0999999999999999E-3</v>
      </c>
      <c r="M19">
        <v>25.5</v>
      </c>
      <c r="N19">
        <v>25.3</v>
      </c>
      <c r="O19" t="s">
        <v>100</v>
      </c>
      <c r="P19">
        <v>3.7000000000000002E-3</v>
      </c>
      <c r="Q19">
        <v>0.05</v>
      </c>
      <c r="R19" t="s">
        <v>100</v>
      </c>
    </row>
    <row r="20" spans="1:18" x14ac:dyDescent="0.25">
      <c r="A20">
        <v>14</v>
      </c>
      <c r="B20" t="s">
        <v>5</v>
      </c>
      <c r="C20" t="s">
        <v>107</v>
      </c>
      <c r="D20">
        <v>72.887</v>
      </c>
      <c r="G20">
        <v>72.878</v>
      </c>
      <c r="J20">
        <v>-8.9999999999999993E-3</v>
      </c>
      <c r="M20">
        <v>72.986999999999995</v>
      </c>
      <c r="N20">
        <v>72.787000000000006</v>
      </c>
      <c r="O20" t="s">
        <v>100</v>
      </c>
    </row>
    <row r="21" spans="1:18" x14ac:dyDescent="0.25">
      <c r="A21">
        <v>15</v>
      </c>
      <c r="B21" t="s">
        <v>6</v>
      </c>
      <c r="C21" t="s">
        <v>107</v>
      </c>
      <c r="D21">
        <v>73.745999999999995</v>
      </c>
      <c r="G21">
        <v>73.711699999999993</v>
      </c>
      <c r="J21">
        <v>-3.4299999999999997E-2</v>
      </c>
      <c r="M21">
        <v>73.846000000000004</v>
      </c>
      <c r="N21">
        <v>73.646000000000001</v>
      </c>
      <c r="O21" t="s">
        <v>100</v>
      </c>
    </row>
    <row r="22" spans="1:18" x14ac:dyDescent="0.25">
      <c r="A22">
        <v>16</v>
      </c>
      <c r="B22" t="s">
        <v>7</v>
      </c>
      <c r="C22" t="s">
        <v>107</v>
      </c>
      <c r="D22">
        <v>72.376999999999995</v>
      </c>
      <c r="G22">
        <v>72.338399999999993</v>
      </c>
      <c r="J22">
        <v>-3.8600000000000002E-2</v>
      </c>
      <c r="M22">
        <v>72.477000000000004</v>
      </c>
      <c r="N22">
        <v>72.277000000000001</v>
      </c>
      <c r="O22" t="s">
        <v>100</v>
      </c>
    </row>
    <row r="23" spans="1:18" x14ac:dyDescent="0.25">
      <c r="A23">
        <v>17</v>
      </c>
      <c r="B23" t="s">
        <v>8</v>
      </c>
      <c r="C23" t="s">
        <v>107</v>
      </c>
      <c r="D23">
        <v>72.031000000000006</v>
      </c>
      <c r="G23">
        <v>71.963700000000003</v>
      </c>
      <c r="J23">
        <v>-6.7299999999999999E-2</v>
      </c>
      <c r="M23">
        <v>72.131</v>
      </c>
      <c r="N23">
        <v>71.930999999999997</v>
      </c>
      <c r="O23" t="s">
        <v>100</v>
      </c>
    </row>
    <row r="24" spans="1:18" x14ac:dyDescent="0.25">
      <c r="A24">
        <v>18</v>
      </c>
      <c r="B24" t="s">
        <v>9</v>
      </c>
      <c r="C24" t="s">
        <v>107</v>
      </c>
      <c r="D24">
        <v>75.007000000000005</v>
      </c>
      <c r="G24">
        <v>74.991299999999995</v>
      </c>
      <c r="J24">
        <v>-1.5699999999999999E-2</v>
      </c>
      <c r="M24">
        <v>75.106999999999999</v>
      </c>
      <c r="N24">
        <v>74.906999999999996</v>
      </c>
      <c r="O24" t="s">
        <v>100</v>
      </c>
    </row>
    <row r="25" spans="1:18" x14ac:dyDescent="0.25">
      <c r="A25">
        <v>19</v>
      </c>
      <c r="B25" t="s">
        <v>10</v>
      </c>
      <c r="C25" t="s">
        <v>107</v>
      </c>
      <c r="D25">
        <v>74.007000000000005</v>
      </c>
      <c r="G25">
        <v>73.987399999999994</v>
      </c>
      <c r="J25">
        <v>-1.9599999999999999E-2</v>
      </c>
      <c r="M25">
        <v>74.106999999999999</v>
      </c>
      <c r="N25">
        <v>73.906999999999996</v>
      </c>
      <c r="O25" t="s">
        <v>100</v>
      </c>
    </row>
    <row r="26" spans="1:18" x14ac:dyDescent="0.25">
      <c r="A26">
        <v>20</v>
      </c>
      <c r="B26" t="s">
        <v>11</v>
      </c>
      <c r="C26" t="s">
        <v>107</v>
      </c>
      <c r="D26">
        <v>126</v>
      </c>
      <c r="G26">
        <v>125.929</v>
      </c>
      <c r="J26">
        <v>-7.0999999999999994E-2</v>
      </c>
      <c r="M26">
        <v>126.1</v>
      </c>
      <c r="N26">
        <v>125.9</v>
      </c>
      <c r="O26" t="s">
        <v>100</v>
      </c>
    </row>
    <row r="27" spans="1:18" x14ac:dyDescent="0.25">
      <c r="A27">
        <v>21</v>
      </c>
      <c r="B27" t="s">
        <v>12</v>
      </c>
      <c r="C27" t="s">
        <v>107</v>
      </c>
      <c r="D27">
        <v>124.004</v>
      </c>
      <c r="G27">
        <v>123.92100000000001</v>
      </c>
      <c r="J27">
        <v>-8.3000000000000004E-2</v>
      </c>
      <c r="M27">
        <v>124.104</v>
      </c>
      <c r="N27">
        <v>123.904</v>
      </c>
      <c r="O27" t="s">
        <v>100</v>
      </c>
    </row>
    <row r="28" spans="1:18" x14ac:dyDescent="0.25">
      <c r="A28">
        <v>22</v>
      </c>
      <c r="B28" t="s">
        <v>13</v>
      </c>
      <c r="C28" t="s">
        <v>107</v>
      </c>
      <c r="D28">
        <v>145.262</v>
      </c>
      <c r="G28">
        <v>145.21360000000001</v>
      </c>
      <c r="J28">
        <v>-4.8399999999999999E-2</v>
      </c>
      <c r="M28">
        <v>145.36199999999999</v>
      </c>
      <c r="N28">
        <v>145.16200000000001</v>
      </c>
      <c r="O28" t="s">
        <v>100</v>
      </c>
    </row>
    <row r="29" spans="1:18" x14ac:dyDescent="0.25">
      <c r="A29">
        <v>23</v>
      </c>
      <c r="B29" t="s">
        <v>14</v>
      </c>
      <c r="C29" t="s">
        <v>107</v>
      </c>
      <c r="D29">
        <v>145.774</v>
      </c>
      <c r="G29">
        <v>145.672</v>
      </c>
      <c r="J29">
        <v>-0.10199999999999999</v>
      </c>
      <c r="M29">
        <v>145.874</v>
      </c>
      <c r="N29">
        <v>145.67400000000001</v>
      </c>
      <c r="O29" t="s">
        <v>102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D0892-E0FE-42FF-8D04-C7473D96A40F}">
  <sheetPr codeName="Sheet30"/>
  <dimension ref="A1:R29"/>
  <sheetViews>
    <sheetView workbookViewId="0"/>
  </sheetViews>
  <sheetFormatPr defaultRowHeight="15" x14ac:dyDescent="0.25"/>
  <cols>
    <col min="1" max="1" width="26.5703125" bestFit="1" customWidth="1"/>
    <col min="2" max="2" width="14.140625" bestFit="1" customWidth="1"/>
    <col min="3" max="3" width="18.28515625" bestFit="1" customWidth="1"/>
    <col min="4" max="4" width="8" bestFit="1" customWidth="1"/>
    <col min="5" max="5" width="5.7109375" bestFit="1" customWidth="1"/>
    <col min="6" max="6" width="2" bestFit="1" customWidth="1"/>
    <col min="7" max="7" width="9" bestFit="1" customWidth="1"/>
    <col min="8" max="8" width="8.7109375" bestFit="1" customWidth="1"/>
    <col min="9" max="9" width="7" bestFit="1" customWidth="1"/>
    <col min="10" max="10" width="7.7109375" bestFit="1" customWidth="1"/>
    <col min="11" max="12" width="7" bestFit="1" customWidth="1"/>
    <col min="13" max="14" width="8" bestFit="1" customWidth="1"/>
    <col min="15" max="15" width="5.42578125" bestFit="1" customWidth="1"/>
    <col min="16" max="16" width="7" bestFit="1" customWidth="1"/>
    <col min="17" max="17" width="5" bestFit="1" customWidth="1"/>
    <col min="18" max="18" width="5.42578125" bestFit="1" customWidth="1"/>
  </cols>
  <sheetData>
    <row r="1" spans="1:18" x14ac:dyDescent="0.25">
      <c r="A1" t="s">
        <v>86</v>
      </c>
      <c r="B1" t="s">
        <v>128</v>
      </c>
    </row>
    <row r="2" spans="1:18" x14ac:dyDescent="0.25">
      <c r="A2" t="s">
        <v>88</v>
      </c>
      <c r="B2" t="s">
        <v>89</v>
      </c>
    </row>
    <row r="3" spans="1:18" x14ac:dyDescent="0.25">
      <c r="A3" t="s">
        <v>90</v>
      </c>
      <c r="B3" t="s">
        <v>139</v>
      </c>
    </row>
    <row r="4" spans="1:18" x14ac:dyDescent="0.25">
      <c r="A4" t="s">
        <v>92</v>
      </c>
      <c r="B4" t="s">
        <v>93</v>
      </c>
    </row>
    <row r="5" spans="1:18" x14ac:dyDescent="0.25">
      <c r="A5" t="s">
        <v>94</v>
      </c>
    </row>
    <row r="6" spans="1:18" x14ac:dyDescent="0.25">
      <c r="A6" t="s">
        <v>95</v>
      </c>
    </row>
    <row r="7" spans="1:18" x14ac:dyDescent="0.25">
      <c r="A7" t="s">
        <v>96</v>
      </c>
    </row>
    <row r="8" spans="1:18" x14ac:dyDescent="0.25">
      <c r="A8" t="s">
        <v>88</v>
      </c>
    </row>
    <row r="9" spans="1:18" x14ac:dyDescent="0.25">
      <c r="A9" t="s">
        <v>97</v>
      </c>
    </row>
    <row r="10" spans="1:18" x14ac:dyDescent="0.25">
      <c r="A10">
        <v>4</v>
      </c>
      <c r="B10" t="s">
        <v>98</v>
      </c>
      <c r="C10" t="s">
        <v>99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P10">
        <v>0</v>
      </c>
      <c r="Q10">
        <v>0.05</v>
      </c>
      <c r="R10" t="s">
        <v>100</v>
      </c>
    </row>
    <row r="11" spans="1:18" x14ac:dyDescent="0.25">
      <c r="A11">
        <v>5</v>
      </c>
      <c r="B11" t="s">
        <v>101</v>
      </c>
      <c r="C11" t="s">
        <v>99</v>
      </c>
      <c r="D11">
        <v>62.5</v>
      </c>
      <c r="E11">
        <v>37.5</v>
      </c>
      <c r="F11">
        <v>0</v>
      </c>
      <c r="G11">
        <v>62.478900000000003</v>
      </c>
      <c r="H11">
        <v>37.5167</v>
      </c>
      <c r="I11">
        <v>8.8499999999999995E-2</v>
      </c>
      <c r="J11">
        <v>-2.1100000000000001E-2</v>
      </c>
      <c r="K11">
        <v>1.67E-2</v>
      </c>
      <c r="L11">
        <v>8.8499999999999995E-2</v>
      </c>
      <c r="P11">
        <v>0.18490000000000001</v>
      </c>
      <c r="Q11">
        <v>0.05</v>
      </c>
      <c r="R11" t="s">
        <v>102</v>
      </c>
    </row>
    <row r="12" spans="1:18" x14ac:dyDescent="0.25">
      <c r="A12">
        <v>6</v>
      </c>
      <c r="B12" t="s">
        <v>103</v>
      </c>
      <c r="C12" t="s">
        <v>99</v>
      </c>
      <c r="D12">
        <v>-63.5</v>
      </c>
      <c r="E12">
        <v>37.5</v>
      </c>
      <c r="F12">
        <v>0</v>
      </c>
      <c r="G12">
        <v>-63.450200000000002</v>
      </c>
      <c r="H12">
        <v>37.5167</v>
      </c>
      <c r="I12">
        <v>7.1599999999999997E-2</v>
      </c>
      <c r="J12">
        <v>4.9799999999999997E-2</v>
      </c>
      <c r="K12">
        <v>1.67E-2</v>
      </c>
      <c r="L12">
        <v>7.1599999999999997E-2</v>
      </c>
      <c r="P12">
        <v>0.17760000000000001</v>
      </c>
      <c r="Q12">
        <v>0.05</v>
      </c>
      <c r="R12" t="s">
        <v>102</v>
      </c>
    </row>
    <row r="13" spans="1:18" x14ac:dyDescent="0.25">
      <c r="A13">
        <v>7</v>
      </c>
      <c r="B13" t="s">
        <v>104</v>
      </c>
      <c r="C13" t="s">
        <v>99</v>
      </c>
      <c r="D13">
        <v>-62.5</v>
      </c>
      <c r="E13">
        <v>-36.5</v>
      </c>
      <c r="F13">
        <v>0</v>
      </c>
      <c r="G13">
        <v>-62.476399999999998</v>
      </c>
      <c r="H13">
        <v>-36.464199999999998</v>
      </c>
      <c r="I13">
        <v>8.8700000000000001E-2</v>
      </c>
      <c r="J13">
        <v>2.3599999999999999E-2</v>
      </c>
      <c r="K13">
        <v>3.5799999999999998E-2</v>
      </c>
      <c r="L13">
        <v>8.8700000000000001E-2</v>
      </c>
      <c r="P13">
        <v>0.1971</v>
      </c>
      <c r="Q13">
        <v>0.05</v>
      </c>
      <c r="R13" t="s">
        <v>102</v>
      </c>
    </row>
    <row r="14" spans="1:18" x14ac:dyDescent="0.25">
      <c r="A14">
        <v>8</v>
      </c>
      <c r="B14" t="s">
        <v>105</v>
      </c>
      <c r="C14" t="s">
        <v>99</v>
      </c>
      <c r="D14">
        <v>61.5</v>
      </c>
      <c r="E14">
        <v>-37.5</v>
      </c>
      <c r="F14">
        <v>0</v>
      </c>
      <c r="G14">
        <v>61.440600000000003</v>
      </c>
      <c r="H14">
        <v>-37.467399999999998</v>
      </c>
      <c r="I14">
        <v>7.2099999999999997E-2</v>
      </c>
      <c r="J14">
        <v>-5.9400000000000001E-2</v>
      </c>
      <c r="K14">
        <v>3.2599999999999997E-2</v>
      </c>
      <c r="L14">
        <v>7.2099999999999997E-2</v>
      </c>
      <c r="P14">
        <v>0.19789999999999999</v>
      </c>
      <c r="Q14">
        <v>0.05</v>
      </c>
      <c r="R14" t="s">
        <v>102</v>
      </c>
    </row>
    <row r="15" spans="1:18" x14ac:dyDescent="0.25">
      <c r="A15">
        <v>9</v>
      </c>
      <c r="B15" t="s">
        <v>0</v>
      </c>
      <c r="C15" t="s">
        <v>106</v>
      </c>
      <c r="D15">
        <v>25.4</v>
      </c>
      <c r="G15">
        <v>25.398700000000002</v>
      </c>
      <c r="J15">
        <v>-1.2999999999999999E-3</v>
      </c>
      <c r="M15">
        <v>25.5</v>
      </c>
      <c r="N15">
        <v>25.3</v>
      </c>
      <c r="O15" t="s">
        <v>100</v>
      </c>
      <c r="P15">
        <v>4.5999999999999999E-3</v>
      </c>
      <c r="Q15">
        <v>0.05</v>
      </c>
      <c r="R15" t="s">
        <v>100</v>
      </c>
    </row>
    <row r="16" spans="1:18" x14ac:dyDescent="0.25">
      <c r="A16">
        <v>10</v>
      </c>
      <c r="B16" t="s">
        <v>1</v>
      </c>
      <c r="C16" t="s">
        <v>106</v>
      </c>
      <c r="D16">
        <v>25.4</v>
      </c>
      <c r="G16">
        <v>25.401599999999998</v>
      </c>
      <c r="J16">
        <v>1.6000000000000001E-3</v>
      </c>
      <c r="M16">
        <v>25.5</v>
      </c>
      <c r="N16">
        <v>25.3</v>
      </c>
      <c r="O16" t="s">
        <v>100</v>
      </c>
      <c r="P16">
        <v>7.1000000000000004E-3</v>
      </c>
      <c r="Q16">
        <v>0.05</v>
      </c>
      <c r="R16" t="s">
        <v>100</v>
      </c>
    </row>
    <row r="17" spans="1:18" x14ac:dyDescent="0.25">
      <c r="A17">
        <v>11</v>
      </c>
      <c r="B17" t="s">
        <v>2</v>
      </c>
      <c r="C17" t="s">
        <v>106</v>
      </c>
      <c r="D17">
        <v>25.4</v>
      </c>
      <c r="G17">
        <v>25.401599999999998</v>
      </c>
      <c r="J17">
        <v>1.6000000000000001E-3</v>
      </c>
      <c r="M17">
        <v>25.5</v>
      </c>
      <c r="N17">
        <v>25.3</v>
      </c>
      <c r="O17" t="s">
        <v>100</v>
      </c>
      <c r="P17">
        <v>4.4999999999999997E-3</v>
      </c>
      <c r="Q17">
        <v>0.05</v>
      </c>
      <c r="R17" t="s">
        <v>100</v>
      </c>
    </row>
    <row r="18" spans="1:18" x14ac:dyDescent="0.25">
      <c r="A18">
        <v>12</v>
      </c>
      <c r="B18" t="s">
        <v>3</v>
      </c>
      <c r="C18" t="s">
        <v>106</v>
      </c>
      <c r="D18">
        <v>25.4</v>
      </c>
      <c r="G18">
        <v>25.403600000000001</v>
      </c>
      <c r="J18">
        <v>3.5999999999999999E-3</v>
      </c>
      <c r="M18">
        <v>25.5</v>
      </c>
      <c r="N18">
        <v>25.3</v>
      </c>
      <c r="O18" t="s">
        <v>100</v>
      </c>
      <c r="P18">
        <v>8.3999999999999995E-3</v>
      </c>
      <c r="Q18">
        <v>0.05</v>
      </c>
      <c r="R18" t="s">
        <v>100</v>
      </c>
    </row>
    <row r="19" spans="1:18" x14ac:dyDescent="0.25">
      <c r="A19">
        <v>13</v>
      </c>
      <c r="B19" t="s">
        <v>4</v>
      </c>
      <c r="C19" t="s">
        <v>106</v>
      </c>
      <c r="D19">
        <v>25.4</v>
      </c>
      <c r="G19">
        <v>25.401800000000001</v>
      </c>
      <c r="J19">
        <v>1.8E-3</v>
      </c>
      <c r="M19">
        <v>25.5</v>
      </c>
      <c r="N19">
        <v>25.3</v>
      </c>
      <c r="O19" t="s">
        <v>100</v>
      </c>
      <c r="P19">
        <v>4.4999999999999997E-3</v>
      </c>
      <c r="Q19">
        <v>0.05</v>
      </c>
      <c r="R19" t="s">
        <v>100</v>
      </c>
    </row>
    <row r="20" spans="1:18" x14ac:dyDescent="0.25">
      <c r="A20">
        <v>14</v>
      </c>
      <c r="B20" t="s">
        <v>5</v>
      </c>
      <c r="C20" t="s">
        <v>107</v>
      </c>
      <c r="D20">
        <v>72.887</v>
      </c>
      <c r="G20">
        <v>72.877399999999994</v>
      </c>
      <c r="J20">
        <v>-9.5999999999999992E-3</v>
      </c>
      <c r="M20">
        <v>72.986999999999995</v>
      </c>
      <c r="N20">
        <v>72.787000000000006</v>
      </c>
      <c r="O20" t="s">
        <v>100</v>
      </c>
    </row>
    <row r="21" spans="1:18" x14ac:dyDescent="0.25">
      <c r="A21">
        <v>15</v>
      </c>
      <c r="B21" t="s">
        <v>6</v>
      </c>
      <c r="C21" t="s">
        <v>107</v>
      </c>
      <c r="D21">
        <v>73.745999999999995</v>
      </c>
      <c r="G21">
        <v>73.711799999999997</v>
      </c>
      <c r="J21">
        <v>-3.4200000000000001E-2</v>
      </c>
      <c r="M21">
        <v>73.846000000000004</v>
      </c>
      <c r="N21">
        <v>73.646000000000001</v>
      </c>
      <c r="O21" t="s">
        <v>100</v>
      </c>
    </row>
    <row r="22" spans="1:18" x14ac:dyDescent="0.25">
      <c r="A22">
        <v>16</v>
      </c>
      <c r="B22" t="s">
        <v>7</v>
      </c>
      <c r="C22" t="s">
        <v>107</v>
      </c>
      <c r="D22">
        <v>72.376999999999995</v>
      </c>
      <c r="G22">
        <v>72.339100000000002</v>
      </c>
      <c r="J22">
        <v>-3.7900000000000003E-2</v>
      </c>
      <c r="M22">
        <v>72.477000000000004</v>
      </c>
      <c r="N22">
        <v>72.277000000000001</v>
      </c>
      <c r="O22" t="s">
        <v>100</v>
      </c>
    </row>
    <row r="23" spans="1:18" x14ac:dyDescent="0.25">
      <c r="A23">
        <v>17</v>
      </c>
      <c r="B23" t="s">
        <v>8</v>
      </c>
      <c r="C23" t="s">
        <v>107</v>
      </c>
      <c r="D23">
        <v>72.031000000000006</v>
      </c>
      <c r="G23">
        <v>71.963499999999996</v>
      </c>
      <c r="J23">
        <v>-6.7500000000000004E-2</v>
      </c>
      <c r="M23">
        <v>72.131</v>
      </c>
      <c r="N23">
        <v>71.930999999999997</v>
      </c>
      <c r="O23" t="s">
        <v>100</v>
      </c>
    </row>
    <row r="24" spans="1:18" x14ac:dyDescent="0.25">
      <c r="A24">
        <v>18</v>
      </c>
      <c r="B24" t="s">
        <v>9</v>
      </c>
      <c r="C24" t="s">
        <v>107</v>
      </c>
      <c r="D24">
        <v>75.007000000000005</v>
      </c>
      <c r="G24">
        <v>74.991200000000006</v>
      </c>
      <c r="J24">
        <v>-1.5800000000000002E-2</v>
      </c>
      <c r="M24">
        <v>75.106999999999999</v>
      </c>
      <c r="N24">
        <v>74.906999999999996</v>
      </c>
      <c r="O24" t="s">
        <v>100</v>
      </c>
    </row>
    <row r="25" spans="1:18" x14ac:dyDescent="0.25">
      <c r="A25">
        <v>19</v>
      </c>
      <c r="B25" t="s">
        <v>10</v>
      </c>
      <c r="C25" t="s">
        <v>107</v>
      </c>
      <c r="D25">
        <v>74.007000000000005</v>
      </c>
      <c r="G25">
        <v>73.987200000000001</v>
      </c>
      <c r="J25">
        <v>-1.9800000000000002E-2</v>
      </c>
      <c r="M25">
        <v>74.106999999999999</v>
      </c>
      <c r="N25">
        <v>73.906999999999996</v>
      </c>
      <c r="O25" t="s">
        <v>100</v>
      </c>
    </row>
    <row r="26" spans="1:18" x14ac:dyDescent="0.25">
      <c r="A26">
        <v>20</v>
      </c>
      <c r="B26" t="s">
        <v>11</v>
      </c>
      <c r="C26" t="s">
        <v>107</v>
      </c>
      <c r="D26">
        <v>126</v>
      </c>
      <c r="G26">
        <v>125.92910000000001</v>
      </c>
      <c r="J26">
        <v>-7.0900000000000005E-2</v>
      </c>
      <c r="M26">
        <v>126.1</v>
      </c>
      <c r="N26">
        <v>125.9</v>
      </c>
      <c r="O26" t="s">
        <v>100</v>
      </c>
    </row>
    <row r="27" spans="1:18" x14ac:dyDescent="0.25">
      <c r="A27">
        <v>21</v>
      </c>
      <c r="B27" t="s">
        <v>12</v>
      </c>
      <c r="C27" t="s">
        <v>107</v>
      </c>
      <c r="D27">
        <v>124.004</v>
      </c>
      <c r="G27">
        <v>123.92100000000001</v>
      </c>
      <c r="J27">
        <v>-8.3000000000000004E-2</v>
      </c>
      <c r="M27">
        <v>124.104</v>
      </c>
      <c r="N27">
        <v>123.904</v>
      </c>
      <c r="O27" t="s">
        <v>100</v>
      </c>
    </row>
    <row r="28" spans="1:18" x14ac:dyDescent="0.25">
      <c r="A28">
        <v>22</v>
      </c>
      <c r="B28" t="s">
        <v>13</v>
      </c>
      <c r="C28" t="s">
        <v>107</v>
      </c>
      <c r="D28">
        <v>145.262</v>
      </c>
      <c r="G28">
        <v>145.21360000000001</v>
      </c>
      <c r="J28">
        <v>-4.8399999999999999E-2</v>
      </c>
      <c r="M28">
        <v>145.36199999999999</v>
      </c>
      <c r="N28">
        <v>145.16200000000001</v>
      </c>
      <c r="O28" t="s">
        <v>100</v>
      </c>
    </row>
    <row r="29" spans="1:18" x14ac:dyDescent="0.25">
      <c r="A29">
        <v>23</v>
      </c>
      <c r="B29" t="s">
        <v>14</v>
      </c>
      <c r="C29" t="s">
        <v>107</v>
      </c>
      <c r="D29">
        <v>145.774</v>
      </c>
      <c r="G29">
        <v>145.67189999999999</v>
      </c>
      <c r="J29">
        <v>-0.1021</v>
      </c>
      <c r="M29">
        <v>145.874</v>
      </c>
      <c r="N29">
        <v>145.67400000000001</v>
      </c>
      <c r="O29" t="s">
        <v>102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06E25-25D9-4937-B598-C1C867741762}">
  <sheetPr codeName="Sheet31"/>
  <dimension ref="A1:R29"/>
  <sheetViews>
    <sheetView workbookViewId="0"/>
  </sheetViews>
  <sheetFormatPr defaultRowHeight="15" x14ac:dyDescent="0.25"/>
  <cols>
    <col min="1" max="1" width="26.5703125" bestFit="1" customWidth="1"/>
    <col min="2" max="2" width="14.140625" bestFit="1" customWidth="1"/>
    <col min="3" max="3" width="18.28515625" bestFit="1" customWidth="1"/>
    <col min="4" max="4" width="8" bestFit="1" customWidth="1"/>
    <col min="5" max="5" width="5.7109375" bestFit="1" customWidth="1"/>
    <col min="6" max="6" width="2" bestFit="1" customWidth="1"/>
    <col min="7" max="7" width="9" bestFit="1" customWidth="1"/>
    <col min="8" max="8" width="8.7109375" bestFit="1" customWidth="1"/>
    <col min="9" max="9" width="7" bestFit="1" customWidth="1"/>
    <col min="10" max="10" width="7.7109375" bestFit="1" customWidth="1"/>
    <col min="11" max="12" width="7" bestFit="1" customWidth="1"/>
    <col min="13" max="14" width="8" bestFit="1" customWidth="1"/>
    <col min="15" max="15" width="5.42578125" bestFit="1" customWidth="1"/>
    <col min="16" max="16" width="7" bestFit="1" customWidth="1"/>
    <col min="17" max="17" width="5" bestFit="1" customWidth="1"/>
    <col min="18" max="18" width="5.42578125" bestFit="1" customWidth="1"/>
  </cols>
  <sheetData>
    <row r="1" spans="1:18" x14ac:dyDescent="0.25">
      <c r="A1" t="s">
        <v>86</v>
      </c>
      <c r="B1" t="s">
        <v>128</v>
      </c>
    </row>
    <row r="2" spans="1:18" x14ac:dyDescent="0.25">
      <c r="A2" t="s">
        <v>88</v>
      </c>
      <c r="B2" t="s">
        <v>89</v>
      </c>
    </row>
    <row r="3" spans="1:18" x14ac:dyDescent="0.25">
      <c r="A3" t="s">
        <v>90</v>
      </c>
      <c r="B3" t="s">
        <v>140</v>
      </c>
    </row>
    <row r="4" spans="1:18" x14ac:dyDescent="0.25">
      <c r="A4" t="s">
        <v>92</v>
      </c>
      <c r="B4" t="s">
        <v>109</v>
      </c>
    </row>
    <row r="5" spans="1:18" x14ac:dyDescent="0.25">
      <c r="A5" t="s">
        <v>94</v>
      </c>
    </row>
    <row r="6" spans="1:18" x14ac:dyDescent="0.25">
      <c r="A6" t="s">
        <v>95</v>
      </c>
    </row>
    <row r="7" spans="1:18" x14ac:dyDescent="0.25">
      <c r="A7" t="s">
        <v>96</v>
      </c>
    </row>
    <row r="8" spans="1:18" x14ac:dyDescent="0.25">
      <c r="A8" t="s">
        <v>88</v>
      </c>
    </row>
    <row r="9" spans="1:18" x14ac:dyDescent="0.25">
      <c r="A9" t="s">
        <v>97</v>
      </c>
    </row>
    <row r="10" spans="1:18" x14ac:dyDescent="0.25">
      <c r="A10">
        <v>4</v>
      </c>
      <c r="B10" t="s">
        <v>98</v>
      </c>
      <c r="C10" t="s">
        <v>99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P10">
        <v>0</v>
      </c>
      <c r="Q10">
        <v>0.05</v>
      </c>
      <c r="R10" t="s">
        <v>100</v>
      </c>
    </row>
    <row r="11" spans="1:18" x14ac:dyDescent="0.25">
      <c r="A11">
        <v>5</v>
      </c>
      <c r="B11" t="s">
        <v>101</v>
      </c>
      <c r="C11" t="s">
        <v>99</v>
      </c>
      <c r="D11">
        <v>62.5</v>
      </c>
      <c r="E11">
        <v>37.5</v>
      </c>
      <c r="F11">
        <v>0</v>
      </c>
      <c r="G11">
        <v>62.479500000000002</v>
      </c>
      <c r="H11">
        <v>37.516300000000001</v>
      </c>
      <c r="I11">
        <v>8.8400000000000006E-2</v>
      </c>
      <c r="J11">
        <v>-2.0500000000000001E-2</v>
      </c>
      <c r="K11">
        <v>1.6299999999999999E-2</v>
      </c>
      <c r="L11">
        <v>8.8400000000000006E-2</v>
      </c>
      <c r="P11">
        <v>0.18440000000000001</v>
      </c>
      <c r="Q11">
        <v>0.05</v>
      </c>
      <c r="R11" t="s">
        <v>102</v>
      </c>
    </row>
    <row r="12" spans="1:18" x14ac:dyDescent="0.25">
      <c r="A12">
        <v>6</v>
      </c>
      <c r="B12" t="s">
        <v>103</v>
      </c>
      <c r="C12" t="s">
        <v>99</v>
      </c>
      <c r="D12">
        <v>-63.5</v>
      </c>
      <c r="E12">
        <v>37.5</v>
      </c>
      <c r="F12">
        <v>0</v>
      </c>
      <c r="G12">
        <v>-63.4495</v>
      </c>
      <c r="H12">
        <v>37.516300000000001</v>
      </c>
      <c r="I12">
        <v>7.1900000000000006E-2</v>
      </c>
      <c r="J12">
        <v>5.0500000000000003E-2</v>
      </c>
      <c r="K12">
        <v>1.6299999999999999E-2</v>
      </c>
      <c r="L12">
        <v>7.1900000000000006E-2</v>
      </c>
      <c r="P12">
        <v>0.1787</v>
      </c>
      <c r="Q12">
        <v>0.05</v>
      </c>
      <c r="R12" t="s">
        <v>102</v>
      </c>
    </row>
    <row r="13" spans="1:18" x14ac:dyDescent="0.25">
      <c r="A13">
        <v>7</v>
      </c>
      <c r="B13" t="s">
        <v>104</v>
      </c>
      <c r="C13" t="s">
        <v>99</v>
      </c>
      <c r="D13">
        <v>-62.5</v>
      </c>
      <c r="E13">
        <v>-36.5</v>
      </c>
      <c r="F13">
        <v>0</v>
      </c>
      <c r="G13">
        <v>-62.476199999999999</v>
      </c>
      <c r="H13">
        <v>-36.463200000000001</v>
      </c>
      <c r="I13">
        <v>8.8599999999999998E-2</v>
      </c>
      <c r="J13">
        <v>2.3800000000000002E-2</v>
      </c>
      <c r="K13">
        <v>3.6799999999999999E-2</v>
      </c>
      <c r="L13">
        <v>8.8599999999999998E-2</v>
      </c>
      <c r="P13">
        <v>0.1978</v>
      </c>
      <c r="Q13">
        <v>0.05</v>
      </c>
      <c r="R13" t="s">
        <v>102</v>
      </c>
    </row>
    <row r="14" spans="1:18" x14ac:dyDescent="0.25">
      <c r="A14">
        <v>8</v>
      </c>
      <c r="B14" t="s">
        <v>105</v>
      </c>
      <c r="C14" t="s">
        <v>99</v>
      </c>
      <c r="D14">
        <v>61.5</v>
      </c>
      <c r="E14">
        <v>-37.5</v>
      </c>
      <c r="F14">
        <v>0</v>
      </c>
      <c r="G14">
        <v>61.4407</v>
      </c>
      <c r="H14">
        <v>-37.467599999999997</v>
      </c>
      <c r="I14">
        <v>7.2300000000000003E-2</v>
      </c>
      <c r="J14">
        <v>-5.9299999999999999E-2</v>
      </c>
      <c r="K14">
        <v>3.2399999999999998E-2</v>
      </c>
      <c r="L14">
        <v>7.2300000000000003E-2</v>
      </c>
      <c r="P14">
        <v>0.19789999999999999</v>
      </c>
      <c r="Q14">
        <v>0.05</v>
      </c>
      <c r="R14" t="s">
        <v>102</v>
      </c>
    </row>
    <row r="15" spans="1:18" x14ac:dyDescent="0.25">
      <c r="A15">
        <v>9</v>
      </c>
      <c r="B15" t="s">
        <v>0</v>
      </c>
      <c r="C15" t="s">
        <v>106</v>
      </c>
      <c r="D15">
        <v>25.4</v>
      </c>
      <c r="G15">
        <v>25.398399999999999</v>
      </c>
      <c r="J15">
        <v>-1.6000000000000001E-3</v>
      </c>
      <c r="M15">
        <v>25.5</v>
      </c>
      <c r="N15">
        <v>25.3</v>
      </c>
      <c r="O15" t="s">
        <v>100</v>
      </c>
      <c r="P15">
        <v>3.7000000000000002E-3</v>
      </c>
      <c r="Q15">
        <v>0.05</v>
      </c>
      <c r="R15" t="s">
        <v>100</v>
      </c>
    </row>
    <row r="16" spans="1:18" x14ac:dyDescent="0.25">
      <c r="A16">
        <v>10</v>
      </c>
      <c r="B16" t="s">
        <v>1</v>
      </c>
      <c r="C16" t="s">
        <v>106</v>
      </c>
      <c r="D16">
        <v>25.4</v>
      </c>
      <c r="G16">
        <v>25.402100000000001</v>
      </c>
      <c r="J16">
        <v>2.0999999999999999E-3</v>
      </c>
      <c r="M16">
        <v>25.5</v>
      </c>
      <c r="N16">
        <v>25.3</v>
      </c>
      <c r="O16" t="s">
        <v>100</v>
      </c>
      <c r="P16">
        <v>7.4000000000000003E-3</v>
      </c>
      <c r="Q16">
        <v>0.05</v>
      </c>
      <c r="R16" t="s">
        <v>100</v>
      </c>
    </row>
    <row r="17" spans="1:18" x14ac:dyDescent="0.25">
      <c r="A17">
        <v>11</v>
      </c>
      <c r="B17" t="s">
        <v>2</v>
      </c>
      <c r="C17" t="s">
        <v>106</v>
      </c>
      <c r="D17">
        <v>25.4</v>
      </c>
      <c r="G17">
        <v>25.402100000000001</v>
      </c>
      <c r="J17">
        <v>2.0999999999999999E-3</v>
      </c>
      <c r="M17">
        <v>25.5</v>
      </c>
      <c r="N17">
        <v>25.3</v>
      </c>
      <c r="O17" t="s">
        <v>100</v>
      </c>
      <c r="P17">
        <v>5.4999999999999997E-3</v>
      </c>
      <c r="Q17">
        <v>0.05</v>
      </c>
      <c r="R17" t="s">
        <v>100</v>
      </c>
    </row>
    <row r="18" spans="1:18" x14ac:dyDescent="0.25">
      <c r="A18">
        <v>12</v>
      </c>
      <c r="B18" t="s">
        <v>3</v>
      </c>
      <c r="C18" t="s">
        <v>106</v>
      </c>
      <c r="D18">
        <v>25.4</v>
      </c>
      <c r="G18">
        <v>25.4039</v>
      </c>
      <c r="J18">
        <v>3.8999999999999998E-3</v>
      </c>
      <c r="M18">
        <v>25.5</v>
      </c>
      <c r="N18">
        <v>25.3</v>
      </c>
      <c r="O18" t="s">
        <v>100</v>
      </c>
      <c r="P18">
        <v>7.4000000000000003E-3</v>
      </c>
      <c r="Q18">
        <v>0.05</v>
      </c>
      <c r="R18" t="s">
        <v>100</v>
      </c>
    </row>
    <row r="19" spans="1:18" x14ac:dyDescent="0.25">
      <c r="A19">
        <v>13</v>
      </c>
      <c r="B19" t="s">
        <v>4</v>
      </c>
      <c r="C19" t="s">
        <v>106</v>
      </c>
      <c r="D19">
        <v>25.4</v>
      </c>
      <c r="G19">
        <v>25.401599999999998</v>
      </c>
      <c r="J19">
        <v>1.6000000000000001E-3</v>
      </c>
      <c r="M19">
        <v>25.5</v>
      </c>
      <c r="N19">
        <v>25.3</v>
      </c>
      <c r="O19" t="s">
        <v>100</v>
      </c>
      <c r="P19">
        <v>4.7999999999999996E-3</v>
      </c>
      <c r="Q19">
        <v>0.05</v>
      </c>
      <c r="R19" t="s">
        <v>100</v>
      </c>
    </row>
    <row r="20" spans="1:18" x14ac:dyDescent="0.25">
      <c r="A20">
        <v>14</v>
      </c>
      <c r="B20" t="s">
        <v>5</v>
      </c>
      <c r="C20" t="s">
        <v>107</v>
      </c>
      <c r="D20">
        <v>72.887</v>
      </c>
      <c r="G20">
        <v>72.877799999999993</v>
      </c>
      <c r="J20">
        <v>-9.1999999999999998E-3</v>
      </c>
      <c r="M20">
        <v>72.986999999999995</v>
      </c>
      <c r="N20">
        <v>72.787000000000006</v>
      </c>
      <c r="O20" t="s">
        <v>100</v>
      </c>
    </row>
    <row r="21" spans="1:18" x14ac:dyDescent="0.25">
      <c r="A21">
        <v>15</v>
      </c>
      <c r="B21" t="s">
        <v>6</v>
      </c>
      <c r="C21" t="s">
        <v>107</v>
      </c>
      <c r="D21">
        <v>73.745999999999995</v>
      </c>
      <c r="G21">
        <v>73.711100000000002</v>
      </c>
      <c r="J21">
        <v>-3.49E-2</v>
      </c>
      <c r="M21">
        <v>73.846000000000004</v>
      </c>
      <c r="N21">
        <v>73.646000000000001</v>
      </c>
      <c r="O21" t="s">
        <v>100</v>
      </c>
    </row>
    <row r="22" spans="1:18" x14ac:dyDescent="0.25">
      <c r="A22">
        <v>16</v>
      </c>
      <c r="B22" t="s">
        <v>7</v>
      </c>
      <c r="C22" t="s">
        <v>107</v>
      </c>
      <c r="D22">
        <v>72.376999999999995</v>
      </c>
      <c r="G22">
        <v>72.338399999999993</v>
      </c>
      <c r="J22">
        <v>-3.8600000000000002E-2</v>
      </c>
      <c r="M22">
        <v>72.477000000000004</v>
      </c>
      <c r="N22">
        <v>72.277000000000001</v>
      </c>
      <c r="O22" t="s">
        <v>100</v>
      </c>
    </row>
    <row r="23" spans="1:18" x14ac:dyDescent="0.25">
      <c r="A23">
        <v>17</v>
      </c>
      <c r="B23" t="s">
        <v>8</v>
      </c>
      <c r="C23" t="s">
        <v>107</v>
      </c>
      <c r="D23">
        <v>72.031000000000006</v>
      </c>
      <c r="G23">
        <v>71.963800000000006</v>
      </c>
      <c r="J23">
        <v>-6.7199999999999996E-2</v>
      </c>
      <c r="M23">
        <v>72.131</v>
      </c>
      <c r="N23">
        <v>71.930999999999997</v>
      </c>
      <c r="O23" t="s">
        <v>100</v>
      </c>
    </row>
    <row r="24" spans="1:18" x14ac:dyDescent="0.25">
      <c r="A24">
        <v>18</v>
      </c>
      <c r="B24" t="s">
        <v>9</v>
      </c>
      <c r="C24" t="s">
        <v>107</v>
      </c>
      <c r="D24">
        <v>75.007000000000005</v>
      </c>
      <c r="G24">
        <v>74.991200000000006</v>
      </c>
      <c r="J24">
        <v>-1.5800000000000002E-2</v>
      </c>
      <c r="M24">
        <v>75.106999999999999</v>
      </c>
      <c r="N24">
        <v>74.906999999999996</v>
      </c>
      <c r="O24" t="s">
        <v>100</v>
      </c>
    </row>
    <row r="25" spans="1:18" x14ac:dyDescent="0.25">
      <c r="A25">
        <v>19</v>
      </c>
      <c r="B25" t="s">
        <v>10</v>
      </c>
      <c r="C25" t="s">
        <v>107</v>
      </c>
      <c r="D25">
        <v>74.007000000000005</v>
      </c>
      <c r="G25">
        <v>73.985900000000001</v>
      </c>
      <c r="J25">
        <v>-2.1100000000000001E-2</v>
      </c>
      <c r="M25">
        <v>74.106999999999999</v>
      </c>
      <c r="N25">
        <v>73.906999999999996</v>
      </c>
      <c r="O25" t="s">
        <v>100</v>
      </c>
    </row>
    <row r="26" spans="1:18" x14ac:dyDescent="0.25">
      <c r="A26">
        <v>20</v>
      </c>
      <c r="B26" t="s">
        <v>11</v>
      </c>
      <c r="C26" t="s">
        <v>107</v>
      </c>
      <c r="D26">
        <v>126</v>
      </c>
      <c r="G26">
        <v>125.929</v>
      </c>
      <c r="J26">
        <v>-7.0999999999999994E-2</v>
      </c>
      <c r="M26">
        <v>126.1</v>
      </c>
      <c r="N26">
        <v>125.9</v>
      </c>
      <c r="O26" t="s">
        <v>100</v>
      </c>
    </row>
    <row r="27" spans="1:18" x14ac:dyDescent="0.25">
      <c r="A27">
        <v>21</v>
      </c>
      <c r="B27" t="s">
        <v>12</v>
      </c>
      <c r="C27" t="s">
        <v>107</v>
      </c>
      <c r="D27">
        <v>124.004</v>
      </c>
      <c r="G27">
        <v>123.92100000000001</v>
      </c>
      <c r="J27">
        <v>-8.3000000000000004E-2</v>
      </c>
      <c r="M27">
        <v>124.104</v>
      </c>
      <c r="N27">
        <v>123.904</v>
      </c>
      <c r="O27" t="s">
        <v>100</v>
      </c>
    </row>
    <row r="28" spans="1:18" x14ac:dyDescent="0.25">
      <c r="A28">
        <v>22</v>
      </c>
      <c r="B28" t="s">
        <v>13</v>
      </c>
      <c r="C28" t="s">
        <v>107</v>
      </c>
      <c r="D28">
        <v>145.262</v>
      </c>
      <c r="G28">
        <v>145.2133</v>
      </c>
      <c r="J28">
        <v>-4.87E-2</v>
      </c>
      <c r="M28">
        <v>145.36199999999999</v>
      </c>
      <c r="N28">
        <v>145.16200000000001</v>
      </c>
      <c r="O28" t="s">
        <v>100</v>
      </c>
    </row>
    <row r="29" spans="1:18" x14ac:dyDescent="0.25">
      <c r="A29">
        <v>23</v>
      </c>
      <c r="B29" t="s">
        <v>14</v>
      </c>
      <c r="C29" t="s">
        <v>107</v>
      </c>
      <c r="D29">
        <v>145.774</v>
      </c>
      <c r="G29">
        <v>145.67140000000001</v>
      </c>
      <c r="J29">
        <v>-0.1026</v>
      </c>
      <c r="M29">
        <v>145.874</v>
      </c>
      <c r="N29">
        <v>145.67400000000001</v>
      </c>
      <c r="O29" t="s">
        <v>102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C00EC-FE45-4C01-A143-FEAC24BE478E}">
  <sheetPr codeName="Sheet32"/>
  <dimension ref="A1:R29"/>
  <sheetViews>
    <sheetView workbookViewId="0"/>
  </sheetViews>
  <sheetFormatPr defaultRowHeight="15" x14ac:dyDescent="0.25"/>
  <cols>
    <col min="1" max="1" width="26.5703125" bestFit="1" customWidth="1"/>
    <col min="2" max="2" width="14.140625" bestFit="1" customWidth="1"/>
    <col min="3" max="3" width="18.28515625" bestFit="1" customWidth="1"/>
    <col min="4" max="4" width="8" bestFit="1" customWidth="1"/>
    <col min="5" max="5" width="5.7109375" bestFit="1" customWidth="1"/>
    <col min="6" max="6" width="2" bestFit="1" customWidth="1"/>
    <col min="7" max="7" width="9" bestFit="1" customWidth="1"/>
    <col min="8" max="8" width="8.7109375" bestFit="1" customWidth="1"/>
    <col min="9" max="9" width="7" bestFit="1" customWidth="1"/>
    <col min="10" max="10" width="7.7109375" bestFit="1" customWidth="1"/>
    <col min="11" max="12" width="7" bestFit="1" customWidth="1"/>
    <col min="13" max="14" width="8" bestFit="1" customWidth="1"/>
    <col min="15" max="15" width="5.42578125" bestFit="1" customWidth="1"/>
    <col min="16" max="16" width="7" bestFit="1" customWidth="1"/>
    <col min="17" max="17" width="5" bestFit="1" customWidth="1"/>
    <col min="18" max="18" width="5.42578125" bestFit="1" customWidth="1"/>
  </cols>
  <sheetData>
    <row r="1" spans="1:18" x14ac:dyDescent="0.25">
      <c r="A1" t="s">
        <v>86</v>
      </c>
      <c r="B1" t="s">
        <v>128</v>
      </c>
    </row>
    <row r="2" spans="1:18" x14ac:dyDescent="0.25">
      <c r="A2" t="s">
        <v>88</v>
      </c>
      <c r="B2" t="s">
        <v>89</v>
      </c>
    </row>
    <row r="3" spans="1:18" x14ac:dyDescent="0.25">
      <c r="A3" t="s">
        <v>90</v>
      </c>
      <c r="B3" t="s">
        <v>141</v>
      </c>
    </row>
    <row r="4" spans="1:18" x14ac:dyDescent="0.25">
      <c r="A4" t="s">
        <v>92</v>
      </c>
      <c r="B4" t="s">
        <v>142</v>
      </c>
    </row>
    <row r="5" spans="1:18" x14ac:dyDescent="0.25">
      <c r="A5" t="s">
        <v>94</v>
      </c>
    </row>
    <row r="6" spans="1:18" x14ac:dyDescent="0.25">
      <c r="A6" t="s">
        <v>95</v>
      </c>
    </row>
    <row r="7" spans="1:18" x14ac:dyDescent="0.25">
      <c r="A7" t="s">
        <v>96</v>
      </c>
    </row>
    <row r="8" spans="1:18" x14ac:dyDescent="0.25">
      <c r="A8" t="s">
        <v>88</v>
      </c>
    </row>
    <row r="9" spans="1:18" x14ac:dyDescent="0.25">
      <c r="A9" t="s">
        <v>97</v>
      </c>
    </row>
    <row r="10" spans="1:18" x14ac:dyDescent="0.25">
      <c r="A10">
        <v>4</v>
      </c>
      <c r="B10" t="s">
        <v>98</v>
      </c>
      <c r="C10" t="s">
        <v>99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P10">
        <v>0</v>
      </c>
      <c r="Q10">
        <v>0.05</v>
      </c>
      <c r="R10" t="s">
        <v>100</v>
      </c>
    </row>
    <row r="11" spans="1:18" x14ac:dyDescent="0.25">
      <c r="A11">
        <v>5</v>
      </c>
      <c r="B11" t="s">
        <v>101</v>
      </c>
      <c r="C11" t="s">
        <v>99</v>
      </c>
      <c r="D11">
        <v>62.5</v>
      </c>
      <c r="E11">
        <v>37.5</v>
      </c>
      <c r="F11">
        <v>0</v>
      </c>
      <c r="G11">
        <v>62.479100000000003</v>
      </c>
      <c r="H11">
        <v>37.517099999999999</v>
      </c>
      <c r="I11">
        <v>8.8200000000000001E-2</v>
      </c>
      <c r="J11">
        <v>-2.0899999999999998E-2</v>
      </c>
      <c r="K11">
        <v>1.7100000000000001E-2</v>
      </c>
      <c r="L11">
        <v>8.8200000000000001E-2</v>
      </c>
      <c r="P11">
        <v>0.1845</v>
      </c>
      <c r="Q11">
        <v>0.05</v>
      </c>
      <c r="R11" t="s">
        <v>102</v>
      </c>
    </row>
    <row r="12" spans="1:18" x14ac:dyDescent="0.25">
      <c r="A12">
        <v>6</v>
      </c>
      <c r="B12" t="s">
        <v>103</v>
      </c>
      <c r="C12" t="s">
        <v>99</v>
      </c>
      <c r="D12">
        <v>-63.5</v>
      </c>
      <c r="E12">
        <v>37.5</v>
      </c>
      <c r="F12">
        <v>0</v>
      </c>
      <c r="G12">
        <v>-63.450800000000001</v>
      </c>
      <c r="H12">
        <v>37.517099999999999</v>
      </c>
      <c r="I12">
        <v>7.1400000000000005E-2</v>
      </c>
      <c r="J12">
        <v>4.9200000000000001E-2</v>
      </c>
      <c r="K12">
        <v>1.7100000000000001E-2</v>
      </c>
      <c r="L12">
        <v>7.1400000000000005E-2</v>
      </c>
      <c r="P12">
        <v>0.1767</v>
      </c>
      <c r="Q12">
        <v>0.05</v>
      </c>
      <c r="R12" t="s">
        <v>102</v>
      </c>
    </row>
    <row r="13" spans="1:18" x14ac:dyDescent="0.25">
      <c r="A13">
        <v>7</v>
      </c>
      <c r="B13" t="s">
        <v>104</v>
      </c>
      <c r="C13" t="s">
        <v>99</v>
      </c>
      <c r="D13">
        <v>-62.5</v>
      </c>
      <c r="E13">
        <v>-36.5</v>
      </c>
      <c r="F13">
        <v>0</v>
      </c>
      <c r="G13">
        <v>-62.476199999999999</v>
      </c>
      <c r="H13">
        <v>-36.463299999999997</v>
      </c>
      <c r="I13">
        <v>8.8400000000000006E-2</v>
      </c>
      <c r="J13">
        <v>2.3800000000000002E-2</v>
      </c>
      <c r="K13">
        <v>3.6700000000000003E-2</v>
      </c>
      <c r="L13">
        <v>8.8400000000000006E-2</v>
      </c>
      <c r="P13">
        <v>0.1973</v>
      </c>
      <c r="Q13">
        <v>0.05</v>
      </c>
      <c r="R13" t="s">
        <v>102</v>
      </c>
    </row>
    <row r="14" spans="1:18" x14ac:dyDescent="0.25">
      <c r="A14">
        <v>8</v>
      </c>
      <c r="B14" t="s">
        <v>105</v>
      </c>
      <c r="C14" t="s">
        <v>99</v>
      </c>
      <c r="D14">
        <v>61.5</v>
      </c>
      <c r="E14">
        <v>-37.5</v>
      </c>
      <c r="F14">
        <v>0</v>
      </c>
      <c r="G14">
        <v>61.440800000000003</v>
      </c>
      <c r="H14">
        <v>-37.466799999999999</v>
      </c>
      <c r="I14">
        <v>7.1900000000000006E-2</v>
      </c>
      <c r="J14">
        <v>-5.9200000000000003E-2</v>
      </c>
      <c r="K14">
        <v>3.32E-2</v>
      </c>
      <c r="L14">
        <v>7.1900000000000006E-2</v>
      </c>
      <c r="P14">
        <v>0.19769999999999999</v>
      </c>
      <c r="Q14">
        <v>0.05</v>
      </c>
      <c r="R14" t="s">
        <v>102</v>
      </c>
    </row>
    <row r="15" spans="1:18" x14ac:dyDescent="0.25">
      <c r="A15">
        <v>9</v>
      </c>
      <c r="B15" t="s">
        <v>0</v>
      </c>
      <c r="C15" t="s">
        <v>106</v>
      </c>
      <c r="D15">
        <v>25.4</v>
      </c>
      <c r="G15">
        <v>25.398199999999999</v>
      </c>
      <c r="J15">
        <v>-1.8E-3</v>
      </c>
      <c r="M15">
        <v>25.5</v>
      </c>
      <c r="N15">
        <v>25.3</v>
      </c>
      <c r="O15" t="s">
        <v>100</v>
      </c>
      <c r="P15">
        <v>5.7000000000000002E-3</v>
      </c>
      <c r="Q15">
        <v>0.05</v>
      </c>
      <c r="R15" t="s">
        <v>100</v>
      </c>
    </row>
    <row r="16" spans="1:18" x14ac:dyDescent="0.25">
      <c r="A16">
        <v>10</v>
      </c>
      <c r="B16" t="s">
        <v>1</v>
      </c>
      <c r="C16" t="s">
        <v>106</v>
      </c>
      <c r="D16">
        <v>25.4</v>
      </c>
      <c r="G16">
        <v>25.402100000000001</v>
      </c>
      <c r="J16">
        <v>2.0999999999999999E-3</v>
      </c>
      <c r="M16">
        <v>25.5</v>
      </c>
      <c r="N16">
        <v>25.3</v>
      </c>
      <c r="O16" t="s">
        <v>100</v>
      </c>
      <c r="P16">
        <v>7.7999999999999996E-3</v>
      </c>
      <c r="Q16">
        <v>0.05</v>
      </c>
      <c r="R16" t="s">
        <v>100</v>
      </c>
    </row>
    <row r="17" spans="1:18" x14ac:dyDescent="0.25">
      <c r="A17">
        <v>11</v>
      </c>
      <c r="B17" t="s">
        <v>2</v>
      </c>
      <c r="C17" t="s">
        <v>106</v>
      </c>
      <c r="D17">
        <v>25.4</v>
      </c>
      <c r="G17">
        <v>25.401499999999999</v>
      </c>
      <c r="J17">
        <v>1.5E-3</v>
      </c>
      <c r="M17">
        <v>25.5</v>
      </c>
      <c r="N17">
        <v>25.3</v>
      </c>
      <c r="O17" t="s">
        <v>100</v>
      </c>
      <c r="P17">
        <v>6.1000000000000004E-3</v>
      </c>
      <c r="Q17">
        <v>0.05</v>
      </c>
      <c r="R17" t="s">
        <v>100</v>
      </c>
    </row>
    <row r="18" spans="1:18" x14ac:dyDescent="0.25">
      <c r="A18">
        <v>12</v>
      </c>
      <c r="B18" t="s">
        <v>3</v>
      </c>
      <c r="C18" t="s">
        <v>106</v>
      </c>
      <c r="D18">
        <v>25.4</v>
      </c>
      <c r="G18">
        <v>25.402699999999999</v>
      </c>
      <c r="J18">
        <v>2.7000000000000001E-3</v>
      </c>
      <c r="M18">
        <v>25.5</v>
      </c>
      <c r="N18">
        <v>25.3</v>
      </c>
      <c r="O18" t="s">
        <v>100</v>
      </c>
      <c r="P18">
        <v>7.1999999999999998E-3</v>
      </c>
      <c r="Q18">
        <v>0.05</v>
      </c>
      <c r="R18" t="s">
        <v>100</v>
      </c>
    </row>
    <row r="19" spans="1:18" x14ac:dyDescent="0.25">
      <c r="A19">
        <v>13</v>
      </c>
      <c r="B19" t="s">
        <v>4</v>
      </c>
      <c r="C19" t="s">
        <v>106</v>
      </c>
      <c r="D19">
        <v>25.4</v>
      </c>
      <c r="G19">
        <v>25.401900000000001</v>
      </c>
      <c r="J19">
        <v>1.9E-3</v>
      </c>
      <c r="M19">
        <v>25.5</v>
      </c>
      <c r="N19">
        <v>25.3</v>
      </c>
      <c r="O19" t="s">
        <v>100</v>
      </c>
      <c r="P19">
        <v>5.1000000000000004E-3</v>
      </c>
      <c r="Q19">
        <v>0.05</v>
      </c>
      <c r="R19" t="s">
        <v>100</v>
      </c>
    </row>
    <row r="20" spans="1:18" x14ac:dyDescent="0.25">
      <c r="A20">
        <v>14</v>
      </c>
      <c r="B20" t="s">
        <v>5</v>
      </c>
      <c r="C20" t="s">
        <v>107</v>
      </c>
      <c r="D20">
        <v>72.887</v>
      </c>
      <c r="G20">
        <v>72.877799999999993</v>
      </c>
      <c r="J20">
        <v>-9.1999999999999998E-3</v>
      </c>
      <c r="M20">
        <v>72.986999999999995</v>
      </c>
      <c r="N20">
        <v>72.787000000000006</v>
      </c>
      <c r="O20" t="s">
        <v>100</v>
      </c>
    </row>
    <row r="21" spans="1:18" x14ac:dyDescent="0.25">
      <c r="A21">
        <v>15</v>
      </c>
      <c r="B21" t="s">
        <v>6</v>
      </c>
      <c r="C21" t="s">
        <v>107</v>
      </c>
      <c r="D21">
        <v>73.745999999999995</v>
      </c>
      <c r="G21">
        <v>73.712599999999995</v>
      </c>
      <c r="J21">
        <v>-3.3399999999999999E-2</v>
      </c>
      <c r="M21">
        <v>73.846000000000004</v>
      </c>
      <c r="N21">
        <v>73.646000000000001</v>
      </c>
      <c r="O21" t="s">
        <v>100</v>
      </c>
    </row>
    <row r="22" spans="1:18" x14ac:dyDescent="0.25">
      <c r="A22">
        <v>16</v>
      </c>
      <c r="B22" t="s">
        <v>7</v>
      </c>
      <c r="C22" t="s">
        <v>107</v>
      </c>
      <c r="D22">
        <v>72.376999999999995</v>
      </c>
      <c r="G22">
        <v>72.338399999999993</v>
      </c>
      <c r="J22">
        <v>-3.8600000000000002E-2</v>
      </c>
      <c r="M22">
        <v>72.477000000000004</v>
      </c>
      <c r="N22">
        <v>72.277000000000001</v>
      </c>
      <c r="O22" t="s">
        <v>100</v>
      </c>
    </row>
    <row r="23" spans="1:18" x14ac:dyDescent="0.25">
      <c r="A23">
        <v>17</v>
      </c>
      <c r="B23" t="s">
        <v>8</v>
      </c>
      <c r="C23" t="s">
        <v>107</v>
      </c>
      <c r="D23">
        <v>72.031000000000006</v>
      </c>
      <c r="G23">
        <v>71.963499999999996</v>
      </c>
      <c r="J23">
        <v>-6.7500000000000004E-2</v>
      </c>
      <c r="M23">
        <v>72.131</v>
      </c>
      <c r="N23">
        <v>71.930999999999997</v>
      </c>
      <c r="O23" t="s">
        <v>100</v>
      </c>
    </row>
    <row r="24" spans="1:18" x14ac:dyDescent="0.25">
      <c r="A24">
        <v>18</v>
      </c>
      <c r="B24" t="s">
        <v>9</v>
      </c>
      <c r="C24" t="s">
        <v>107</v>
      </c>
      <c r="D24">
        <v>75.007000000000005</v>
      </c>
      <c r="G24">
        <v>74.991100000000003</v>
      </c>
      <c r="J24">
        <v>-1.5900000000000001E-2</v>
      </c>
      <c r="M24">
        <v>75.106999999999999</v>
      </c>
      <c r="N24">
        <v>74.906999999999996</v>
      </c>
      <c r="O24" t="s">
        <v>100</v>
      </c>
    </row>
    <row r="25" spans="1:18" x14ac:dyDescent="0.25">
      <c r="A25">
        <v>19</v>
      </c>
      <c r="B25" t="s">
        <v>10</v>
      </c>
      <c r="C25" t="s">
        <v>107</v>
      </c>
      <c r="D25">
        <v>74.007000000000005</v>
      </c>
      <c r="G25">
        <v>73.986800000000002</v>
      </c>
      <c r="J25">
        <v>-2.0199999999999999E-2</v>
      </c>
      <c r="M25">
        <v>74.106999999999999</v>
      </c>
      <c r="N25">
        <v>73.906999999999996</v>
      </c>
      <c r="O25" t="s">
        <v>100</v>
      </c>
    </row>
    <row r="26" spans="1:18" x14ac:dyDescent="0.25">
      <c r="A26">
        <v>20</v>
      </c>
      <c r="B26" t="s">
        <v>11</v>
      </c>
      <c r="C26" t="s">
        <v>107</v>
      </c>
      <c r="D26">
        <v>126</v>
      </c>
      <c r="G26">
        <v>125.9299</v>
      </c>
      <c r="J26">
        <v>-7.0099999999999996E-2</v>
      </c>
      <c r="M26">
        <v>126.1</v>
      </c>
      <c r="N26">
        <v>125.9</v>
      </c>
      <c r="O26" t="s">
        <v>100</v>
      </c>
    </row>
    <row r="27" spans="1:18" x14ac:dyDescent="0.25">
      <c r="A27">
        <v>21</v>
      </c>
      <c r="B27" t="s">
        <v>12</v>
      </c>
      <c r="C27" t="s">
        <v>107</v>
      </c>
      <c r="D27">
        <v>124.004</v>
      </c>
      <c r="G27">
        <v>123.92100000000001</v>
      </c>
      <c r="J27">
        <v>-8.3000000000000004E-2</v>
      </c>
      <c r="M27">
        <v>124.104</v>
      </c>
      <c r="N27">
        <v>123.904</v>
      </c>
      <c r="O27" t="s">
        <v>100</v>
      </c>
    </row>
    <row r="28" spans="1:18" x14ac:dyDescent="0.25">
      <c r="A28">
        <v>22</v>
      </c>
      <c r="B28" t="s">
        <v>13</v>
      </c>
      <c r="C28" t="s">
        <v>107</v>
      </c>
      <c r="D28">
        <v>145.262</v>
      </c>
      <c r="G28">
        <v>145.2133</v>
      </c>
      <c r="J28">
        <v>-4.87E-2</v>
      </c>
      <c r="M28">
        <v>145.36199999999999</v>
      </c>
      <c r="N28">
        <v>145.16200000000001</v>
      </c>
      <c r="O28" t="s">
        <v>100</v>
      </c>
    </row>
    <row r="29" spans="1:18" x14ac:dyDescent="0.25">
      <c r="A29">
        <v>23</v>
      </c>
      <c r="B29" t="s">
        <v>14</v>
      </c>
      <c r="C29" t="s">
        <v>107</v>
      </c>
      <c r="D29">
        <v>145.774</v>
      </c>
      <c r="G29">
        <v>145.67259999999999</v>
      </c>
      <c r="J29">
        <v>-0.1014</v>
      </c>
      <c r="M29">
        <v>145.874</v>
      </c>
      <c r="N29">
        <v>145.67400000000001</v>
      </c>
      <c r="O29" t="s">
        <v>102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E6ABB-F297-47A3-97FF-C3A053037845}">
  <sheetPr codeName="Sheet33"/>
  <dimension ref="A1:R29"/>
  <sheetViews>
    <sheetView workbookViewId="0"/>
  </sheetViews>
  <sheetFormatPr defaultRowHeight="15" x14ac:dyDescent="0.25"/>
  <cols>
    <col min="1" max="1" width="26.5703125" bestFit="1" customWidth="1"/>
    <col min="2" max="2" width="14.140625" bestFit="1" customWidth="1"/>
    <col min="3" max="3" width="18.28515625" bestFit="1" customWidth="1"/>
    <col min="4" max="4" width="8" bestFit="1" customWidth="1"/>
    <col min="5" max="5" width="5.7109375" bestFit="1" customWidth="1"/>
    <col min="6" max="6" width="2" bestFit="1" customWidth="1"/>
    <col min="7" max="7" width="9" bestFit="1" customWidth="1"/>
    <col min="8" max="8" width="8.7109375" bestFit="1" customWidth="1"/>
    <col min="9" max="9" width="7" bestFit="1" customWidth="1"/>
    <col min="10" max="10" width="7.7109375" bestFit="1" customWidth="1"/>
    <col min="11" max="12" width="7" bestFit="1" customWidth="1"/>
    <col min="13" max="14" width="8" bestFit="1" customWidth="1"/>
    <col min="15" max="15" width="5.42578125" bestFit="1" customWidth="1"/>
    <col min="16" max="16" width="7" bestFit="1" customWidth="1"/>
    <col min="17" max="17" width="5" bestFit="1" customWidth="1"/>
    <col min="18" max="18" width="5.42578125" bestFit="1" customWidth="1"/>
  </cols>
  <sheetData>
    <row r="1" spans="1:18" x14ac:dyDescent="0.25">
      <c r="A1" t="s">
        <v>86</v>
      </c>
      <c r="B1" t="s">
        <v>128</v>
      </c>
    </row>
    <row r="2" spans="1:18" x14ac:dyDescent="0.25">
      <c r="A2" t="s">
        <v>88</v>
      </c>
      <c r="B2" t="s">
        <v>89</v>
      </c>
    </row>
    <row r="3" spans="1:18" x14ac:dyDescent="0.25">
      <c r="A3" t="s">
        <v>90</v>
      </c>
      <c r="B3" t="s">
        <v>143</v>
      </c>
    </row>
    <row r="4" spans="1:18" x14ac:dyDescent="0.25">
      <c r="A4" t="s">
        <v>92</v>
      </c>
      <c r="B4" t="s">
        <v>142</v>
      </c>
    </row>
    <row r="5" spans="1:18" x14ac:dyDescent="0.25">
      <c r="A5" t="s">
        <v>94</v>
      </c>
    </row>
    <row r="6" spans="1:18" x14ac:dyDescent="0.25">
      <c r="A6" t="s">
        <v>95</v>
      </c>
    </row>
    <row r="7" spans="1:18" x14ac:dyDescent="0.25">
      <c r="A7" t="s">
        <v>96</v>
      </c>
    </row>
    <row r="8" spans="1:18" x14ac:dyDescent="0.25">
      <c r="A8" t="s">
        <v>88</v>
      </c>
    </row>
    <row r="9" spans="1:18" x14ac:dyDescent="0.25">
      <c r="A9" t="s">
        <v>97</v>
      </c>
    </row>
    <row r="10" spans="1:18" x14ac:dyDescent="0.25">
      <c r="A10">
        <v>4</v>
      </c>
      <c r="B10" t="s">
        <v>98</v>
      </c>
      <c r="C10" t="s">
        <v>99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P10">
        <v>0</v>
      </c>
      <c r="Q10">
        <v>0.05</v>
      </c>
      <c r="R10" t="s">
        <v>100</v>
      </c>
    </row>
    <row r="11" spans="1:18" x14ac:dyDescent="0.25">
      <c r="A11">
        <v>5</v>
      </c>
      <c r="B11" t="s">
        <v>101</v>
      </c>
      <c r="C11" t="s">
        <v>99</v>
      </c>
      <c r="D11">
        <v>62.5</v>
      </c>
      <c r="E11">
        <v>37.5</v>
      </c>
      <c r="F11">
        <v>0</v>
      </c>
      <c r="G11">
        <v>62.478900000000003</v>
      </c>
      <c r="H11">
        <v>37.5169</v>
      </c>
      <c r="I11">
        <v>8.8099999999999998E-2</v>
      </c>
      <c r="J11">
        <v>-2.1100000000000001E-2</v>
      </c>
      <c r="K11">
        <v>1.6899999999999998E-2</v>
      </c>
      <c r="L11">
        <v>8.8099999999999998E-2</v>
      </c>
      <c r="P11">
        <v>0.1842</v>
      </c>
      <c r="Q11">
        <v>0.05</v>
      </c>
      <c r="R11" t="s">
        <v>102</v>
      </c>
    </row>
    <row r="12" spans="1:18" x14ac:dyDescent="0.25">
      <c r="A12">
        <v>6</v>
      </c>
      <c r="B12" t="s">
        <v>103</v>
      </c>
      <c r="C12" t="s">
        <v>99</v>
      </c>
      <c r="D12">
        <v>-63.5</v>
      </c>
      <c r="E12">
        <v>37.5</v>
      </c>
      <c r="F12">
        <v>0</v>
      </c>
      <c r="G12">
        <v>-63.450600000000001</v>
      </c>
      <c r="H12">
        <v>37.5169</v>
      </c>
      <c r="I12">
        <v>7.1300000000000002E-2</v>
      </c>
      <c r="J12">
        <v>4.9399999999999999E-2</v>
      </c>
      <c r="K12">
        <v>1.6899999999999998E-2</v>
      </c>
      <c r="L12">
        <v>7.1300000000000002E-2</v>
      </c>
      <c r="P12">
        <v>0.1767</v>
      </c>
      <c r="Q12">
        <v>0.05</v>
      </c>
      <c r="R12" t="s">
        <v>102</v>
      </c>
    </row>
    <row r="13" spans="1:18" x14ac:dyDescent="0.25">
      <c r="A13">
        <v>7</v>
      </c>
      <c r="B13" t="s">
        <v>104</v>
      </c>
      <c r="C13" t="s">
        <v>99</v>
      </c>
      <c r="D13">
        <v>-62.5</v>
      </c>
      <c r="E13">
        <v>-36.5</v>
      </c>
      <c r="F13">
        <v>0</v>
      </c>
      <c r="G13">
        <v>-62.476599999999998</v>
      </c>
      <c r="H13">
        <v>-36.463500000000003</v>
      </c>
      <c r="I13">
        <v>8.8300000000000003E-2</v>
      </c>
      <c r="J13">
        <v>2.3400000000000001E-2</v>
      </c>
      <c r="K13">
        <v>3.6499999999999998E-2</v>
      </c>
      <c r="L13">
        <v>8.8300000000000003E-2</v>
      </c>
      <c r="P13">
        <v>0.1968</v>
      </c>
      <c r="Q13">
        <v>0.05</v>
      </c>
      <c r="R13" t="s">
        <v>102</v>
      </c>
    </row>
    <row r="14" spans="1:18" x14ac:dyDescent="0.25">
      <c r="A14">
        <v>8</v>
      </c>
      <c r="B14" t="s">
        <v>105</v>
      </c>
      <c r="C14" t="s">
        <v>99</v>
      </c>
      <c r="D14">
        <v>61.5</v>
      </c>
      <c r="E14">
        <v>-37.5</v>
      </c>
      <c r="F14">
        <v>0</v>
      </c>
      <c r="G14">
        <v>61.440600000000003</v>
      </c>
      <c r="H14">
        <v>-37.466999999999999</v>
      </c>
      <c r="I14">
        <v>7.1800000000000003E-2</v>
      </c>
      <c r="J14">
        <v>-5.9400000000000001E-2</v>
      </c>
      <c r="K14">
        <v>3.3000000000000002E-2</v>
      </c>
      <c r="L14">
        <v>7.1800000000000003E-2</v>
      </c>
      <c r="P14">
        <v>0.1976</v>
      </c>
      <c r="Q14">
        <v>0.05</v>
      </c>
      <c r="R14" t="s">
        <v>102</v>
      </c>
    </row>
    <row r="15" spans="1:18" x14ac:dyDescent="0.25">
      <c r="A15">
        <v>9</v>
      </c>
      <c r="B15" t="s">
        <v>0</v>
      </c>
      <c r="C15" t="s">
        <v>106</v>
      </c>
      <c r="D15">
        <v>25.4</v>
      </c>
      <c r="G15">
        <v>25.398299999999999</v>
      </c>
      <c r="J15">
        <v>-1.6999999999999999E-3</v>
      </c>
      <c r="M15">
        <v>25.5</v>
      </c>
      <c r="N15">
        <v>25.3</v>
      </c>
      <c r="O15" t="s">
        <v>100</v>
      </c>
      <c r="P15">
        <v>4.4999999999999997E-3</v>
      </c>
      <c r="Q15">
        <v>0.05</v>
      </c>
      <c r="R15" t="s">
        <v>100</v>
      </c>
    </row>
    <row r="16" spans="1:18" x14ac:dyDescent="0.25">
      <c r="A16">
        <v>10</v>
      </c>
      <c r="B16" t="s">
        <v>1</v>
      </c>
      <c r="C16" t="s">
        <v>106</v>
      </c>
      <c r="D16">
        <v>25.4</v>
      </c>
      <c r="G16">
        <v>25.401800000000001</v>
      </c>
      <c r="J16">
        <v>1.8E-3</v>
      </c>
      <c r="M16">
        <v>25.5</v>
      </c>
      <c r="N16">
        <v>25.3</v>
      </c>
      <c r="O16" t="s">
        <v>100</v>
      </c>
      <c r="P16">
        <v>7.4999999999999997E-3</v>
      </c>
      <c r="Q16">
        <v>0.05</v>
      </c>
      <c r="R16" t="s">
        <v>100</v>
      </c>
    </row>
    <row r="17" spans="1:18" x14ac:dyDescent="0.25">
      <c r="A17">
        <v>11</v>
      </c>
      <c r="B17" t="s">
        <v>2</v>
      </c>
      <c r="C17" t="s">
        <v>106</v>
      </c>
      <c r="D17">
        <v>25.4</v>
      </c>
      <c r="G17">
        <v>25.401599999999998</v>
      </c>
      <c r="J17">
        <v>1.6000000000000001E-3</v>
      </c>
      <c r="M17">
        <v>25.5</v>
      </c>
      <c r="N17">
        <v>25.3</v>
      </c>
      <c r="O17" t="s">
        <v>100</v>
      </c>
      <c r="P17">
        <v>4.5999999999999999E-3</v>
      </c>
      <c r="Q17">
        <v>0.05</v>
      </c>
      <c r="R17" t="s">
        <v>100</v>
      </c>
    </row>
    <row r="18" spans="1:18" x14ac:dyDescent="0.25">
      <c r="A18">
        <v>12</v>
      </c>
      <c r="B18" t="s">
        <v>3</v>
      </c>
      <c r="C18" t="s">
        <v>106</v>
      </c>
      <c r="D18">
        <v>25.4</v>
      </c>
      <c r="G18">
        <v>25.403199999999998</v>
      </c>
      <c r="J18">
        <v>3.2000000000000002E-3</v>
      </c>
      <c r="M18">
        <v>25.5</v>
      </c>
      <c r="N18">
        <v>25.3</v>
      </c>
      <c r="O18" t="s">
        <v>100</v>
      </c>
      <c r="P18">
        <v>6.0000000000000001E-3</v>
      </c>
      <c r="Q18">
        <v>0.05</v>
      </c>
      <c r="R18" t="s">
        <v>100</v>
      </c>
    </row>
    <row r="19" spans="1:18" x14ac:dyDescent="0.25">
      <c r="A19">
        <v>13</v>
      </c>
      <c r="B19" t="s">
        <v>4</v>
      </c>
      <c r="C19" t="s">
        <v>106</v>
      </c>
      <c r="D19">
        <v>25.4</v>
      </c>
      <c r="G19">
        <v>25.401800000000001</v>
      </c>
      <c r="J19">
        <v>1.8E-3</v>
      </c>
      <c r="M19">
        <v>25.5</v>
      </c>
      <c r="N19">
        <v>25.3</v>
      </c>
      <c r="O19" t="s">
        <v>100</v>
      </c>
      <c r="P19">
        <v>3.3E-3</v>
      </c>
      <c r="Q19">
        <v>0.05</v>
      </c>
      <c r="R19" t="s">
        <v>100</v>
      </c>
    </row>
    <row r="20" spans="1:18" x14ac:dyDescent="0.25">
      <c r="A20">
        <v>14</v>
      </c>
      <c r="B20" t="s">
        <v>5</v>
      </c>
      <c r="C20" t="s">
        <v>107</v>
      </c>
      <c r="D20">
        <v>72.887</v>
      </c>
      <c r="G20">
        <v>72.877600000000001</v>
      </c>
      <c r="J20">
        <v>-9.4000000000000004E-3</v>
      </c>
      <c r="M20">
        <v>72.986999999999995</v>
      </c>
      <c r="N20">
        <v>72.787000000000006</v>
      </c>
      <c r="O20" t="s">
        <v>100</v>
      </c>
    </row>
    <row r="21" spans="1:18" x14ac:dyDescent="0.25">
      <c r="A21">
        <v>15</v>
      </c>
      <c r="B21" t="s">
        <v>6</v>
      </c>
      <c r="C21" t="s">
        <v>107</v>
      </c>
      <c r="D21">
        <v>73.745999999999995</v>
      </c>
      <c r="G21">
        <v>73.712299999999999</v>
      </c>
      <c r="J21">
        <v>-3.3700000000000001E-2</v>
      </c>
      <c r="M21">
        <v>73.846000000000004</v>
      </c>
      <c r="N21">
        <v>73.646000000000001</v>
      </c>
      <c r="O21" t="s">
        <v>100</v>
      </c>
    </row>
    <row r="22" spans="1:18" x14ac:dyDescent="0.25">
      <c r="A22">
        <v>16</v>
      </c>
      <c r="B22" t="s">
        <v>7</v>
      </c>
      <c r="C22" t="s">
        <v>107</v>
      </c>
      <c r="D22">
        <v>72.376999999999995</v>
      </c>
      <c r="G22">
        <v>72.338899999999995</v>
      </c>
      <c r="J22">
        <v>-3.8100000000000002E-2</v>
      </c>
      <c r="M22">
        <v>72.477000000000004</v>
      </c>
      <c r="N22">
        <v>72.277000000000001</v>
      </c>
      <c r="O22" t="s">
        <v>100</v>
      </c>
    </row>
    <row r="23" spans="1:18" x14ac:dyDescent="0.25">
      <c r="A23">
        <v>17</v>
      </c>
      <c r="B23" t="s">
        <v>8</v>
      </c>
      <c r="C23" t="s">
        <v>107</v>
      </c>
      <c r="D23">
        <v>72.031000000000006</v>
      </c>
      <c r="G23">
        <v>71.963399999999993</v>
      </c>
      <c r="J23">
        <v>-6.7599999999999993E-2</v>
      </c>
      <c r="M23">
        <v>72.131</v>
      </c>
      <c r="N23">
        <v>71.930999999999997</v>
      </c>
      <c r="O23" t="s">
        <v>100</v>
      </c>
    </row>
    <row r="24" spans="1:18" x14ac:dyDescent="0.25">
      <c r="A24">
        <v>18</v>
      </c>
      <c r="B24" t="s">
        <v>9</v>
      </c>
      <c r="C24" t="s">
        <v>107</v>
      </c>
      <c r="D24">
        <v>75.007000000000005</v>
      </c>
      <c r="G24">
        <v>74.991100000000003</v>
      </c>
      <c r="J24">
        <v>-1.5900000000000001E-2</v>
      </c>
      <c r="M24">
        <v>75.106999999999999</v>
      </c>
      <c r="N24">
        <v>74.906999999999996</v>
      </c>
      <c r="O24" t="s">
        <v>100</v>
      </c>
    </row>
    <row r="25" spans="1:18" x14ac:dyDescent="0.25">
      <c r="A25">
        <v>19</v>
      </c>
      <c r="B25" t="s">
        <v>10</v>
      </c>
      <c r="C25" t="s">
        <v>107</v>
      </c>
      <c r="D25">
        <v>74.007000000000005</v>
      </c>
      <c r="G25">
        <v>73.986800000000002</v>
      </c>
      <c r="J25">
        <v>-2.0199999999999999E-2</v>
      </c>
      <c r="M25">
        <v>74.106999999999999</v>
      </c>
      <c r="N25">
        <v>73.906999999999996</v>
      </c>
      <c r="O25" t="s">
        <v>100</v>
      </c>
    </row>
    <row r="26" spans="1:18" x14ac:dyDescent="0.25">
      <c r="A26">
        <v>20</v>
      </c>
      <c r="B26" t="s">
        <v>11</v>
      </c>
      <c r="C26" t="s">
        <v>107</v>
      </c>
      <c r="D26">
        <v>126</v>
      </c>
      <c r="G26">
        <v>125.92959999999999</v>
      </c>
      <c r="J26">
        <v>-7.0400000000000004E-2</v>
      </c>
      <c r="M26">
        <v>126.1</v>
      </c>
      <c r="N26">
        <v>125.9</v>
      </c>
      <c r="O26" t="s">
        <v>100</v>
      </c>
    </row>
    <row r="27" spans="1:18" x14ac:dyDescent="0.25">
      <c r="A27">
        <v>21</v>
      </c>
      <c r="B27" t="s">
        <v>12</v>
      </c>
      <c r="C27" t="s">
        <v>107</v>
      </c>
      <c r="D27">
        <v>124.004</v>
      </c>
      <c r="G27">
        <v>123.9213</v>
      </c>
      <c r="J27">
        <v>-8.2699999999999996E-2</v>
      </c>
      <c r="M27">
        <v>124.104</v>
      </c>
      <c r="N27">
        <v>123.904</v>
      </c>
      <c r="O27" t="s">
        <v>100</v>
      </c>
    </row>
    <row r="28" spans="1:18" x14ac:dyDescent="0.25">
      <c r="A28">
        <v>22</v>
      </c>
      <c r="B28" t="s">
        <v>13</v>
      </c>
      <c r="C28" t="s">
        <v>107</v>
      </c>
      <c r="D28">
        <v>145.262</v>
      </c>
      <c r="G28">
        <v>145.21350000000001</v>
      </c>
      <c r="J28">
        <v>-4.8500000000000001E-2</v>
      </c>
      <c r="M28">
        <v>145.36199999999999</v>
      </c>
      <c r="N28">
        <v>145.16200000000001</v>
      </c>
      <c r="O28" t="s">
        <v>100</v>
      </c>
    </row>
    <row r="29" spans="1:18" x14ac:dyDescent="0.25">
      <c r="A29">
        <v>23</v>
      </c>
      <c r="B29" t="s">
        <v>14</v>
      </c>
      <c r="C29" t="s">
        <v>107</v>
      </c>
      <c r="D29">
        <v>145.774</v>
      </c>
      <c r="G29">
        <v>145.67230000000001</v>
      </c>
      <c r="J29">
        <v>-0.1017</v>
      </c>
      <c r="M29">
        <v>145.874</v>
      </c>
      <c r="N29">
        <v>145.67400000000001</v>
      </c>
      <c r="O29" t="s">
        <v>102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132FFE-3224-4DF5-B69B-E05DC1239B29}">
  <sheetPr codeName="Sheet34"/>
  <dimension ref="A1:R29"/>
  <sheetViews>
    <sheetView workbookViewId="0"/>
  </sheetViews>
  <sheetFormatPr defaultRowHeight="15" x14ac:dyDescent="0.25"/>
  <cols>
    <col min="1" max="1" width="26.5703125" bestFit="1" customWidth="1"/>
    <col min="2" max="2" width="14.140625" bestFit="1" customWidth="1"/>
    <col min="3" max="3" width="18.28515625" bestFit="1" customWidth="1"/>
    <col min="4" max="4" width="8" bestFit="1" customWidth="1"/>
    <col min="5" max="5" width="5.7109375" bestFit="1" customWidth="1"/>
    <col min="6" max="6" width="2" bestFit="1" customWidth="1"/>
    <col min="7" max="7" width="9" bestFit="1" customWidth="1"/>
    <col min="8" max="8" width="8.7109375" bestFit="1" customWidth="1"/>
    <col min="9" max="9" width="7" bestFit="1" customWidth="1"/>
    <col min="10" max="10" width="7.7109375" bestFit="1" customWidth="1"/>
    <col min="11" max="12" width="7" bestFit="1" customWidth="1"/>
    <col min="13" max="14" width="8" bestFit="1" customWidth="1"/>
    <col min="15" max="15" width="5.42578125" bestFit="1" customWidth="1"/>
    <col min="16" max="16" width="7" bestFit="1" customWidth="1"/>
    <col min="17" max="17" width="5" bestFit="1" customWidth="1"/>
    <col min="18" max="18" width="5.42578125" bestFit="1" customWidth="1"/>
  </cols>
  <sheetData>
    <row r="1" spans="1:18" x14ac:dyDescent="0.25">
      <c r="A1" t="s">
        <v>86</v>
      </c>
      <c r="B1" t="s">
        <v>128</v>
      </c>
    </row>
    <row r="2" spans="1:18" x14ac:dyDescent="0.25">
      <c r="A2" t="s">
        <v>88</v>
      </c>
      <c r="B2" t="s">
        <v>89</v>
      </c>
    </row>
    <row r="3" spans="1:18" x14ac:dyDescent="0.25">
      <c r="A3" t="s">
        <v>90</v>
      </c>
      <c r="B3" t="s">
        <v>144</v>
      </c>
    </row>
    <row r="4" spans="1:18" x14ac:dyDescent="0.25">
      <c r="A4" t="s">
        <v>92</v>
      </c>
      <c r="B4" t="s">
        <v>142</v>
      </c>
    </row>
    <row r="5" spans="1:18" x14ac:dyDescent="0.25">
      <c r="A5" t="s">
        <v>94</v>
      </c>
    </row>
    <row r="6" spans="1:18" x14ac:dyDescent="0.25">
      <c r="A6" t="s">
        <v>95</v>
      </c>
    </row>
    <row r="7" spans="1:18" x14ac:dyDescent="0.25">
      <c r="A7" t="s">
        <v>96</v>
      </c>
    </row>
    <row r="8" spans="1:18" x14ac:dyDescent="0.25">
      <c r="A8" t="s">
        <v>88</v>
      </c>
    </row>
    <row r="9" spans="1:18" x14ac:dyDescent="0.25">
      <c r="A9" t="s">
        <v>97</v>
      </c>
    </row>
    <row r="10" spans="1:18" x14ac:dyDescent="0.25">
      <c r="A10">
        <v>4</v>
      </c>
      <c r="B10" t="s">
        <v>98</v>
      </c>
      <c r="C10" t="s">
        <v>99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P10">
        <v>0</v>
      </c>
      <c r="Q10">
        <v>0.05</v>
      </c>
      <c r="R10" t="s">
        <v>100</v>
      </c>
    </row>
    <row r="11" spans="1:18" x14ac:dyDescent="0.25">
      <c r="A11">
        <v>5</v>
      </c>
      <c r="B11" t="s">
        <v>101</v>
      </c>
      <c r="C11" t="s">
        <v>99</v>
      </c>
      <c r="D11">
        <v>62.5</v>
      </c>
      <c r="E11">
        <v>37.5</v>
      </c>
      <c r="F11">
        <v>0</v>
      </c>
      <c r="G11">
        <v>62.479399999999998</v>
      </c>
      <c r="H11">
        <v>37.517099999999999</v>
      </c>
      <c r="I11">
        <v>8.8200000000000001E-2</v>
      </c>
      <c r="J11">
        <v>-2.06E-2</v>
      </c>
      <c r="K11">
        <v>1.7100000000000001E-2</v>
      </c>
      <c r="L11">
        <v>8.8200000000000001E-2</v>
      </c>
      <c r="P11">
        <v>0.18440000000000001</v>
      </c>
      <c r="Q11">
        <v>0.05</v>
      </c>
      <c r="R11" t="s">
        <v>102</v>
      </c>
    </row>
    <row r="12" spans="1:18" x14ac:dyDescent="0.25">
      <c r="A12">
        <v>6</v>
      </c>
      <c r="B12" t="s">
        <v>103</v>
      </c>
      <c r="C12" t="s">
        <v>99</v>
      </c>
      <c r="D12">
        <v>-63.5</v>
      </c>
      <c r="E12">
        <v>37.5</v>
      </c>
      <c r="F12">
        <v>0</v>
      </c>
      <c r="G12">
        <v>-63.450699999999998</v>
      </c>
      <c r="H12">
        <v>37.517099999999999</v>
      </c>
      <c r="I12">
        <v>7.1300000000000002E-2</v>
      </c>
      <c r="J12">
        <v>4.9299999999999997E-2</v>
      </c>
      <c r="K12">
        <v>1.7100000000000001E-2</v>
      </c>
      <c r="L12">
        <v>7.1300000000000002E-2</v>
      </c>
      <c r="P12">
        <v>0.17680000000000001</v>
      </c>
      <c r="Q12">
        <v>0.05</v>
      </c>
      <c r="R12" t="s">
        <v>102</v>
      </c>
    </row>
    <row r="13" spans="1:18" x14ac:dyDescent="0.25">
      <c r="A13">
        <v>7</v>
      </c>
      <c r="B13" t="s">
        <v>104</v>
      </c>
      <c r="C13" t="s">
        <v>99</v>
      </c>
      <c r="D13">
        <v>-62.5</v>
      </c>
      <c r="E13">
        <v>-36.5</v>
      </c>
      <c r="F13">
        <v>0</v>
      </c>
      <c r="G13">
        <v>-62.476799999999997</v>
      </c>
      <c r="H13">
        <v>-36.463099999999997</v>
      </c>
      <c r="I13">
        <v>8.8400000000000006E-2</v>
      </c>
      <c r="J13">
        <v>2.3199999999999998E-2</v>
      </c>
      <c r="K13">
        <v>3.6900000000000002E-2</v>
      </c>
      <c r="L13">
        <v>8.8400000000000006E-2</v>
      </c>
      <c r="P13">
        <v>0.1971</v>
      </c>
      <c r="Q13">
        <v>0.05</v>
      </c>
      <c r="R13" t="s">
        <v>102</v>
      </c>
    </row>
    <row r="14" spans="1:18" x14ac:dyDescent="0.25">
      <c r="A14">
        <v>8</v>
      </c>
      <c r="B14" t="s">
        <v>105</v>
      </c>
      <c r="C14" t="s">
        <v>99</v>
      </c>
      <c r="D14">
        <v>61.5</v>
      </c>
      <c r="E14">
        <v>-37.5</v>
      </c>
      <c r="F14">
        <v>0</v>
      </c>
      <c r="G14">
        <v>61.4405</v>
      </c>
      <c r="H14">
        <v>-37.466999999999999</v>
      </c>
      <c r="I14">
        <v>7.1800000000000003E-2</v>
      </c>
      <c r="J14">
        <v>-5.9499999999999997E-2</v>
      </c>
      <c r="K14">
        <v>3.3000000000000002E-2</v>
      </c>
      <c r="L14">
        <v>7.1800000000000003E-2</v>
      </c>
      <c r="P14">
        <v>0.19789999999999999</v>
      </c>
      <c r="Q14">
        <v>0.05</v>
      </c>
      <c r="R14" t="s">
        <v>102</v>
      </c>
    </row>
    <row r="15" spans="1:18" x14ac:dyDescent="0.25">
      <c r="A15">
        <v>9</v>
      </c>
      <c r="B15" t="s">
        <v>0</v>
      </c>
      <c r="C15" t="s">
        <v>106</v>
      </c>
      <c r="D15">
        <v>25.4</v>
      </c>
      <c r="G15">
        <v>25.398499999999999</v>
      </c>
      <c r="J15">
        <v>-1.5E-3</v>
      </c>
      <c r="M15">
        <v>25.5</v>
      </c>
      <c r="N15">
        <v>25.3</v>
      </c>
      <c r="O15" t="s">
        <v>100</v>
      </c>
      <c r="P15">
        <v>5.1999999999999998E-3</v>
      </c>
      <c r="Q15">
        <v>0.05</v>
      </c>
      <c r="R15" t="s">
        <v>100</v>
      </c>
    </row>
    <row r="16" spans="1:18" x14ac:dyDescent="0.25">
      <c r="A16">
        <v>10</v>
      </c>
      <c r="B16" t="s">
        <v>1</v>
      </c>
      <c r="C16" t="s">
        <v>106</v>
      </c>
      <c r="D16">
        <v>25.4</v>
      </c>
      <c r="G16">
        <v>25.401900000000001</v>
      </c>
      <c r="J16">
        <v>1.9E-3</v>
      </c>
      <c r="M16">
        <v>25.5</v>
      </c>
      <c r="N16">
        <v>25.3</v>
      </c>
      <c r="O16" t="s">
        <v>100</v>
      </c>
      <c r="P16">
        <v>7.7000000000000002E-3</v>
      </c>
      <c r="Q16">
        <v>0.05</v>
      </c>
      <c r="R16" t="s">
        <v>100</v>
      </c>
    </row>
    <row r="17" spans="1:18" x14ac:dyDescent="0.25">
      <c r="A17">
        <v>11</v>
      </c>
      <c r="B17" t="s">
        <v>2</v>
      </c>
      <c r="C17" t="s">
        <v>106</v>
      </c>
      <c r="D17">
        <v>25.4</v>
      </c>
      <c r="G17">
        <v>25.401900000000001</v>
      </c>
      <c r="J17">
        <v>1.9E-3</v>
      </c>
      <c r="M17">
        <v>25.5</v>
      </c>
      <c r="N17">
        <v>25.3</v>
      </c>
      <c r="O17" t="s">
        <v>100</v>
      </c>
      <c r="P17">
        <v>4.8999999999999998E-3</v>
      </c>
      <c r="Q17">
        <v>0.05</v>
      </c>
      <c r="R17" t="s">
        <v>100</v>
      </c>
    </row>
    <row r="18" spans="1:18" x14ac:dyDescent="0.25">
      <c r="A18">
        <v>12</v>
      </c>
      <c r="B18" t="s">
        <v>3</v>
      </c>
      <c r="C18" t="s">
        <v>106</v>
      </c>
      <c r="D18">
        <v>25.4</v>
      </c>
      <c r="G18">
        <v>25.402999999999999</v>
      </c>
      <c r="J18">
        <v>3.0000000000000001E-3</v>
      </c>
      <c r="M18">
        <v>25.5</v>
      </c>
      <c r="N18">
        <v>25.3</v>
      </c>
      <c r="O18" t="s">
        <v>100</v>
      </c>
      <c r="P18">
        <v>6.4000000000000003E-3</v>
      </c>
      <c r="Q18">
        <v>0.05</v>
      </c>
      <c r="R18" t="s">
        <v>100</v>
      </c>
    </row>
    <row r="19" spans="1:18" x14ac:dyDescent="0.25">
      <c r="A19">
        <v>13</v>
      </c>
      <c r="B19" t="s">
        <v>4</v>
      </c>
      <c r="C19" t="s">
        <v>106</v>
      </c>
      <c r="D19">
        <v>25.4</v>
      </c>
      <c r="G19">
        <v>25.401499999999999</v>
      </c>
      <c r="J19">
        <v>1.5E-3</v>
      </c>
      <c r="M19">
        <v>25.5</v>
      </c>
      <c r="N19">
        <v>25.3</v>
      </c>
      <c r="O19" t="s">
        <v>100</v>
      </c>
      <c r="P19">
        <v>3.7000000000000002E-3</v>
      </c>
      <c r="Q19">
        <v>0.05</v>
      </c>
      <c r="R19" t="s">
        <v>100</v>
      </c>
    </row>
    <row r="20" spans="1:18" x14ac:dyDescent="0.25">
      <c r="A20">
        <v>14</v>
      </c>
      <c r="B20" t="s">
        <v>5</v>
      </c>
      <c r="C20" t="s">
        <v>107</v>
      </c>
      <c r="D20">
        <v>72.887</v>
      </c>
      <c r="G20">
        <v>72.878100000000003</v>
      </c>
      <c r="J20">
        <v>-8.8999999999999999E-3</v>
      </c>
      <c r="M20">
        <v>72.986999999999995</v>
      </c>
      <c r="N20">
        <v>72.787000000000006</v>
      </c>
      <c r="O20" t="s">
        <v>100</v>
      </c>
    </row>
    <row r="21" spans="1:18" x14ac:dyDescent="0.25">
      <c r="A21">
        <v>15</v>
      </c>
      <c r="B21" t="s">
        <v>6</v>
      </c>
      <c r="C21" t="s">
        <v>107</v>
      </c>
      <c r="D21">
        <v>73.745999999999995</v>
      </c>
      <c r="G21">
        <v>73.712400000000002</v>
      </c>
      <c r="J21">
        <v>-3.3599999999999998E-2</v>
      </c>
      <c r="M21">
        <v>73.846000000000004</v>
      </c>
      <c r="N21">
        <v>73.646000000000001</v>
      </c>
      <c r="O21" t="s">
        <v>100</v>
      </c>
    </row>
    <row r="22" spans="1:18" x14ac:dyDescent="0.25">
      <c r="A22">
        <v>16</v>
      </c>
      <c r="B22" t="s">
        <v>7</v>
      </c>
      <c r="C22" t="s">
        <v>107</v>
      </c>
      <c r="D22">
        <v>72.376999999999995</v>
      </c>
      <c r="G22">
        <v>72.338899999999995</v>
      </c>
      <c r="J22">
        <v>-3.8100000000000002E-2</v>
      </c>
      <c r="M22">
        <v>72.477000000000004</v>
      </c>
      <c r="N22">
        <v>72.277000000000001</v>
      </c>
      <c r="O22" t="s">
        <v>100</v>
      </c>
    </row>
    <row r="23" spans="1:18" x14ac:dyDescent="0.25">
      <c r="A23">
        <v>17</v>
      </c>
      <c r="B23" t="s">
        <v>8</v>
      </c>
      <c r="C23" t="s">
        <v>107</v>
      </c>
      <c r="D23">
        <v>72.031000000000006</v>
      </c>
      <c r="G23">
        <v>71.963300000000004</v>
      </c>
      <c r="J23">
        <v>-6.7699999999999996E-2</v>
      </c>
      <c r="M23">
        <v>72.131</v>
      </c>
      <c r="N23">
        <v>71.930999999999997</v>
      </c>
      <c r="O23" t="s">
        <v>100</v>
      </c>
    </row>
    <row r="24" spans="1:18" x14ac:dyDescent="0.25">
      <c r="A24">
        <v>18</v>
      </c>
      <c r="B24" t="s">
        <v>9</v>
      </c>
      <c r="C24" t="s">
        <v>107</v>
      </c>
      <c r="D24">
        <v>75.007000000000005</v>
      </c>
      <c r="G24">
        <v>74.991299999999995</v>
      </c>
      <c r="J24">
        <v>-1.5699999999999999E-2</v>
      </c>
      <c r="M24">
        <v>75.106999999999999</v>
      </c>
      <c r="N24">
        <v>74.906999999999996</v>
      </c>
      <c r="O24" t="s">
        <v>100</v>
      </c>
    </row>
    <row r="25" spans="1:18" x14ac:dyDescent="0.25">
      <c r="A25">
        <v>19</v>
      </c>
      <c r="B25" t="s">
        <v>10</v>
      </c>
      <c r="C25" t="s">
        <v>107</v>
      </c>
      <c r="D25">
        <v>74.007000000000005</v>
      </c>
      <c r="G25">
        <v>73.986599999999996</v>
      </c>
      <c r="J25">
        <v>-2.0400000000000001E-2</v>
      </c>
      <c r="M25">
        <v>74.106999999999999</v>
      </c>
      <c r="N25">
        <v>73.906999999999996</v>
      </c>
      <c r="O25" t="s">
        <v>100</v>
      </c>
    </row>
    <row r="26" spans="1:18" x14ac:dyDescent="0.25">
      <c r="A26">
        <v>20</v>
      </c>
      <c r="B26" t="s">
        <v>11</v>
      </c>
      <c r="C26" t="s">
        <v>107</v>
      </c>
      <c r="D26">
        <v>126</v>
      </c>
      <c r="G26">
        <v>125.9301</v>
      </c>
      <c r="J26">
        <v>-6.9900000000000004E-2</v>
      </c>
      <c r="M26">
        <v>126.1</v>
      </c>
      <c r="N26">
        <v>125.9</v>
      </c>
      <c r="O26" t="s">
        <v>100</v>
      </c>
    </row>
    <row r="27" spans="1:18" x14ac:dyDescent="0.25">
      <c r="A27">
        <v>21</v>
      </c>
      <c r="B27" t="s">
        <v>12</v>
      </c>
      <c r="C27" t="s">
        <v>107</v>
      </c>
      <c r="D27">
        <v>124.004</v>
      </c>
      <c r="G27">
        <v>123.92140000000001</v>
      </c>
      <c r="J27">
        <v>-8.2600000000000007E-2</v>
      </c>
      <c r="M27">
        <v>124.104</v>
      </c>
      <c r="N27">
        <v>123.904</v>
      </c>
      <c r="O27" t="s">
        <v>100</v>
      </c>
    </row>
    <row r="28" spans="1:18" x14ac:dyDescent="0.25">
      <c r="A28">
        <v>22</v>
      </c>
      <c r="B28" t="s">
        <v>13</v>
      </c>
      <c r="C28" t="s">
        <v>107</v>
      </c>
      <c r="D28">
        <v>145.262</v>
      </c>
      <c r="G28">
        <v>145.2141</v>
      </c>
      <c r="J28">
        <v>-4.7899999999999998E-2</v>
      </c>
      <c r="M28">
        <v>145.36199999999999</v>
      </c>
      <c r="N28">
        <v>145.16200000000001</v>
      </c>
      <c r="O28" t="s">
        <v>100</v>
      </c>
    </row>
    <row r="29" spans="1:18" x14ac:dyDescent="0.25">
      <c r="A29">
        <v>23</v>
      </c>
      <c r="B29" t="s">
        <v>14</v>
      </c>
      <c r="C29" t="s">
        <v>107</v>
      </c>
      <c r="D29">
        <v>145.774</v>
      </c>
      <c r="G29">
        <v>145.67230000000001</v>
      </c>
      <c r="J29">
        <v>-0.1017</v>
      </c>
      <c r="M29">
        <v>145.874</v>
      </c>
      <c r="N29">
        <v>145.67400000000001</v>
      </c>
      <c r="O29" t="s">
        <v>102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CDA32-97AB-41CC-B64B-63D2D0E411DC}">
  <sheetPr codeName="Sheet35"/>
  <dimension ref="A1:R29"/>
  <sheetViews>
    <sheetView workbookViewId="0"/>
  </sheetViews>
  <sheetFormatPr defaultRowHeight="15" x14ac:dyDescent="0.25"/>
  <cols>
    <col min="1" max="1" width="26.5703125" bestFit="1" customWidth="1"/>
    <col min="2" max="2" width="14.140625" bestFit="1" customWidth="1"/>
    <col min="3" max="3" width="18.28515625" bestFit="1" customWidth="1"/>
    <col min="4" max="4" width="8" bestFit="1" customWidth="1"/>
    <col min="5" max="5" width="5.7109375" bestFit="1" customWidth="1"/>
    <col min="6" max="6" width="2" bestFit="1" customWidth="1"/>
    <col min="7" max="7" width="9" bestFit="1" customWidth="1"/>
    <col min="8" max="8" width="8.7109375" bestFit="1" customWidth="1"/>
    <col min="9" max="9" width="7" bestFit="1" customWidth="1"/>
    <col min="10" max="10" width="7.7109375" bestFit="1" customWidth="1"/>
    <col min="11" max="12" width="7" bestFit="1" customWidth="1"/>
    <col min="13" max="14" width="8" bestFit="1" customWidth="1"/>
    <col min="15" max="15" width="5.42578125" bestFit="1" customWidth="1"/>
    <col min="16" max="16" width="7" bestFit="1" customWidth="1"/>
    <col min="17" max="17" width="5" bestFit="1" customWidth="1"/>
    <col min="18" max="18" width="5.42578125" bestFit="1" customWidth="1"/>
  </cols>
  <sheetData>
    <row r="1" spans="1:18" x14ac:dyDescent="0.25">
      <c r="A1" t="s">
        <v>86</v>
      </c>
      <c r="B1" t="s">
        <v>128</v>
      </c>
    </row>
    <row r="2" spans="1:18" x14ac:dyDescent="0.25">
      <c r="A2" t="s">
        <v>88</v>
      </c>
      <c r="B2" t="s">
        <v>89</v>
      </c>
    </row>
    <row r="3" spans="1:18" x14ac:dyDescent="0.25">
      <c r="A3" t="s">
        <v>90</v>
      </c>
      <c r="B3" t="s">
        <v>145</v>
      </c>
    </row>
    <row r="4" spans="1:18" x14ac:dyDescent="0.25">
      <c r="A4" t="s">
        <v>92</v>
      </c>
      <c r="B4" t="s">
        <v>142</v>
      </c>
    </row>
    <row r="5" spans="1:18" x14ac:dyDescent="0.25">
      <c r="A5" t="s">
        <v>94</v>
      </c>
    </row>
    <row r="6" spans="1:18" x14ac:dyDescent="0.25">
      <c r="A6" t="s">
        <v>95</v>
      </c>
    </row>
    <row r="7" spans="1:18" x14ac:dyDescent="0.25">
      <c r="A7" t="s">
        <v>96</v>
      </c>
    </row>
    <row r="8" spans="1:18" x14ac:dyDescent="0.25">
      <c r="A8" t="s">
        <v>88</v>
      </c>
    </row>
    <row r="9" spans="1:18" x14ac:dyDescent="0.25">
      <c r="A9" t="s">
        <v>97</v>
      </c>
    </row>
    <row r="10" spans="1:18" x14ac:dyDescent="0.25">
      <c r="A10">
        <v>4</v>
      </c>
      <c r="B10" t="s">
        <v>98</v>
      </c>
      <c r="C10" t="s">
        <v>99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P10">
        <v>0</v>
      </c>
      <c r="Q10">
        <v>0.05</v>
      </c>
      <c r="R10" t="s">
        <v>100</v>
      </c>
    </row>
    <row r="11" spans="1:18" x14ac:dyDescent="0.25">
      <c r="A11">
        <v>5</v>
      </c>
      <c r="B11" t="s">
        <v>101</v>
      </c>
      <c r="C11" t="s">
        <v>99</v>
      </c>
      <c r="D11">
        <v>62.5</v>
      </c>
      <c r="E11">
        <v>37.5</v>
      </c>
      <c r="F11">
        <v>0</v>
      </c>
      <c r="G11">
        <v>62.479399999999998</v>
      </c>
      <c r="H11">
        <v>37.5169</v>
      </c>
      <c r="I11">
        <v>8.8499999999999995E-2</v>
      </c>
      <c r="J11">
        <v>-2.06E-2</v>
      </c>
      <c r="K11">
        <v>1.6899999999999998E-2</v>
      </c>
      <c r="L11">
        <v>8.8499999999999995E-2</v>
      </c>
      <c r="P11">
        <v>0.18490000000000001</v>
      </c>
      <c r="Q11">
        <v>0.05</v>
      </c>
      <c r="R11" t="s">
        <v>102</v>
      </c>
    </row>
    <row r="12" spans="1:18" x14ac:dyDescent="0.25">
      <c r="A12">
        <v>6</v>
      </c>
      <c r="B12" t="s">
        <v>103</v>
      </c>
      <c r="C12" t="s">
        <v>99</v>
      </c>
      <c r="D12">
        <v>-63.5</v>
      </c>
      <c r="E12">
        <v>37.5</v>
      </c>
      <c r="F12">
        <v>0</v>
      </c>
      <c r="G12">
        <v>-63.450400000000002</v>
      </c>
      <c r="H12">
        <v>37.5169</v>
      </c>
      <c r="I12">
        <v>7.17E-2</v>
      </c>
      <c r="J12">
        <v>4.9599999999999998E-2</v>
      </c>
      <c r="K12">
        <v>1.6899999999999998E-2</v>
      </c>
      <c r="L12">
        <v>7.17E-2</v>
      </c>
      <c r="P12">
        <v>0.17760000000000001</v>
      </c>
      <c r="Q12">
        <v>0.05</v>
      </c>
      <c r="R12" t="s">
        <v>102</v>
      </c>
    </row>
    <row r="13" spans="1:18" x14ac:dyDescent="0.25">
      <c r="A13">
        <v>7</v>
      </c>
      <c r="B13" t="s">
        <v>104</v>
      </c>
      <c r="C13" t="s">
        <v>99</v>
      </c>
      <c r="D13">
        <v>-62.5</v>
      </c>
      <c r="E13">
        <v>-36.5</v>
      </c>
      <c r="F13">
        <v>0</v>
      </c>
      <c r="G13">
        <v>-62.476799999999997</v>
      </c>
      <c r="H13">
        <v>-36.462600000000002</v>
      </c>
      <c r="I13">
        <v>8.8800000000000004E-2</v>
      </c>
      <c r="J13">
        <v>2.3199999999999998E-2</v>
      </c>
      <c r="K13">
        <v>3.7400000000000003E-2</v>
      </c>
      <c r="L13">
        <v>8.8800000000000004E-2</v>
      </c>
      <c r="P13">
        <v>0.1981</v>
      </c>
      <c r="Q13">
        <v>0.05</v>
      </c>
      <c r="R13" t="s">
        <v>102</v>
      </c>
    </row>
    <row r="14" spans="1:18" x14ac:dyDescent="0.25">
      <c r="A14">
        <v>8</v>
      </c>
      <c r="B14" t="s">
        <v>105</v>
      </c>
      <c r="C14" t="s">
        <v>99</v>
      </c>
      <c r="D14">
        <v>61.5</v>
      </c>
      <c r="E14">
        <v>-37.5</v>
      </c>
      <c r="F14">
        <v>0</v>
      </c>
      <c r="G14">
        <v>61.4405</v>
      </c>
      <c r="H14">
        <v>-37.466999999999999</v>
      </c>
      <c r="I14">
        <v>7.2099999999999997E-2</v>
      </c>
      <c r="J14">
        <v>-5.9499999999999997E-2</v>
      </c>
      <c r="K14">
        <v>3.3000000000000002E-2</v>
      </c>
      <c r="L14">
        <v>7.2099999999999997E-2</v>
      </c>
      <c r="P14">
        <v>0.1983</v>
      </c>
      <c r="Q14">
        <v>0.05</v>
      </c>
      <c r="R14" t="s">
        <v>102</v>
      </c>
    </row>
    <row r="15" spans="1:18" x14ac:dyDescent="0.25">
      <c r="A15">
        <v>9</v>
      </c>
      <c r="B15" t="s">
        <v>0</v>
      </c>
      <c r="C15" t="s">
        <v>106</v>
      </c>
      <c r="D15">
        <v>25.4</v>
      </c>
      <c r="G15">
        <v>25.398900000000001</v>
      </c>
      <c r="J15">
        <v>-1.1000000000000001E-3</v>
      </c>
      <c r="M15">
        <v>25.5</v>
      </c>
      <c r="N15">
        <v>25.3</v>
      </c>
      <c r="O15" t="s">
        <v>100</v>
      </c>
      <c r="P15">
        <v>5.3E-3</v>
      </c>
      <c r="Q15">
        <v>0.05</v>
      </c>
      <c r="R15" t="s">
        <v>100</v>
      </c>
    </row>
    <row r="16" spans="1:18" x14ac:dyDescent="0.25">
      <c r="A16">
        <v>10</v>
      </c>
      <c r="B16" t="s">
        <v>1</v>
      </c>
      <c r="C16" t="s">
        <v>106</v>
      </c>
      <c r="D16">
        <v>25.4</v>
      </c>
      <c r="G16">
        <v>25.401900000000001</v>
      </c>
      <c r="J16">
        <v>1.9E-3</v>
      </c>
      <c r="M16">
        <v>25.5</v>
      </c>
      <c r="N16">
        <v>25.3</v>
      </c>
      <c r="O16" t="s">
        <v>100</v>
      </c>
      <c r="P16">
        <v>8.3000000000000001E-3</v>
      </c>
      <c r="Q16">
        <v>0.05</v>
      </c>
      <c r="R16" t="s">
        <v>100</v>
      </c>
    </row>
    <row r="17" spans="1:18" x14ac:dyDescent="0.25">
      <c r="A17">
        <v>11</v>
      </c>
      <c r="B17" t="s">
        <v>2</v>
      </c>
      <c r="C17" t="s">
        <v>106</v>
      </c>
      <c r="D17">
        <v>25.4</v>
      </c>
      <c r="G17">
        <v>25.401900000000001</v>
      </c>
      <c r="J17">
        <v>1.9E-3</v>
      </c>
      <c r="M17">
        <v>25.5</v>
      </c>
      <c r="N17">
        <v>25.3</v>
      </c>
      <c r="O17" t="s">
        <v>100</v>
      </c>
      <c r="P17">
        <v>4.5999999999999999E-3</v>
      </c>
      <c r="Q17">
        <v>0.05</v>
      </c>
      <c r="R17" t="s">
        <v>100</v>
      </c>
    </row>
    <row r="18" spans="1:18" x14ac:dyDescent="0.25">
      <c r="A18">
        <v>12</v>
      </c>
      <c r="B18" t="s">
        <v>3</v>
      </c>
      <c r="C18" t="s">
        <v>106</v>
      </c>
      <c r="D18">
        <v>25.4</v>
      </c>
      <c r="G18">
        <v>25.403199999999998</v>
      </c>
      <c r="J18">
        <v>3.2000000000000002E-3</v>
      </c>
      <c r="M18">
        <v>25.5</v>
      </c>
      <c r="N18">
        <v>25.3</v>
      </c>
      <c r="O18" t="s">
        <v>100</v>
      </c>
      <c r="P18">
        <v>6.7000000000000002E-3</v>
      </c>
      <c r="Q18">
        <v>0.05</v>
      </c>
      <c r="R18" t="s">
        <v>100</v>
      </c>
    </row>
    <row r="19" spans="1:18" x14ac:dyDescent="0.25">
      <c r="A19">
        <v>13</v>
      </c>
      <c r="B19" t="s">
        <v>4</v>
      </c>
      <c r="C19" t="s">
        <v>106</v>
      </c>
      <c r="D19">
        <v>25.4</v>
      </c>
      <c r="G19">
        <v>25.402200000000001</v>
      </c>
      <c r="J19">
        <v>2.2000000000000001E-3</v>
      </c>
      <c r="M19">
        <v>25.5</v>
      </c>
      <c r="N19">
        <v>25.3</v>
      </c>
      <c r="O19" t="s">
        <v>100</v>
      </c>
      <c r="P19">
        <v>5.1000000000000004E-3</v>
      </c>
      <c r="Q19">
        <v>0.05</v>
      </c>
      <c r="R19" t="s">
        <v>100</v>
      </c>
    </row>
    <row r="20" spans="1:18" x14ac:dyDescent="0.25">
      <c r="A20">
        <v>14</v>
      </c>
      <c r="B20" t="s">
        <v>5</v>
      </c>
      <c r="C20" t="s">
        <v>107</v>
      </c>
      <c r="D20">
        <v>72.887</v>
      </c>
      <c r="G20">
        <v>72.878</v>
      </c>
      <c r="J20">
        <v>-8.9999999999999993E-3</v>
      </c>
      <c r="M20">
        <v>72.986999999999995</v>
      </c>
      <c r="N20">
        <v>72.787000000000006</v>
      </c>
      <c r="O20" t="s">
        <v>100</v>
      </c>
    </row>
    <row r="21" spans="1:18" x14ac:dyDescent="0.25">
      <c r="A21">
        <v>15</v>
      </c>
      <c r="B21" t="s">
        <v>6</v>
      </c>
      <c r="C21" t="s">
        <v>107</v>
      </c>
      <c r="D21">
        <v>73.745999999999995</v>
      </c>
      <c r="G21">
        <v>73.712100000000007</v>
      </c>
      <c r="J21">
        <v>-3.39E-2</v>
      </c>
      <c r="M21">
        <v>73.846000000000004</v>
      </c>
      <c r="N21">
        <v>73.646000000000001</v>
      </c>
      <c r="O21" t="s">
        <v>100</v>
      </c>
    </row>
    <row r="22" spans="1:18" x14ac:dyDescent="0.25">
      <c r="A22">
        <v>16</v>
      </c>
      <c r="B22" t="s">
        <v>7</v>
      </c>
      <c r="C22" t="s">
        <v>107</v>
      </c>
      <c r="D22">
        <v>72.376999999999995</v>
      </c>
      <c r="G22">
        <v>72.338700000000003</v>
      </c>
      <c r="J22">
        <v>-3.8300000000000001E-2</v>
      </c>
      <c r="M22">
        <v>72.477000000000004</v>
      </c>
      <c r="N22">
        <v>72.277000000000001</v>
      </c>
      <c r="O22" t="s">
        <v>100</v>
      </c>
    </row>
    <row r="23" spans="1:18" x14ac:dyDescent="0.25">
      <c r="A23">
        <v>17</v>
      </c>
      <c r="B23" t="s">
        <v>8</v>
      </c>
      <c r="C23" t="s">
        <v>107</v>
      </c>
      <c r="D23">
        <v>72.031000000000006</v>
      </c>
      <c r="G23">
        <v>71.963300000000004</v>
      </c>
      <c r="J23">
        <v>-6.7699999999999996E-2</v>
      </c>
      <c r="M23">
        <v>72.131</v>
      </c>
      <c r="N23">
        <v>71.930999999999997</v>
      </c>
      <c r="O23" t="s">
        <v>100</v>
      </c>
    </row>
    <row r="24" spans="1:18" x14ac:dyDescent="0.25">
      <c r="A24">
        <v>18</v>
      </c>
      <c r="B24" t="s">
        <v>9</v>
      </c>
      <c r="C24" t="s">
        <v>107</v>
      </c>
      <c r="D24">
        <v>75.007000000000005</v>
      </c>
      <c r="G24">
        <v>74.991200000000006</v>
      </c>
      <c r="J24">
        <v>-1.5800000000000002E-2</v>
      </c>
      <c r="M24">
        <v>75.106999999999999</v>
      </c>
      <c r="N24">
        <v>74.906999999999996</v>
      </c>
      <c r="O24" t="s">
        <v>100</v>
      </c>
    </row>
    <row r="25" spans="1:18" x14ac:dyDescent="0.25">
      <c r="A25">
        <v>19</v>
      </c>
      <c r="B25" t="s">
        <v>10</v>
      </c>
      <c r="C25" t="s">
        <v>107</v>
      </c>
      <c r="D25">
        <v>74.007000000000005</v>
      </c>
      <c r="G25">
        <v>73.985900000000001</v>
      </c>
      <c r="J25">
        <v>-2.1100000000000001E-2</v>
      </c>
      <c r="M25">
        <v>74.106999999999999</v>
      </c>
      <c r="N25">
        <v>73.906999999999996</v>
      </c>
      <c r="O25" t="s">
        <v>100</v>
      </c>
    </row>
    <row r="26" spans="1:18" x14ac:dyDescent="0.25">
      <c r="A26">
        <v>20</v>
      </c>
      <c r="B26" t="s">
        <v>11</v>
      </c>
      <c r="C26" t="s">
        <v>107</v>
      </c>
      <c r="D26">
        <v>126</v>
      </c>
      <c r="G26">
        <v>125.9298</v>
      </c>
      <c r="J26">
        <v>-7.0199999999999999E-2</v>
      </c>
      <c r="M26">
        <v>126.1</v>
      </c>
      <c r="N26">
        <v>125.9</v>
      </c>
      <c r="O26" t="s">
        <v>100</v>
      </c>
    </row>
    <row r="27" spans="1:18" x14ac:dyDescent="0.25">
      <c r="A27">
        <v>21</v>
      </c>
      <c r="B27" t="s">
        <v>12</v>
      </c>
      <c r="C27" t="s">
        <v>107</v>
      </c>
      <c r="D27">
        <v>124.004</v>
      </c>
      <c r="G27">
        <v>123.92140000000001</v>
      </c>
      <c r="J27">
        <v>-8.2600000000000007E-2</v>
      </c>
      <c r="M27">
        <v>124.104</v>
      </c>
      <c r="N27">
        <v>123.904</v>
      </c>
      <c r="O27" t="s">
        <v>100</v>
      </c>
    </row>
    <row r="28" spans="1:18" x14ac:dyDescent="0.25">
      <c r="A28">
        <v>22</v>
      </c>
      <c r="B28" t="s">
        <v>13</v>
      </c>
      <c r="C28" t="s">
        <v>107</v>
      </c>
      <c r="D28">
        <v>145.262</v>
      </c>
      <c r="G28">
        <v>145.21369999999999</v>
      </c>
      <c r="J28">
        <v>-4.8300000000000003E-2</v>
      </c>
      <c r="M28">
        <v>145.36199999999999</v>
      </c>
      <c r="N28">
        <v>145.16200000000001</v>
      </c>
      <c r="O28" t="s">
        <v>100</v>
      </c>
    </row>
    <row r="29" spans="1:18" x14ac:dyDescent="0.25">
      <c r="A29">
        <v>23</v>
      </c>
      <c r="B29" t="s">
        <v>14</v>
      </c>
      <c r="C29" t="s">
        <v>107</v>
      </c>
      <c r="D29">
        <v>145.774</v>
      </c>
      <c r="G29">
        <v>145.672</v>
      </c>
      <c r="J29">
        <v>-0.10199999999999999</v>
      </c>
      <c r="M29">
        <v>145.874</v>
      </c>
      <c r="N29">
        <v>145.67400000000001</v>
      </c>
      <c r="O29" t="s">
        <v>102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068193-000A-4C35-ADE0-751075F4DAB2}">
  <sheetPr codeName="Sheet36"/>
  <dimension ref="A1:R29"/>
  <sheetViews>
    <sheetView workbookViewId="0"/>
  </sheetViews>
  <sheetFormatPr defaultRowHeight="15" x14ac:dyDescent="0.25"/>
  <cols>
    <col min="1" max="1" width="26.5703125" bestFit="1" customWidth="1"/>
    <col min="2" max="2" width="14.140625" bestFit="1" customWidth="1"/>
    <col min="3" max="3" width="18.28515625" bestFit="1" customWidth="1"/>
    <col min="4" max="4" width="8" bestFit="1" customWidth="1"/>
    <col min="5" max="5" width="5.7109375" bestFit="1" customWidth="1"/>
    <col min="6" max="6" width="2" bestFit="1" customWidth="1"/>
    <col min="7" max="7" width="9" bestFit="1" customWidth="1"/>
    <col min="8" max="8" width="8.7109375" bestFit="1" customWidth="1"/>
    <col min="9" max="9" width="7" bestFit="1" customWidth="1"/>
    <col min="10" max="10" width="7.7109375" bestFit="1" customWidth="1"/>
    <col min="11" max="12" width="7" bestFit="1" customWidth="1"/>
    <col min="13" max="14" width="8" bestFit="1" customWidth="1"/>
    <col min="15" max="15" width="5.42578125" bestFit="1" customWidth="1"/>
    <col min="16" max="16" width="7" bestFit="1" customWidth="1"/>
    <col min="17" max="17" width="5" bestFit="1" customWidth="1"/>
    <col min="18" max="18" width="5.42578125" bestFit="1" customWidth="1"/>
  </cols>
  <sheetData>
    <row r="1" spans="1:18" x14ac:dyDescent="0.25">
      <c r="A1" t="s">
        <v>86</v>
      </c>
      <c r="B1" t="s">
        <v>128</v>
      </c>
    </row>
    <row r="2" spans="1:18" x14ac:dyDescent="0.25">
      <c r="A2" t="s">
        <v>88</v>
      </c>
      <c r="B2" t="s">
        <v>89</v>
      </c>
    </row>
    <row r="3" spans="1:18" x14ac:dyDescent="0.25">
      <c r="A3" t="s">
        <v>90</v>
      </c>
      <c r="B3" t="s">
        <v>146</v>
      </c>
    </row>
    <row r="4" spans="1:18" x14ac:dyDescent="0.25">
      <c r="A4" t="s">
        <v>92</v>
      </c>
      <c r="B4" t="s">
        <v>142</v>
      </c>
    </row>
    <row r="5" spans="1:18" x14ac:dyDescent="0.25">
      <c r="A5" t="s">
        <v>94</v>
      </c>
    </row>
    <row r="6" spans="1:18" x14ac:dyDescent="0.25">
      <c r="A6" t="s">
        <v>95</v>
      </c>
    </row>
    <row r="7" spans="1:18" x14ac:dyDescent="0.25">
      <c r="A7" t="s">
        <v>96</v>
      </c>
    </row>
    <row r="8" spans="1:18" x14ac:dyDescent="0.25">
      <c r="A8" t="s">
        <v>88</v>
      </c>
    </row>
    <row r="9" spans="1:18" x14ac:dyDescent="0.25">
      <c r="A9" t="s">
        <v>97</v>
      </c>
    </row>
    <row r="10" spans="1:18" x14ac:dyDescent="0.25">
      <c r="A10">
        <v>4</v>
      </c>
      <c r="B10" t="s">
        <v>98</v>
      </c>
      <c r="C10" t="s">
        <v>99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P10">
        <v>0</v>
      </c>
      <c r="Q10">
        <v>0.05</v>
      </c>
      <c r="R10" t="s">
        <v>100</v>
      </c>
    </row>
    <row r="11" spans="1:18" x14ac:dyDescent="0.25">
      <c r="A11">
        <v>5</v>
      </c>
      <c r="B11" t="s">
        <v>101</v>
      </c>
      <c r="C11" t="s">
        <v>99</v>
      </c>
      <c r="D11">
        <v>62.5</v>
      </c>
      <c r="E11">
        <v>37.5</v>
      </c>
      <c r="F11">
        <v>0</v>
      </c>
      <c r="G11">
        <v>62.479500000000002</v>
      </c>
      <c r="H11">
        <v>37.517000000000003</v>
      </c>
      <c r="I11">
        <v>8.8800000000000004E-2</v>
      </c>
      <c r="J11">
        <v>-2.0500000000000001E-2</v>
      </c>
      <c r="K11">
        <v>1.7000000000000001E-2</v>
      </c>
      <c r="L11">
        <v>8.8800000000000004E-2</v>
      </c>
      <c r="P11">
        <v>0.18529999999999999</v>
      </c>
      <c r="Q11">
        <v>0.05</v>
      </c>
      <c r="R11" t="s">
        <v>102</v>
      </c>
    </row>
    <row r="12" spans="1:18" x14ac:dyDescent="0.25">
      <c r="A12">
        <v>6</v>
      </c>
      <c r="B12" t="s">
        <v>103</v>
      </c>
      <c r="C12" t="s">
        <v>99</v>
      </c>
      <c r="D12">
        <v>-63.5</v>
      </c>
      <c r="E12">
        <v>37.5</v>
      </c>
      <c r="F12">
        <v>0</v>
      </c>
      <c r="G12">
        <v>-63.450400000000002</v>
      </c>
      <c r="H12">
        <v>37.517000000000003</v>
      </c>
      <c r="I12">
        <v>7.2099999999999997E-2</v>
      </c>
      <c r="J12">
        <v>4.9599999999999998E-2</v>
      </c>
      <c r="K12">
        <v>1.7000000000000001E-2</v>
      </c>
      <c r="L12">
        <v>7.2099999999999997E-2</v>
      </c>
      <c r="P12">
        <v>0.17829999999999999</v>
      </c>
      <c r="Q12">
        <v>0.05</v>
      </c>
      <c r="R12" t="s">
        <v>102</v>
      </c>
    </row>
    <row r="13" spans="1:18" x14ac:dyDescent="0.25">
      <c r="A13">
        <v>7</v>
      </c>
      <c r="B13" t="s">
        <v>104</v>
      </c>
      <c r="C13" t="s">
        <v>99</v>
      </c>
      <c r="D13">
        <v>-62.5</v>
      </c>
      <c r="E13">
        <v>-36.5</v>
      </c>
      <c r="F13">
        <v>0</v>
      </c>
      <c r="G13">
        <v>-62.476700000000001</v>
      </c>
      <c r="H13">
        <v>-36.463299999999997</v>
      </c>
      <c r="I13">
        <v>8.8999999999999996E-2</v>
      </c>
      <c r="J13">
        <v>2.3300000000000001E-2</v>
      </c>
      <c r="K13">
        <v>3.6700000000000003E-2</v>
      </c>
      <c r="L13">
        <v>8.8999999999999996E-2</v>
      </c>
      <c r="P13">
        <v>0.1981</v>
      </c>
      <c r="Q13">
        <v>0.05</v>
      </c>
      <c r="R13" t="s">
        <v>102</v>
      </c>
    </row>
    <row r="14" spans="1:18" x14ac:dyDescent="0.25">
      <c r="A14">
        <v>8</v>
      </c>
      <c r="B14" t="s">
        <v>105</v>
      </c>
      <c r="C14" t="s">
        <v>99</v>
      </c>
      <c r="D14">
        <v>61.5</v>
      </c>
      <c r="E14">
        <v>-37.5</v>
      </c>
      <c r="F14">
        <v>0</v>
      </c>
      <c r="G14">
        <v>61.440800000000003</v>
      </c>
      <c r="H14">
        <v>-37.467199999999998</v>
      </c>
      <c r="I14">
        <v>7.2599999999999998E-2</v>
      </c>
      <c r="J14">
        <v>-5.9200000000000003E-2</v>
      </c>
      <c r="K14">
        <v>3.2800000000000003E-2</v>
      </c>
      <c r="L14">
        <v>7.2599999999999998E-2</v>
      </c>
      <c r="P14">
        <v>0.19850000000000001</v>
      </c>
      <c r="Q14">
        <v>0.05</v>
      </c>
      <c r="R14" t="s">
        <v>102</v>
      </c>
    </row>
    <row r="15" spans="1:18" x14ac:dyDescent="0.25">
      <c r="A15">
        <v>9</v>
      </c>
      <c r="B15" t="s">
        <v>0</v>
      </c>
      <c r="C15" t="s">
        <v>106</v>
      </c>
      <c r="D15">
        <v>25.4</v>
      </c>
      <c r="G15">
        <v>25.399000000000001</v>
      </c>
      <c r="J15">
        <v>-1E-3</v>
      </c>
      <c r="M15">
        <v>25.5</v>
      </c>
      <c r="N15">
        <v>25.3</v>
      </c>
      <c r="O15" t="s">
        <v>100</v>
      </c>
      <c r="P15">
        <v>6.1000000000000004E-3</v>
      </c>
      <c r="Q15">
        <v>0.05</v>
      </c>
      <c r="R15" t="s">
        <v>100</v>
      </c>
    </row>
    <row r="16" spans="1:18" x14ac:dyDescent="0.25">
      <c r="A16">
        <v>10</v>
      </c>
      <c r="B16" t="s">
        <v>1</v>
      </c>
      <c r="C16" t="s">
        <v>106</v>
      </c>
      <c r="D16">
        <v>25.4</v>
      </c>
      <c r="G16">
        <v>25.4023</v>
      </c>
      <c r="J16">
        <v>2.3E-3</v>
      </c>
      <c r="M16">
        <v>25.5</v>
      </c>
      <c r="N16">
        <v>25.3</v>
      </c>
      <c r="O16" t="s">
        <v>100</v>
      </c>
      <c r="P16">
        <v>7.7999999999999996E-3</v>
      </c>
      <c r="Q16">
        <v>0.05</v>
      </c>
      <c r="R16" t="s">
        <v>100</v>
      </c>
    </row>
    <row r="17" spans="1:18" x14ac:dyDescent="0.25">
      <c r="A17">
        <v>11</v>
      </c>
      <c r="B17" t="s">
        <v>2</v>
      </c>
      <c r="C17" t="s">
        <v>106</v>
      </c>
      <c r="D17">
        <v>25.4</v>
      </c>
      <c r="G17">
        <v>25.401700000000002</v>
      </c>
      <c r="J17">
        <v>1.6999999999999999E-3</v>
      </c>
      <c r="M17">
        <v>25.5</v>
      </c>
      <c r="N17">
        <v>25.3</v>
      </c>
      <c r="O17" t="s">
        <v>100</v>
      </c>
      <c r="P17">
        <v>5.5999999999999999E-3</v>
      </c>
      <c r="Q17">
        <v>0.05</v>
      </c>
      <c r="R17" t="s">
        <v>100</v>
      </c>
    </row>
    <row r="18" spans="1:18" x14ac:dyDescent="0.25">
      <c r="A18">
        <v>12</v>
      </c>
      <c r="B18" t="s">
        <v>3</v>
      </c>
      <c r="C18" t="s">
        <v>106</v>
      </c>
      <c r="D18">
        <v>25.4</v>
      </c>
      <c r="G18">
        <v>25.4026</v>
      </c>
      <c r="J18">
        <v>2.5999999999999999E-3</v>
      </c>
      <c r="M18">
        <v>25.5</v>
      </c>
      <c r="N18">
        <v>25.3</v>
      </c>
      <c r="O18" t="s">
        <v>100</v>
      </c>
      <c r="P18">
        <v>5.5999999999999999E-3</v>
      </c>
      <c r="Q18">
        <v>0.05</v>
      </c>
      <c r="R18" t="s">
        <v>100</v>
      </c>
    </row>
    <row r="19" spans="1:18" x14ac:dyDescent="0.25">
      <c r="A19">
        <v>13</v>
      </c>
      <c r="B19" t="s">
        <v>4</v>
      </c>
      <c r="C19" t="s">
        <v>106</v>
      </c>
      <c r="D19">
        <v>25.4</v>
      </c>
      <c r="G19">
        <v>25.401700000000002</v>
      </c>
      <c r="J19">
        <v>1.6999999999999999E-3</v>
      </c>
      <c r="M19">
        <v>25.5</v>
      </c>
      <c r="N19">
        <v>25.3</v>
      </c>
      <c r="O19" t="s">
        <v>100</v>
      </c>
      <c r="P19">
        <v>3.8999999999999998E-3</v>
      </c>
      <c r="Q19">
        <v>0.05</v>
      </c>
      <c r="R19" t="s">
        <v>100</v>
      </c>
    </row>
    <row r="20" spans="1:18" x14ac:dyDescent="0.25">
      <c r="A20">
        <v>14</v>
      </c>
      <c r="B20" t="s">
        <v>5</v>
      </c>
      <c r="C20" t="s">
        <v>107</v>
      </c>
      <c r="D20">
        <v>72.887</v>
      </c>
      <c r="G20">
        <v>72.878100000000003</v>
      </c>
      <c r="J20">
        <v>-8.8999999999999999E-3</v>
      </c>
      <c r="M20">
        <v>72.986999999999995</v>
      </c>
      <c r="N20">
        <v>72.787000000000006</v>
      </c>
      <c r="O20" t="s">
        <v>100</v>
      </c>
    </row>
    <row r="21" spans="1:18" x14ac:dyDescent="0.25">
      <c r="A21">
        <v>15</v>
      </c>
      <c r="B21" t="s">
        <v>6</v>
      </c>
      <c r="C21" t="s">
        <v>107</v>
      </c>
      <c r="D21">
        <v>73.745999999999995</v>
      </c>
      <c r="G21">
        <v>73.712199999999996</v>
      </c>
      <c r="J21">
        <v>-3.3799999999999997E-2</v>
      </c>
      <c r="M21">
        <v>73.846000000000004</v>
      </c>
      <c r="N21">
        <v>73.646000000000001</v>
      </c>
      <c r="O21" t="s">
        <v>100</v>
      </c>
    </row>
    <row r="22" spans="1:18" x14ac:dyDescent="0.25">
      <c r="A22">
        <v>16</v>
      </c>
      <c r="B22" t="s">
        <v>7</v>
      </c>
      <c r="C22" t="s">
        <v>107</v>
      </c>
      <c r="D22">
        <v>72.376999999999995</v>
      </c>
      <c r="G22">
        <v>72.338899999999995</v>
      </c>
      <c r="J22">
        <v>-3.8100000000000002E-2</v>
      </c>
      <c r="M22">
        <v>72.477000000000004</v>
      </c>
      <c r="N22">
        <v>72.277000000000001</v>
      </c>
      <c r="O22" t="s">
        <v>100</v>
      </c>
    </row>
    <row r="23" spans="1:18" x14ac:dyDescent="0.25">
      <c r="A23">
        <v>17</v>
      </c>
      <c r="B23" t="s">
        <v>8</v>
      </c>
      <c r="C23" t="s">
        <v>107</v>
      </c>
      <c r="D23">
        <v>72.031000000000006</v>
      </c>
      <c r="G23">
        <v>71.963700000000003</v>
      </c>
      <c r="J23">
        <v>-6.7299999999999999E-2</v>
      </c>
      <c r="M23">
        <v>72.131</v>
      </c>
      <c r="N23">
        <v>71.930999999999997</v>
      </c>
      <c r="O23" t="s">
        <v>100</v>
      </c>
    </row>
    <row r="24" spans="1:18" x14ac:dyDescent="0.25">
      <c r="A24">
        <v>18</v>
      </c>
      <c r="B24" t="s">
        <v>9</v>
      </c>
      <c r="C24" t="s">
        <v>107</v>
      </c>
      <c r="D24">
        <v>75.007000000000005</v>
      </c>
      <c r="G24">
        <v>74.991299999999995</v>
      </c>
      <c r="J24">
        <v>-1.5699999999999999E-2</v>
      </c>
      <c r="M24">
        <v>75.106999999999999</v>
      </c>
      <c r="N24">
        <v>74.906999999999996</v>
      </c>
      <c r="O24" t="s">
        <v>100</v>
      </c>
    </row>
    <row r="25" spans="1:18" x14ac:dyDescent="0.25">
      <c r="A25">
        <v>19</v>
      </c>
      <c r="B25" t="s">
        <v>10</v>
      </c>
      <c r="C25" t="s">
        <v>107</v>
      </c>
      <c r="D25">
        <v>74.007000000000005</v>
      </c>
      <c r="G25">
        <v>73.986699999999999</v>
      </c>
      <c r="J25">
        <v>-2.0299999999999999E-2</v>
      </c>
      <c r="M25">
        <v>74.106999999999999</v>
      </c>
      <c r="N25">
        <v>73.906999999999996</v>
      </c>
      <c r="O25" t="s">
        <v>100</v>
      </c>
    </row>
    <row r="26" spans="1:18" x14ac:dyDescent="0.25">
      <c r="A26">
        <v>20</v>
      </c>
      <c r="B26" t="s">
        <v>11</v>
      </c>
      <c r="C26" t="s">
        <v>107</v>
      </c>
      <c r="D26">
        <v>126</v>
      </c>
      <c r="G26">
        <v>125.9299</v>
      </c>
      <c r="J26">
        <v>-7.0099999999999996E-2</v>
      </c>
      <c r="M26">
        <v>126.1</v>
      </c>
      <c r="N26">
        <v>125.9</v>
      </c>
      <c r="O26" t="s">
        <v>100</v>
      </c>
    </row>
    <row r="27" spans="1:18" x14ac:dyDescent="0.25">
      <c r="A27">
        <v>21</v>
      </c>
      <c r="B27" t="s">
        <v>12</v>
      </c>
      <c r="C27" t="s">
        <v>107</v>
      </c>
      <c r="D27">
        <v>124.004</v>
      </c>
      <c r="G27">
        <v>123.9216</v>
      </c>
      <c r="J27">
        <v>-8.2400000000000001E-2</v>
      </c>
      <c r="M27">
        <v>124.104</v>
      </c>
      <c r="N27">
        <v>123.904</v>
      </c>
      <c r="O27" t="s">
        <v>100</v>
      </c>
    </row>
    <row r="28" spans="1:18" x14ac:dyDescent="0.25">
      <c r="A28">
        <v>22</v>
      </c>
      <c r="B28" t="s">
        <v>13</v>
      </c>
      <c r="C28" t="s">
        <v>107</v>
      </c>
      <c r="D28">
        <v>145.262</v>
      </c>
      <c r="G28">
        <v>145.2141</v>
      </c>
      <c r="J28">
        <v>-4.7899999999999998E-2</v>
      </c>
      <c r="M28">
        <v>145.36199999999999</v>
      </c>
      <c r="N28">
        <v>145.16200000000001</v>
      </c>
      <c r="O28" t="s">
        <v>100</v>
      </c>
    </row>
    <row r="29" spans="1:18" x14ac:dyDescent="0.25">
      <c r="A29">
        <v>23</v>
      </c>
      <c r="B29" t="s">
        <v>14</v>
      </c>
      <c r="C29" t="s">
        <v>107</v>
      </c>
      <c r="D29">
        <v>145.774</v>
      </c>
      <c r="G29">
        <v>145.67240000000001</v>
      </c>
      <c r="J29">
        <v>-0.1016</v>
      </c>
      <c r="M29">
        <v>145.874</v>
      </c>
      <c r="N29">
        <v>145.67400000000001</v>
      </c>
      <c r="O29" t="s">
        <v>102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0BF87B-553C-4578-AEE2-7E2D84565A2D}">
  <sheetPr codeName="Sheet37"/>
  <dimension ref="A1:R29"/>
  <sheetViews>
    <sheetView workbookViewId="0"/>
  </sheetViews>
  <sheetFormatPr defaultRowHeight="15" x14ac:dyDescent="0.25"/>
  <cols>
    <col min="1" max="1" width="26.5703125" bestFit="1" customWidth="1"/>
    <col min="2" max="2" width="14.140625" bestFit="1" customWidth="1"/>
    <col min="3" max="3" width="18.28515625" bestFit="1" customWidth="1"/>
    <col min="4" max="4" width="8" bestFit="1" customWidth="1"/>
    <col min="5" max="5" width="5.7109375" bestFit="1" customWidth="1"/>
    <col min="6" max="6" width="2" bestFit="1" customWidth="1"/>
    <col min="7" max="7" width="9" bestFit="1" customWidth="1"/>
    <col min="8" max="8" width="8.7109375" bestFit="1" customWidth="1"/>
    <col min="9" max="9" width="7" bestFit="1" customWidth="1"/>
    <col min="10" max="10" width="7.7109375" bestFit="1" customWidth="1"/>
    <col min="11" max="12" width="7" bestFit="1" customWidth="1"/>
    <col min="13" max="14" width="8" bestFit="1" customWidth="1"/>
    <col min="15" max="15" width="5.42578125" bestFit="1" customWidth="1"/>
    <col min="16" max="16" width="7" bestFit="1" customWidth="1"/>
    <col min="17" max="17" width="5" bestFit="1" customWidth="1"/>
    <col min="18" max="18" width="5.42578125" bestFit="1" customWidth="1"/>
  </cols>
  <sheetData>
    <row r="1" spans="1:18" x14ac:dyDescent="0.25">
      <c r="A1" t="s">
        <v>86</v>
      </c>
      <c r="B1" t="s">
        <v>128</v>
      </c>
    </row>
    <row r="2" spans="1:18" x14ac:dyDescent="0.25">
      <c r="A2" t="s">
        <v>88</v>
      </c>
      <c r="B2" t="s">
        <v>89</v>
      </c>
    </row>
    <row r="3" spans="1:18" x14ac:dyDescent="0.25">
      <c r="A3" t="s">
        <v>90</v>
      </c>
      <c r="B3" t="s">
        <v>147</v>
      </c>
    </row>
    <row r="4" spans="1:18" x14ac:dyDescent="0.25">
      <c r="A4" t="s">
        <v>92</v>
      </c>
      <c r="B4" t="s">
        <v>142</v>
      </c>
    </row>
    <row r="5" spans="1:18" x14ac:dyDescent="0.25">
      <c r="A5" t="s">
        <v>94</v>
      </c>
    </row>
    <row r="6" spans="1:18" x14ac:dyDescent="0.25">
      <c r="A6" t="s">
        <v>95</v>
      </c>
    </row>
    <row r="7" spans="1:18" x14ac:dyDescent="0.25">
      <c r="A7" t="s">
        <v>96</v>
      </c>
    </row>
    <row r="8" spans="1:18" x14ac:dyDescent="0.25">
      <c r="A8" t="s">
        <v>88</v>
      </c>
    </row>
    <row r="9" spans="1:18" x14ac:dyDescent="0.25">
      <c r="A9" t="s">
        <v>97</v>
      </c>
    </row>
    <row r="10" spans="1:18" x14ac:dyDescent="0.25">
      <c r="A10">
        <v>4</v>
      </c>
      <c r="B10" t="s">
        <v>98</v>
      </c>
      <c r="C10" t="s">
        <v>99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P10">
        <v>0</v>
      </c>
      <c r="Q10">
        <v>0.05</v>
      </c>
      <c r="R10" t="s">
        <v>100</v>
      </c>
    </row>
    <row r="11" spans="1:18" x14ac:dyDescent="0.25">
      <c r="A11">
        <v>5</v>
      </c>
      <c r="B11" t="s">
        <v>101</v>
      </c>
      <c r="C11" t="s">
        <v>99</v>
      </c>
      <c r="D11">
        <v>62.5</v>
      </c>
      <c r="E11">
        <v>37.5</v>
      </c>
      <c r="F11">
        <v>0</v>
      </c>
      <c r="G11">
        <v>62.479599999999998</v>
      </c>
      <c r="H11">
        <v>37.5167</v>
      </c>
      <c r="I11">
        <v>8.8499999999999995E-2</v>
      </c>
      <c r="J11">
        <v>-2.0400000000000001E-2</v>
      </c>
      <c r="K11">
        <v>1.67E-2</v>
      </c>
      <c r="L11">
        <v>8.8499999999999995E-2</v>
      </c>
      <c r="P11">
        <v>0.18479999999999999</v>
      </c>
      <c r="Q11">
        <v>0.05</v>
      </c>
      <c r="R11" t="s">
        <v>102</v>
      </c>
    </row>
    <row r="12" spans="1:18" x14ac:dyDescent="0.25">
      <c r="A12">
        <v>6</v>
      </c>
      <c r="B12" t="s">
        <v>103</v>
      </c>
      <c r="C12" t="s">
        <v>99</v>
      </c>
      <c r="D12">
        <v>-63.5</v>
      </c>
      <c r="E12">
        <v>37.5</v>
      </c>
      <c r="F12">
        <v>0</v>
      </c>
      <c r="G12">
        <v>-63.450499999999998</v>
      </c>
      <c r="H12">
        <v>37.5167</v>
      </c>
      <c r="I12">
        <v>7.1499999999999994E-2</v>
      </c>
      <c r="J12">
        <v>4.9500000000000002E-2</v>
      </c>
      <c r="K12">
        <v>1.67E-2</v>
      </c>
      <c r="L12">
        <v>7.1499999999999994E-2</v>
      </c>
      <c r="P12">
        <v>0.17710000000000001</v>
      </c>
      <c r="Q12">
        <v>0.05</v>
      </c>
      <c r="R12" t="s">
        <v>102</v>
      </c>
    </row>
    <row r="13" spans="1:18" x14ac:dyDescent="0.25">
      <c r="A13">
        <v>7</v>
      </c>
      <c r="B13" t="s">
        <v>104</v>
      </c>
      <c r="C13" t="s">
        <v>99</v>
      </c>
      <c r="D13">
        <v>-62.5</v>
      </c>
      <c r="E13">
        <v>-36.5</v>
      </c>
      <c r="F13">
        <v>0</v>
      </c>
      <c r="G13">
        <v>-62.475999999999999</v>
      </c>
      <c r="H13">
        <v>-36.463900000000002</v>
      </c>
      <c r="I13">
        <v>8.8800000000000004E-2</v>
      </c>
      <c r="J13">
        <v>2.4E-2</v>
      </c>
      <c r="K13">
        <v>3.61E-2</v>
      </c>
      <c r="L13">
        <v>8.8800000000000004E-2</v>
      </c>
      <c r="P13">
        <v>0.1976</v>
      </c>
      <c r="Q13">
        <v>0.05</v>
      </c>
      <c r="R13" t="s">
        <v>102</v>
      </c>
    </row>
    <row r="14" spans="1:18" x14ac:dyDescent="0.25">
      <c r="A14">
        <v>8</v>
      </c>
      <c r="B14" t="s">
        <v>105</v>
      </c>
      <c r="C14" t="s">
        <v>99</v>
      </c>
      <c r="D14">
        <v>61.5</v>
      </c>
      <c r="E14">
        <v>-37.5</v>
      </c>
      <c r="F14">
        <v>0</v>
      </c>
      <c r="G14">
        <v>61.441000000000003</v>
      </c>
      <c r="H14">
        <v>-37.467300000000002</v>
      </c>
      <c r="I14">
        <v>7.1999999999999995E-2</v>
      </c>
      <c r="J14">
        <v>-5.8999999999999997E-2</v>
      </c>
      <c r="K14">
        <v>3.27E-2</v>
      </c>
      <c r="L14">
        <v>7.1999999999999995E-2</v>
      </c>
      <c r="P14">
        <v>0.1973</v>
      </c>
      <c r="Q14">
        <v>0.05</v>
      </c>
      <c r="R14" t="s">
        <v>102</v>
      </c>
    </row>
    <row r="15" spans="1:18" x14ac:dyDescent="0.25">
      <c r="A15">
        <v>9</v>
      </c>
      <c r="B15" t="s">
        <v>0</v>
      </c>
      <c r="C15" t="s">
        <v>106</v>
      </c>
      <c r="D15">
        <v>25.4</v>
      </c>
      <c r="G15">
        <v>25.398599999999998</v>
      </c>
      <c r="J15">
        <v>-1.4E-3</v>
      </c>
      <c r="M15">
        <v>25.5</v>
      </c>
      <c r="N15">
        <v>25.3</v>
      </c>
      <c r="O15" t="s">
        <v>100</v>
      </c>
      <c r="P15">
        <v>5.8999999999999999E-3</v>
      </c>
      <c r="Q15">
        <v>0.05</v>
      </c>
      <c r="R15" t="s">
        <v>100</v>
      </c>
    </row>
    <row r="16" spans="1:18" x14ac:dyDescent="0.25">
      <c r="A16">
        <v>10</v>
      </c>
      <c r="B16" t="s">
        <v>1</v>
      </c>
      <c r="C16" t="s">
        <v>106</v>
      </c>
      <c r="D16">
        <v>25.4</v>
      </c>
      <c r="G16">
        <v>25.402000000000001</v>
      </c>
      <c r="J16">
        <v>2E-3</v>
      </c>
      <c r="M16">
        <v>25.5</v>
      </c>
      <c r="N16">
        <v>25.3</v>
      </c>
      <c r="O16" t="s">
        <v>100</v>
      </c>
      <c r="P16">
        <v>7.6E-3</v>
      </c>
      <c r="Q16">
        <v>0.05</v>
      </c>
      <c r="R16" t="s">
        <v>100</v>
      </c>
    </row>
    <row r="17" spans="1:18" x14ac:dyDescent="0.25">
      <c r="A17">
        <v>11</v>
      </c>
      <c r="B17" t="s">
        <v>2</v>
      </c>
      <c r="C17" t="s">
        <v>106</v>
      </c>
      <c r="D17">
        <v>25.4</v>
      </c>
      <c r="G17">
        <v>25.4023</v>
      </c>
      <c r="J17">
        <v>2.3E-3</v>
      </c>
      <c r="M17">
        <v>25.5</v>
      </c>
      <c r="N17">
        <v>25.3</v>
      </c>
      <c r="O17" t="s">
        <v>100</v>
      </c>
      <c r="P17">
        <v>5.4999999999999997E-3</v>
      </c>
      <c r="Q17">
        <v>0.05</v>
      </c>
      <c r="R17" t="s">
        <v>100</v>
      </c>
    </row>
    <row r="18" spans="1:18" x14ac:dyDescent="0.25">
      <c r="A18">
        <v>12</v>
      </c>
      <c r="B18" t="s">
        <v>3</v>
      </c>
      <c r="C18" t="s">
        <v>106</v>
      </c>
      <c r="D18">
        <v>25.4</v>
      </c>
      <c r="G18">
        <v>25.402999999999999</v>
      </c>
      <c r="J18">
        <v>3.0000000000000001E-3</v>
      </c>
      <c r="M18">
        <v>25.5</v>
      </c>
      <c r="N18">
        <v>25.3</v>
      </c>
      <c r="O18" t="s">
        <v>100</v>
      </c>
      <c r="P18">
        <v>6.1999999999999998E-3</v>
      </c>
      <c r="Q18">
        <v>0.05</v>
      </c>
      <c r="R18" t="s">
        <v>100</v>
      </c>
    </row>
    <row r="19" spans="1:18" x14ac:dyDescent="0.25">
      <c r="A19">
        <v>13</v>
      </c>
      <c r="B19" t="s">
        <v>4</v>
      </c>
      <c r="C19" t="s">
        <v>106</v>
      </c>
      <c r="D19">
        <v>25.4</v>
      </c>
      <c r="G19">
        <v>25.402100000000001</v>
      </c>
      <c r="J19">
        <v>2.0999999999999999E-3</v>
      </c>
      <c r="M19">
        <v>25.5</v>
      </c>
      <c r="N19">
        <v>25.3</v>
      </c>
      <c r="O19" t="s">
        <v>100</v>
      </c>
      <c r="P19">
        <v>4.4999999999999997E-3</v>
      </c>
      <c r="Q19">
        <v>0.05</v>
      </c>
      <c r="R19" t="s">
        <v>100</v>
      </c>
    </row>
    <row r="20" spans="1:18" x14ac:dyDescent="0.25">
      <c r="A20">
        <v>14</v>
      </c>
      <c r="B20" t="s">
        <v>5</v>
      </c>
      <c r="C20" t="s">
        <v>107</v>
      </c>
      <c r="D20">
        <v>72.887</v>
      </c>
      <c r="G20">
        <v>72.878</v>
      </c>
      <c r="J20">
        <v>-8.9999999999999993E-3</v>
      </c>
      <c r="M20">
        <v>72.986999999999995</v>
      </c>
      <c r="N20">
        <v>72.787000000000006</v>
      </c>
      <c r="O20" t="s">
        <v>100</v>
      </c>
    </row>
    <row r="21" spans="1:18" x14ac:dyDescent="0.25">
      <c r="A21">
        <v>15</v>
      </c>
      <c r="B21" t="s">
        <v>6</v>
      </c>
      <c r="C21" t="s">
        <v>107</v>
      </c>
      <c r="D21">
        <v>73.745999999999995</v>
      </c>
      <c r="G21">
        <v>73.712100000000007</v>
      </c>
      <c r="J21">
        <v>-3.39E-2</v>
      </c>
      <c r="M21">
        <v>73.846000000000004</v>
      </c>
      <c r="N21">
        <v>73.646000000000001</v>
      </c>
      <c r="O21" t="s">
        <v>100</v>
      </c>
    </row>
    <row r="22" spans="1:18" x14ac:dyDescent="0.25">
      <c r="A22">
        <v>16</v>
      </c>
      <c r="B22" t="s">
        <v>7</v>
      </c>
      <c r="C22" t="s">
        <v>107</v>
      </c>
      <c r="D22">
        <v>72.376999999999995</v>
      </c>
      <c r="G22">
        <v>72.3386</v>
      </c>
      <c r="J22">
        <v>-3.8399999999999997E-2</v>
      </c>
      <c r="M22">
        <v>72.477000000000004</v>
      </c>
      <c r="N22">
        <v>72.277000000000001</v>
      </c>
      <c r="O22" t="s">
        <v>100</v>
      </c>
    </row>
    <row r="23" spans="1:18" x14ac:dyDescent="0.25">
      <c r="A23">
        <v>17</v>
      </c>
      <c r="B23" t="s">
        <v>8</v>
      </c>
      <c r="C23" t="s">
        <v>107</v>
      </c>
      <c r="D23">
        <v>72.031000000000006</v>
      </c>
      <c r="G23">
        <v>71.963899999999995</v>
      </c>
      <c r="J23">
        <v>-6.7100000000000007E-2</v>
      </c>
      <c r="M23">
        <v>72.131</v>
      </c>
      <c r="N23">
        <v>71.930999999999997</v>
      </c>
      <c r="O23" t="s">
        <v>100</v>
      </c>
    </row>
    <row r="24" spans="1:18" x14ac:dyDescent="0.25">
      <c r="A24">
        <v>18</v>
      </c>
      <c r="B24" t="s">
        <v>9</v>
      </c>
      <c r="C24" t="s">
        <v>107</v>
      </c>
      <c r="D24">
        <v>75.007000000000005</v>
      </c>
      <c r="G24">
        <v>74.991200000000006</v>
      </c>
      <c r="J24">
        <v>-1.5800000000000002E-2</v>
      </c>
      <c r="M24">
        <v>75.106999999999999</v>
      </c>
      <c r="N24">
        <v>74.906999999999996</v>
      </c>
      <c r="O24" t="s">
        <v>100</v>
      </c>
    </row>
    <row r="25" spans="1:18" x14ac:dyDescent="0.25">
      <c r="A25">
        <v>19</v>
      </c>
      <c r="B25" t="s">
        <v>10</v>
      </c>
      <c r="C25" t="s">
        <v>107</v>
      </c>
      <c r="D25">
        <v>74.007000000000005</v>
      </c>
      <c r="G25">
        <v>73.986999999999995</v>
      </c>
      <c r="J25">
        <v>-0.02</v>
      </c>
      <c r="M25">
        <v>74.106999999999999</v>
      </c>
      <c r="N25">
        <v>73.906999999999996</v>
      </c>
      <c r="O25" t="s">
        <v>100</v>
      </c>
    </row>
    <row r="26" spans="1:18" x14ac:dyDescent="0.25">
      <c r="A26">
        <v>20</v>
      </c>
      <c r="B26" t="s">
        <v>11</v>
      </c>
      <c r="C26" t="s">
        <v>107</v>
      </c>
      <c r="D26">
        <v>126</v>
      </c>
      <c r="G26">
        <v>125.93</v>
      </c>
      <c r="J26">
        <v>-7.0000000000000007E-2</v>
      </c>
      <c r="M26">
        <v>126.1</v>
      </c>
      <c r="N26">
        <v>125.9</v>
      </c>
      <c r="O26" t="s">
        <v>100</v>
      </c>
    </row>
    <row r="27" spans="1:18" x14ac:dyDescent="0.25">
      <c r="A27">
        <v>21</v>
      </c>
      <c r="B27" t="s">
        <v>12</v>
      </c>
      <c r="C27" t="s">
        <v>107</v>
      </c>
      <c r="D27">
        <v>124.004</v>
      </c>
      <c r="G27">
        <v>123.9211</v>
      </c>
      <c r="J27">
        <v>-8.2900000000000001E-2</v>
      </c>
      <c r="M27">
        <v>124.104</v>
      </c>
      <c r="N27">
        <v>123.904</v>
      </c>
      <c r="O27" t="s">
        <v>100</v>
      </c>
    </row>
    <row r="28" spans="1:18" x14ac:dyDescent="0.25">
      <c r="A28">
        <v>22</v>
      </c>
      <c r="B28" t="s">
        <v>13</v>
      </c>
      <c r="C28" t="s">
        <v>107</v>
      </c>
      <c r="D28">
        <v>145.262</v>
      </c>
      <c r="G28">
        <v>145.21369999999999</v>
      </c>
      <c r="J28">
        <v>-4.8300000000000003E-2</v>
      </c>
      <c r="M28">
        <v>145.36199999999999</v>
      </c>
      <c r="N28">
        <v>145.16200000000001</v>
      </c>
      <c r="O28" t="s">
        <v>100</v>
      </c>
    </row>
    <row r="29" spans="1:18" x14ac:dyDescent="0.25">
      <c r="A29">
        <v>23</v>
      </c>
      <c r="B29" t="s">
        <v>14</v>
      </c>
      <c r="C29" t="s">
        <v>107</v>
      </c>
      <c r="D29">
        <v>145.774</v>
      </c>
      <c r="G29">
        <v>145.67250000000001</v>
      </c>
      <c r="J29">
        <v>-0.10150000000000001</v>
      </c>
      <c r="M29">
        <v>145.874</v>
      </c>
      <c r="N29">
        <v>145.67400000000001</v>
      </c>
      <c r="O29" t="s">
        <v>102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0F863-7EFB-46F2-91C8-88F4D30E311B}">
  <sheetPr codeName="Sheet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38</vt:i4>
      </vt:variant>
      <vt:variant>
        <vt:lpstr>Named Ranges</vt:lpstr>
      </vt:variant>
      <vt:variant>
        <vt:i4>36</vt:i4>
      </vt:variant>
    </vt:vector>
  </HeadingPairs>
  <TitlesOfParts>
    <vt:vector size="74" baseType="lpstr">
      <vt:lpstr>Summary</vt:lpstr>
      <vt:lpstr>Image 1</vt:lpstr>
      <vt:lpstr>Image 2</vt:lpstr>
      <vt:lpstr>Image 3</vt:lpstr>
      <vt:lpstr>Image 4</vt:lpstr>
      <vt:lpstr>Image 5</vt:lpstr>
      <vt:lpstr>Image 6</vt:lpstr>
      <vt:lpstr>Image 7</vt:lpstr>
      <vt:lpstr>Image 8</vt:lpstr>
      <vt:lpstr>Image 9</vt:lpstr>
      <vt:lpstr>Image 10</vt:lpstr>
      <vt:lpstr>Image 11</vt:lpstr>
      <vt:lpstr>Image 12</vt:lpstr>
      <vt:lpstr>Image 13</vt:lpstr>
      <vt:lpstr>Image 14</vt:lpstr>
      <vt:lpstr>Image 15</vt:lpstr>
      <vt:lpstr>Image 16</vt:lpstr>
      <vt:lpstr>Image 17</vt:lpstr>
      <vt:lpstr>Image 18</vt:lpstr>
      <vt:lpstr>Image 19</vt:lpstr>
      <vt:lpstr>Image 20</vt:lpstr>
      <vt:lpstr>Image 21</vt:lpstr>
      <vt:lpstr>Image 22</vt:lpstr>
      <vt:lpstr>Image 23</vt:lpstr>
      <vt:lpstr>Image 24</vt:lpstr>
      <vt:lpstr>Image 25</vt:lpstr>
      <vt:lpstr>Image 26</vt:lpstr>
      <vt:lpstr>Image 27</vt:lpstr>
      <vt:lpstr>Image 28</vt:lpstr>
      <vt:lpstr>Image 29</vt:lpstr>
      <vt:lpstr>Image 30</vt:lpstr>
      <vt:lpstr>Image 31</vt:lpstr>
      <vt:lpstr>Image 32</vt:lpstr>
      <vt:lpstr>Image 33</vt:lpstr>
      <vt:lpstr>Image 34</vt:lpstr>
      <vt:lpstr>Image 35</vt:lpstr>
      <vt:lpstr>Image 36</vt:lpstr>
      <vt:lpstr>Sheet1</vt:lpstr>
      <vt:lpstr>'Image 1'!BallPlateGen5_Fixture_P509_east_DC_1_1_20210121T031147.csv</vt:lpstr>
      <vt:lpstr>'Image 2'!BallPlateGen5_Fixture_P509_east_DC_1_1_20210121T040544.csv</vt:lpstr>
      <vt:lpstr>'Image 3'!BallPlateGen5_Fixture_P509_east_DC_1_2_20210121T031512.csv</vt:lpstr>
      <vt:lpstr>'Image 4'!BallPlateGen5_Fixture_P509_east_DC_1_2_20210121T040909.csv</vt:lpstr>
      <vt:lpstr>'Image 5'!BallPlateGen5_Fixture_P509_east_DC_1_3_20210121T031837.csv</vt:lpstr>
      <vt:lpstr>'Image 6'!BallPlateGen5_Fixture_P509_east_DC_1_3_20210121T041234.csv</vt:lpstr>
      <vt:lpstr>'Image 7'!BallPlateGen5_Fixture_P509_east_DC_1_4_20210121T032202.csv</vt:lpstr>
      <vt:lpstr>'Image 8'!BallPlateGen5_Fixture_P509_east_DC_1_4_20210121T041559.csv</vt:lpstr>
      <vt:lpstr>'Image 9'!BallPlateGen5_Fixture_P509_east_DC_1_5_20210121T032527.csv</vt:lpstr>
      <vt:lpstr>'Image 10'!BallPlateGen5_Fixture_P509_east_DC_1_5_20210121T041923.csv</vt:lpstr>
      <vt:lpstr>'Image 11'!BallPlateGen5_Fixture_P509_east_DC_1_6_20210121T032851.csv</vt:lpstr>
      <vt:lpstr>'Image 12'!BallPlateGen5_Fixture_P509_east_DC_1_6_20210121T042248.csv</vt:lpstr>
      <vt:lpstr>'Image 13'!BallPlateGen5_Fixture_P509_east_DC_4_1_20210121T022653.csv</vt:lpstr>
      <vt:lpstr>'Image 14'!BallPlateGen5_Fixture_P509_east_DC_4_2_20210121T023018.csv</vt:lpstr>
      <vt:lpstr>'Image 15'!BallPlateGen5_Fixture_P509_east_DC_4_3_20210121T023342.csv</vt:lpstr>
      <vt:lpstr>'Image 16'!BallPlateGen5_Fixture_P509_east_DC_4_4_20210121T023707.csv</vt:lpstr>
      <vt:lpstr>'Image 17'!BallPlateGen5_Fixture_P509_east_DC_4_5_20210121T024032.csv</vt:lpstr>
      <vt:lpstr>'Image 18'!BallPlateGen5_Fixture_P509_east_DC_4_6_20210121T024357.csv</vt:lpstr>
      <vt:lpstr>'Image 19'!BallPlateGen5_Fixture_P509_south_DC_1_1_20210121T024921.csv</vt:lpstr>
      <vt:lpstr>'Image 20'!BallPlateGen5_Fixture_P509_south_DC_1_1_20210121T034041.csv</vt:lpstr>
      <vt:lpstr>'Image 21'!BallPlateGen5_Fixture_P509_south_DC_1_2_20210121T025246.csv</vt:lpstr>
      <vt:lpstr>'Image 22'!BallPlateGen5_Fixture_P509_south_DC_1_2_20210121T034406.csv</vt:lpstr>
      <vt:lpstr>'Image 23'!BallPlateGen5_Fixture_P509_south_DC_1_3_20210121T025611.csv</vt:lpstr>
      <vt:lpstr>'Image 24'!BallPlateGen5_Fixture_P509_south_DC_1_3_20210121T034731.csv</vt:lpstr>
      <vt:lpstr>'Image 25'!BallPlateGen5_Fixture_P509_south_DC_1_4_20210121T025935.csv</vt:lpstr>
      <vt:lpstr>'Image 26'!BallPlateGen5_Fixture_P509_south_DC_1_4_20210121T035056.csv</vt:lpstr>
      <vt:lpstr>'Image 27'!BallPlateGen5_Fixture_P509_south_DC_1_5_20210121T030300.csv</vt:lpstr>
      <vt:lpstr>'Image 28'!BallPlateGen5_Fixture_P509_south_DC_1_5_20210121T035420.csv</vt:lpstr>
      <vt:lpstr>'Image 29'!BallPlateGen5_Fixture_P509_south_DC_1_6_20210121T030625.csv</vt:lpstr>
      <vt:lpstr>'Image 30'!BallPlateGen5_Fixture_P509_south_DC_1_6_20210121T035745.csv</vt:lpstr>
      <vt:lpstr>'Image 31'!BallPlateGen5_Fixture_P509_south_DC_2_1_20210121T015208.csv</vt:lpstr>
      <vt:lpstr>'Image 32'!BallPlateGen5_Fixture_P509_south_DC_2_2_20210121T015533.csv</vt:lpstr>
      <vt:lpstr>'Image 33'!BallPlateGen5_Fixture_P509_south_DC_2_3_20210121T015858.csv</vt:lpstr>
      <vt:lpstr>'Image 34'!BallPlateGen5_Fixture_P509_south_DC_2_4_20210121T020223.csv</vt:lpstr>
      <vt:lpstr>'Image 35'!BallPlateGen5_Fixture_P509_south_DC_2_5_20210121T020548.csv</vt:lpstr>
      <vt:lpstr>'Image 36'!BallPlateGen5_Fixture_P509_south_DC_2_6_20210121T020913.csv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Larry Gutkowski</dc:creator>
  <cp:lastModifiedBy>Larry Gutkowski</cp:lastModifiedBy>
  <dcterms:created xsi:type="dcterms:W3CDTF">2021-01-15T03:02:01Z</dcterms:created>
  <dcterms:modified xsi:type="dcterms:W3CDTF">2021-01-22T03:54:27Z</dcterms:modified>
</cp:coreProperties>
</file>