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hp-my.sharepoint.com/personal/larry_gutkowski_hp_com/Documents/Laptop/D/CMM/Axiom/Gen 5 Inspection/Gen5 Inspection/P509_remount_20211207/Reports/"/>
    </mc:Choice>
  </mc:AlternateContent>
  <xr:revisionPtr revIDLastSave="39" documentId="13_ncr:1_{DED3FE43-AB88-4E3A-B7BD-AB9C31C098B9}" xr6:coauthVersionLast="46" xr6:coauthVersionMax="46" xr10:uidLastSave="{76DC8CBA-E1A7-4B90-8F92-22F530C7A719}"/>
  <bookViews>
    <workbookView xWindow="-103" yWindow="-103" windowWidth="33120" windowHeight="18274" tabRatio="806" xr2:uid="{FE919EC7-2BC7-42C9-B4CB-CA0457928EF9}"/>
  </bookViews>
  <sheets>
    <sheet name="Summary" sheetId="44" r:id="rId1"/>
    <sheet name="Image 1" sheetId="46" r:id="rId2"/>
    <sheet name="Image 2" sheetId="47" r:id="rId3"/>
    <sheet name="Image 3" sheetId="48" r:id="rId4"/>
    <sheet name="Image 4" sheetId="49" r:id="rId5"/>
    <sheet name="Image 5" sheetId="50" r:id="rId6"/>
    <sheet name="Image 6" sheetId="51" r:id="rId7"/>
    <sheet name="Image 7" sheetId="52" r:id="rId8"/>
    <sheet name="Image 8" sheetId="53" r:id="rId9"/>
    <sheet name="Image 9" sheetId="54" r:id="rId10"/>
    <sheet name="Image 10" sheetId="55" r:id="rId11"/>
    <sheet name="Image 11" sheetId="56" r:id="rId12"/>
    <sheet name="Image 12" sheetId="57" r:id="rId13"/>
    <sheet name="Image 13" sheetId="58" r:id="rId14"/>
    <sheet name="Image 14" sheetId="59" r:id="rId15"/>
    <sheet name="Image 15" sheetId="60" r:id="rId16"/>
    <sheet name="Image 16" sheetId="61" r:id="rId17"/>
    <sheet name="Image 17" sheetId="62" r:id="rId18"/>
    <sheet name="Image 18" sheetId="63" r:id="rId19"/>
    <sheet name="Image 19" sheetId="64" r:id="rId20"/>
    <sheet name="Image 20" sheetId="65" r:id="rId21"/>
    <sheet name="Image 21" sheetId="66" r:id="rId22"/>
    <sheet name="Image 22" sheetId="67" r:id="rId23"/>
    <sheet name="Image 23" sheetId="68" r:id="rId24"/>
    <sheet name="Image 24" sheetId="69" r:id="rId25"/>
    <sheet name="Image 25" sheetId="70" r:id="rId26"/>
    <sheet name="Image 26" sheetId="71" r:id="rId27"/>
    <sheet name="Image 27" sheetId="72" r:id="rId28"/>
    <sheet name="Image 28" sheetId="73" r:id="rId29"/>
    <sheet name="Image 29" sheetId="74" r:id="rId30"/>
    <sheet name="Image 30" sheetId="75" r:id="rId31"/>
    <sheet name="Image 31" sheetId="76" r:id="rId32"/>
    <sheet name="Image 32" sheetId="77" r:id="rId33"/>
    <sheet name="Image 33" sheetId="78" r:id="rId34"/>
    <sheet name="Image 34" sheetId="79" r:id="rId35"/>
    <sheet name="Image 35" sheetId="80" r:id="rId36"/>
    <sheet name="Image 36" sheetId="81" r:id="rId37"/>
    <sheet name="Sheet1" sheetId="45" r:id="rId38"/>
  </sheets>
  <externalReferences>
    <externalReference r:id="rId39"/>
  </externalReferences>
  <definedNames>
    <definedName name="BallPlateGen5_Fixture_P509_east_DC_1_1_20211207T040041.csv" localSheetId="1">'Image 1'!$A$1:$R$29</definedName>
    <definedName name="BallPlateGen5_Fixture_P509_east_DC_1_1_20211207T044500.csv" localSheetId="2">'Image 2'!$A$1:$R$29</definedName>
    <definedName name="BallPlateGen5_Fixture_P509_east_DC_1_1_20211207T052902.csv" localSheetId="3">'Image 3'!$A$1:$R$29</definedName>
    <definedName name="BallPlateGen5_Fixture_P509_east_DC_1_2_20211207T040408.csv" localSheetId="4">'Image 4'!$A$1:$R$29</definedName>
    <definedName name="BallPlateGen5_Fixture_P509_east_DC_1_2_20211207T044826.csv" localSheetId="5">'Image 5'!$A$1:$R$29</definedName>
    <definedName name="BallPlateGen5_Fixture_P509_east_DC_1_2_20211207T053228.csv" localSheetId="6">'Image 6'!$A$1:$R$29</definedName>
    <definedName name="BallPlateGen5_Fixture_P509_east_DC_1_3_20211207T040734.csv" localSheetId="7">'Image 7'!$A$1:$R$29</definedName>
    <definedName name="BallPlateGen5_Fixture_P509_east_DC_1_3_20211207T045153.csv" localSheetId="8">'Image 8'!$A$1:$R$29</definedName>
    <definedName name="BallPlateGen5_Fixture_P509_east_DC_1_3_20211207T053554.csv" localSheetId="9">'Image 9'!$A$1:$R$29</definedName>
    <definedName name="BallPlateGen5_Fixture_P509_east_DC_1_4_20211207T041100.csv" localSheetId="10">'Image 10'!$A$1:$R$29</definedName>
    <definedName name="BallPlateGen5_Fixture_P509_east_DC_1_4_20211207T045518.csv" localSheetId="11">'Image 11'!$A$1:$R$29</definedName>
    <definedName name="BallPlateGen5_Fixture_P509_east_DC_1_4_20211207T053919.csv" localSheetId="12">'Image 12'!$A$1:$R$29</definedName>
    <definedName name="BallPlateGen5_Fixture_P509_east_DC_1_5_20211207T041427.csv" localSheetId="13">'Image 13'!$A$1:$R$29</definedName>
    <definedName name="BallPlateGen5_Fixture_P509_east_DC_1_5_20211207T045844.csv" localSheetId="14">'Image 14'!$A$1:$R$29</definedName>
    <definedName name="BallPlateGen5_Fixture_P509_east_DC_1_5_20211207T054245.csv" localSheetId="15">'Image 15'!$A$1:$R$29</definedName>
    <definedName name="BallPlateGen5_Fixture_P509_east_DC_1_6_20211207T041753.csv" localSheetId="16">'Image 16'!$A$1:$R$29</definedName>
    <definedName name="BallPlateGen5_Fixture_P509_east_DC_1_6_20211207T050210.csv" localSheetId="17">'Image 17'!$A$1:$R$29</definedName>
    <definedName name="BallPlateGen5_Fixture_P509_east_DC_1_6_20211207T054610.csv" localSheetId="18">'Image 18'!$A$1:$R$29</definedName>
    <definedName name="BallPlateGen5_Fixture_P509_south_DC_1_1_20211207T033804.csv" localSheetId="19">'Image 19'!$A$1:$R$29</definedName>
    <definedName name="BallPlateGen5_Fixture_P509_south_DC_1_1_20211207T042306.csv" localSheetId="20">'Image 20'!$A$1:$R$29</definedName>
    <definedName name="BallPlateGen5_Fixture_P509_south_DC_1_1_20211207T050704.csv" localSheetId="21">'Image 21'!$A$1:$R$29</definedName>
    <definedName name="BallPlateGen5_Fixture_P509_south_DC_1_2_20211207T034130.csv" localSheetId="22">'Image 22'!$A$1:$R$29</definedName>
    <definedName name="BallPlateGen5_Fixture_P509_south_DC_1_2_20211207T042632.csv" localSheetId="23">'Image 23'!$A$1:$R$29</definedName>
    <definedName name="BallPlateGen5_Fixture_P509_south_DC_1_2_20211207T051030.csv" localSheetId="24">'Image 24'!$A$1:$R$29</definedName>
    <definedName name="BallPlateGen5_Fixture_P509_south_DC_1_3_20211207T034457.csv" localSheetId="25">'Image 25'!$A$1:$R$29</definedName>
    <definedName name="BallPlateGen5_Fixture_P509_south_DC_1_3_20211207T042957.csv" localSheetId="26">'Image 26'!$A$1:$R$29</definedName>
    <definedName name="BallPlateGen5_Fixture_P509_south_DC_1_3_20211207T051355.csv" localSheetId="27">'Image 27'!$A$1:$R$29</definedName>
    <definedName name="BallPlateGen5_Fixture_P509_south_DC_1_4_20211207T034823.csv" localSheetId="28">'Image 28'!$A$1:$R$29</definedName>
    <definedName name="BallPlateGen5_Fixture_P509_south_DC_1_4_20211207T043323.csv" localSheetId="29">'Image 29'!$A$1:$R$29</definedName>
    <definedName name="BallPlateGen5_Fixture_P509_south_DC_1_4_20211207T051721.csv" localSheetId="30">'Image 30'!$A$1:$R$29</definedName>
    <definedName name="BallPlateGen5_Fixture_P509_south_DC_1_5_20211207T035150.csv" localSheetId="31">'Image 31'!$A$1:$R$29</definedName>
    <definedName name="BallPlateGen5_Fixture_P509_south_DC_1_5_20211207T043649.csv" localSheetId="32">'Image 32'!$A$1:$R$29</definedName>
    <definedName name="BallPlateGen5_Fixture_P509_south_DC_1_5_20211207T052047.csv" localSheetId="33">'Image 33'!$A$1:$R$29</definedName>
    <definedName name="BallPlateGen5_Fixture_P509_south_DC_1_6_20211207T035516.csv" localSheetId="34">'Image 34'!$A$1:$R$29</definedName>
    <definedName name="BallPlateGen5_Fixture_P509_south_DC_1_6_20211207T044014.csv" localSheetId="35">'Image 35'!$A$1:$R$29</definedName>
    <definedName name="BallPlateGen5_Fixture_P509_south_DC_1_6_20211207T052412.csv" localSheetId="36">'Image 36'!$A$1:$R$29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H15" i="44" l="1" a="1"/>
  <c r="BH10" i="44" a="1"/>
  <c r="AP20" i="44" a="1"/>
  <c r="AP22" i="44" a="1"/>
  <c r="H37" i="44" a="1"/>
  <c r="BJ41" i="44" a="1"/>
  <c r="BI42" i="44" a="1"/>
  <c r="AT8" i="44" a="1"/>
  <c r="G16" i="44" a="1"/>
  <c r="BG13" i="44" a="1"/>
  <c r="AN37" i="44" a="1"/>
  <c r="AO24" i="44" a="1"/>
  <c r="AM37" i="44" a="1"/>
  <c r="D19" i="44" a="1"/>
  <c r="AS27" i="44" a="1"/>
  <c r="BI32" i="44" a="1"/>
  <c r="AA27" i="44" a="1"/>
  <c r="AI7" i="44" a="1"/>
  <c r="AB23" i="44" a="1"/>
  <c r="AG37" i="44" a="1"/>
  <c r="J39" i="44" a="1"/>
  <c r="BG15" i="44" a="1"/>
  <c r="AR18" i="44" a="1"/>
  <c r="AN10" i="44" a="1"/>
  <c r="AM13" i="44" a="1"/>
  <c r="AH27" i="44" a="1"/>
  <c r="J17" i="44" a="1"/>
  <c r="B31" i="44" a="1"/>
  <c r="AD22" i="44" a="1"/>
  <c r="X23" i="44" a="1"/>
  <c r="Z15" i="44" a="1"/>
  <c r="B11" i="44" a="1"/>
  <c r="AF42" i="44" a="1"/>
  <c r="AI39" i="44" a="1"/>
  <c r="F29" i="44" a="1"/>
  <c r="AD18" i="44" a="1"/>
  <c r="X39" i="44" a="1"/>
  <c r="Z18" i="44" a="1"/>
  <c r="K11" i="44" a="1"/>
  <c r="K8" i="44" a="1"/>
  <c r="I8" i="44" a="1"/>
  <c r="AR41" i="44" a="1"/>
  <c r="AS29" i="44" a="1"/>
  <c r="AR15" i="44" a="1"/>
  <c r="X14" i="44" a="1"/>
  <c r="AA36" i="44" a="1"/>
  <c r="BJ35" i="44" a="1"/>
  <c r="I40" i="44" a="1"/>
  <c r="E41" i="44" a="1"/>
  <c r="BK18" i="44" a="1"/>
  <c r="AT35" i="44" a="1"/>
  <c r="AG33" i="44" a="1"/>
  <c r="AB7" i="44" a="1"/>
  <c r="AH25" i="44" a="1"/>
  <c r="BI21" i="44" a="1"/>
  <c r="AA11" i="44" a="1"/>
  <c r="C40" i="44" a="1"/>
  <c r="D40" i="44" a="1"/>
  <c r="AL38" i="44" a="1"/>
  <c r="AG31" i="44" a="1"/>
  <c r="E27" i="44" a="1"/>
  <c r="AO33" i="44" a="1"/>
  <c r="AI38" i="44" a="1"/>
  <c r="F30" i="44" a="1"/>
  <c r="B24" i="44" a="1"/>
  <c r="AR23" i="44" a="1"/>
  <c r="AN26" i="44" a="1"/>
  <c r="AG22" i="44" a="1"/>
  <c r="B32" i="44" a="1"/>
  <c r="AM8" i="44" a="1"/>
  <c r="AS40" i="44" a="1"/>
  <c r="BI11" i="44" a="1"/>
  <c r="H32" i="44" a="1"/>
  <c r="BH23" i="44" a="1"/>
  <c r="D21" i="44" a="1"/>
  <c r="F34" i="44" a="1"/>
  <c r="H7" i="44" a="1"/>
  <c r="BI41" i="44" a="1"/>
  <c r="AJ40" i="44" a="1"/>
  <c r="AN12" i="44" a="1"/>
  <c r="AA28" i="44" a="1"/>
  <c r="AG24" i="44" a="1"/>
  <c r="AK18" i="44" a="1"/>
  <c r="AF24" i="44" a="1"/>
  <c r="V9" i="44" a="1"/>
  <c r="V35" i="44" a="1"/>
  <c r="AT21" i="44" a="1"/>
  <c r="I24" i="44" a="1"/>
  <c r="AG8" i="44" a="1"/>
  <c r="AE13" i="44" a="1"/>
  <c r="AB28" i="44" a="1"/>
  <c r="I27" i="44" a="1"/>
  <c r="AN7" i="44" a="1"/>
  <c r="BI35" i="44" a="1"/>
  <c r="AP21" i="44" a="1"/>
  <c r="AQ12" i="44" a="1"/>
  <c r="BG39" i="44" a="1"/>
  <c r="AS30" i="44" a="1"/>
  <c r="BI33" i="44" a="1"/>
  <c r="AK27" i="44" a="1"/>
  <c r="BH41" i="44" a="1"/>
  <c r="AT9" i="44" a="1"/>
  <c r="W11" i="44" a="1"/>
  <c r="AC20" i="44" a="1"/>
  <c r="BK17" i="44" a="1"/>
  <c r="AB34" i="44" a="1"/>
  <c r="AE30" i="44" a="1"/>
  <c r="AL14" i="44" a="1"/>
  <c r="Z19" i="44" a="1"/>
  <c r="AE28" i="44" a="1"/>
  <c r="X29" i="44" a="1"/>
  <c r="BK23" i="44" a="1"/>
  <c r="K10" i="44" a="1"/>
  <c r="AC23" i="44" a="1"/>
  <c r="AG13" i="44" a="1"/>
  <c r="AK21" i="44" a="1"/>
  <c r="AM15" i="44" a="1"/>
  <c r="AN13" i="44" a="1"/>
  <c r="BH42" i="44" a="1"/>
  <c r="I18" i="44" a="1"/>
  <c r="H42" i="44" a="1"/>
  <c r="C35" i="44" a="1"/>
  <c r="AN33" i="44" a="1"/>
  <c r="AG32" i="44" a="1"/>
  <c r="Z23" i="44" a="1"/>
  <c r="C22" i="44" a="1"/>
  <c r="AP17" i="44" a="1"/>
  <c r="AM39" i="44" a="1"/>
  <c r="Y12" i="44" a="1"/>
  <c r="AG20" i="44" a="1"/>
  <c r="AI13" i="44" a="1"/>
  <c r="AO20" i="44" a="1"/>
  <c r="B14" i="44" a="1"/>
  <c r="AS13" i="44" a="1"/>
  <c r="X30" i="44" a="1"/>
  <c r="I11" i="44" a="1"/>
  <c r="BH26" i="44" a="1"/>
  <c r="AR9" i="44" a="1"/>
  <c r="AG23" i="44" a="1"/>
  <c r="AD28" i="44" a="1"/>
  <c r="V39" i="44" a="1"/>
  <c r="BJ34" i="44" a="1"/>
  <c r="AH13" i="44" a="1"/>
  <c r="W22" i="44" a="1"/>
  <c r="V21" i="44" a="1"/>
  <c r="X32" i="44" a="1"/>
  <c r="G21" i="44" a="1"/>
  <c r="AF21" i="44" a="1"/>
  <c r="AB35" i="44" a="1"/>
  <c r="G17" i="44" a="1"/>
  <c r="W42" i="44" a="1"/>
  <c r="I22" i="44" a="1"/>
  <c r="AO38" i="44" a="1"/>
  <c r="Z33" i="44" a="1"/>
  <c r="C32" i="44" a="1"/>
  <c r="AG27" i="44" a="1"/>
  <c r="I21" i="44" a="1"/>
  <c r="AG40" i="44" a="1"/>
  <c r="AK29" i="44" a="1"/>
  <c r="BK14" i="44" a="1"/>
  <c r="AK36" i="44" a="1"/>
  <c r="AO12" i="44" a="1"/>
  <c r="AG35" i="44" a="1"/>
  <c r="BJ40" i="44" a="1"/>
  <c r="AG10" i="44" a="1"/>
  <c r="AP37" i="44" a="1"/>
  <c r="V33" i="44" a="1"/>
  <c r="BJ32" i="44" a="1"/>
  <c r="AJ17" i="44" a="1"/>
  <c r="AT25" i="44" a="1"/>
  <c r="E13" i="44" a="1"/>
  <c r="Z22" i="44" a="1"/>
  <c r="BK19" i="44" a="1"/>
  <c r="C27" i="44" a="1"/>
  <c r="V38" i="44" a="1"/>
  <c r="Z40" i="44" a="1"/>
  <c r="AO23" i="44" a="1"/>
  <c r="G10" i="44" a="1"/>
  <c r="BH19" i="44" a="1"/>
  <c r="BJ20" i="44" a="1"/>
  <c r="AB21" i="44" a="1"/>
  <c r="AN31" i="44" a="1"/>
  <c r="AO32" i="44" a="1"/>
  <c r="G9" i="44" a="1"/>
  <c r="BK20" i="44" a="1"/>
  <c r="AQ22" i="44" a="1"/>
  <c r="Y18" i="44" a="1"/>
  <c r="BJ10" i="44" a="1"/>
  <c r="AJ21" i="44" a="1"/>
  <c r="K34" i="44" a="1"/>
  <c r="BI31" i="44" a="1"/>
  <c r="G11" i="44" a="1"/>
  <c r="H20" i="44" a="1"/>
  <c r="AS12" i="44" a="1"/>
  <c r="AE7" i="44" a="1"/>
  <c r="AK26" i="44" a="1"/>
  <c r="H15" i="44" a="1"/>
  <c r="E26" i="44" a="1"/>
  <c r="I41" i="44" a="1"/>
  <c r="AB40" i="44" a="1"/>
  <c r="AP31" i="44" a="1"/>
  <c r="AR19" i="44" a="1"/>
  <c r="V14" i="44" a="1"/>
  <c r="AQ17" i="44" a="1"/>
  <c r="BH27" i="44" a="1"/>
  <c r="E37" i="44" a="1"/>
  <c r="G38" i="44" a="1"/>
  <c r="Z28" i="44" a="1"/>
  <c r="AE31" i="44" a="1"/>
  <c r="AK16" i="44" a="1"/>
  <c r="AJ18" i="44" a="1"/>
  <c r="V17" i="44" a="1"/>
  <c r="AK42" i="44" a="1"/>
  <c r="AC10" i="44" a="1"/>
  <c r="K31" i="44" a="1"/>
  <c r="AA41" i="44" a="1"/>
  <c r="J16" i="44" a="1"/>
  <c r="BJ25" i="44" a="1"/>
  <c r="AQ38" i="44" a="1"/>
  <c r="AQ32" i="44" a="1"/>
  <c r="AS35" i="44" a="1"/>
  <c r="AF12" i="44" a="1"/>
  <c r="V11" i="44" a="1"/>
  <c r="BI14" i="44" a="1"/>
  <c r="AP26" i="44" a="1"/>
  <c r="G22" i="44" a="1"/>
  <c r="AT42" i="44" a="1"/>
  <c r="D13" i="44" a="1"/>
  <c r="AH39" i="44" a="1"/>
  <c r="AM12" i="44" a="1"/>
  <c r="AL18" i="44" a="1"/>
  <c r="J11" i="44" a="1"/>
  <c r="BK26" i="44" a="1"/>
  <c r="AD20" i="44" a="1"/>
  <c r="AP38" i="44" a="1"/>
  <c r="BG10" i="44" a="1"/>
  <c r="AT38" i="44" a="1"/>
  <c r="AK17" i="44" a="1"/>
  <c r="BG32" i="44" a="1"/>
  <c r="BK39" i="44" a="1"/>
  <c r="AS42" i="44" a="1"/>
  <c r="E18" i="44" a="1"/>
  <c r="X28" i="44" a="1"/>
  <c r="C19" i="44" a="1"/>
  <c r="B26" i="44" a="1"/>
  <c r="D23" i="44" a="1"/>
  <c r="BH32" i="44" a="1"/>
  <c r="Y39" i="44" a="1"/>
  <c r="AA39" i="44" a="1"/>
  <c r="AO18" i="44" a="1"/>
  <c r="AH11" i="44" a="1"/>
  <c r="D36" i="44" a="1"/>
  <c r="AT11" i="44" a="1"/>
  <c r="V22" i="44" a="1"/>
  <c r="W15" i="44" a="1"/>
  <c r="AK10" i="44" a="1"/>
  <c r="BJ36" i="44" a="1"/>
  <c r="BK31" i="44" a="1"/>
  <c r="AP40" i="44" a="1"/>
  <c r="AC40" i="44" a="1"/>
  <c r="AH10" i="44" a="1"/>
  <c r="AC19" i="44" a="1"/>
  <c r="AD34" i="44" a="1"/>
  <c r="AL8" i="44" a="1"/>
  <c r="F19" i="44" a="1"/>
  <c r="W18" i="44" a="1"/>
  <c r="AT26" i="44" a="1"/>
  <c r="AB11" i="44" a="1"/>
  <c r="BH39" i="44" a="1"/>
  <c r="F17" i="44" a="1"/>
  <c r="K17" i="44" a="1"/>
  <c r="B25" i="44" a="1"/>
  <c r="F12" i="44" a="1"/>
  <c r="D22" i="44" a="1"/>
  <c r="AL16" i="44" a="1"/>
  <c r="BJ11" i="44" a="1"/>
  <c r="G31" i="44" a="1"/>
  <c r="V42" i="44" a="1"/>
  <c r="AH17" i="44" a="1"/>
  <c r="AM17" i="44" a="1"/>
  <c r="AA31" i="44" a="1"/>
  <c r="J21" i="44" a="1"/>
  <c r="AK22" i="44" a="1"/>
  <c r="AA12" i="44" a="1"/>
  <c r="AM20" i="44" a="1"/>
  <c r="Z25" i="44" a="1"/>
  <c r="K16" i="44" a="1"/>
  <c r="BH28" i="44" a="1"/>
  <c r="AF28" i="44" a="1"/>
  <c r="B28" i="44" a="1"/>
  <c r="F10" i="44" a="1"/>
  <c r="X26" i="44" a="1"/>
  <c r="F28" i="44" a="1"/>
  <c r="AQ27" i="44" a="1"/>
  <c r="BG31" i="44" a="1"/>
  <c r="F23" i="44" a="1"/>
  <c r="AN21" i="44" a="1"/>
  <c r="D18" i="44" a="1"/>
  <c r="AL40" i="44" a="1"/>
  <c r="AL30" i="44" a="1"/>
  <c r="I25" i="44" a="1"/>
  <c r="F16" i="44" a="1"/>
  <c r="J7" i="44" a="1"/>
  <c r="Y38" i="44" a="1"/>
  <c r="BI16" i="44" a="1"/>
  <c r="BI9" i="44" a="1"/>
  <c r="BI7" i="44" a="1"/>
  <c r="AG16" i="44" a="1"/>
  <c r="AM33" i="44" a="1"/>
  <c r="J9" i="44" a="1"/>
  <c r="V37" i="44" a="1"/>
  <c r="D11" i="44" a="1"/>
  <c r="H13" i="44" a="1"/>
  <c r="AN19" i="44" a="1"/>
  <c r="AR25" i="44" a="1"/>
  <c r="V23" i="44" a="1"/>
  <c r="AE10" i="44" a="1"/>
  <c r="AJ24" i="44" a="1"/>
  <c r="C25" i="44" a="1"/>
  <c r="AE26" i="44" a="1"/>
  <c r="K40" i="44" a="1"/>
  <c r="AS14" i="44" a="1"/>
  <c r="C28" i="44" a="1"/>
  <c r="I31" i="44" a="1"/>
  <c r="AS32" i="44" a="1"/>
  <c r="BI37" i="44" a="1"/>
  <c r="B23" i="44" a="1"/>
  <c r="AD21" i="44" a="1"/>
  <c r="AH38" i="44" a="1"/>
  <c r="AM21" i="44" a="1"/>
  <c r="AF16" i="44" a="1"/>
  <c r="BG23" i="44" a="1"/>
  <c r="AE37" i="44" a="1"/>
  <c r="BI22" i="44" a="1"/>
  <c r="AS11" i="44" a="1"/>
  <c r="AP12" i="44" a="1"/>
  <c r="W25" i="44" a="1"/>
  <c r="BK35" i="44" a="1"/>
  <c r="C21" i="44" a="1"/>
  <c r="AJ23" i="44" a="1"/>
  <c r="AE41" i="44" a="1"/>
  <c r="B17" i="44" a="1"/>
  <c r="H10" i="44" a="1"/>
  <c r="AT12" i="44" a="1"/>
  <c r="X42" i="44" a="1"/>
  <c r="AG29" i="44" a="1"/>
  <c r="W16" i="44" a="1"/>
  <c r="I23" i="44" a="1"/>
  <c r="AF11" i="44" a="1"/>
  <c r="AN25" i="44" a="1"/>
  <c r="AT23" i="44" a="1"/>
  <c r="AA10" i="44" a="1"/>
  <c r="E10" i="44" a="1"/>
  <c r="F27" i="44" a="1"/>
  <c r="H26" i="44" a="1"/>
  <c r="AR31" i="44" a="1"/>
  <c r="AH12" i="44" a="1"/>
  <c r="D14" i="44" a="1"/>
  <c r="AF34" i="44" a="1"/>
  <c r="AM27" i="44" a="1"/>
  <c r="BJ33" i="44" a="1"/>
  <c r="AI42" i="44" a="1"/>
  <c r="AP27" i="44" a="1"/>
  <c r="AT34" i="44" a="1"/>
  <c r="BI36" i="44" a="1"/>
  <c r="AM22" i="44" a="1"/>
  <c r="AJ27" i="44" a="1"/>
  <c r="AK12" i="44" a="1"/>
  <c r="AN32" i="44" a="1"/>
  <c r="BK34" i="44" a="1"/>
  <c r="AG42" i="44" a="1"/>
  <c r="BG40" i="44" a="1"/>
  <c r="AI30" i="44" a="1"/>
  <c r="AD32" i="44" a="1"/>
  <c r="AG26" i="44" a="1"/>
  <c r="K18" i="44" a="1"/>
  <c r="AB19" i="44" a="1"/>
  <c r="G34" i="44" a="1"/>
  <c r="F14" i="44" a="1"/>
  <c r="AB26" i="44" a="1"/>
  <c r="AI29" i="44" a="1"/>
  <c r="AS31" i="44" a="1"/>
  <c r="AG19" i="44" a="1"/>
  <c r="D38" i="44" a="1"/>
  <c r="AS25" i="44" a="1"/>
  <c r="AI34" i="44" a="1"/>
  <c r="D15" i="44" a="1"/>
  <c r="Y15" i="44" a="1"/>
  <c r="E17" i="44" a="1"/>
  <c r="AN42" i="44" a="1"/>
  <c r="C24" i="44" a="1"/>
  <c r="AC9" i="44" a="1"/>
  <c r="B9" i="44" a="1"/>
  <c r="AC29" i="44" a="1"/>
  <c r="G25" i="44" a="1"/>
  <c r="AS22" i="44" a="1"/>
  <c r="AL42" i="44" a="1"/>
  <c r="D27" i="44" a="1"/>
  <c r="BI12" i="44" a="1"/>
  <c r="AA26" i="44" a="1"/>
  <c r="AH18" i="44" a="1"/>
  <c r="AB22" i="44" a="1"/>
  <c r="K13" i="44" a="1"/>
  <c r="AC27" i="44" a="1"/>
  <c r="V19" i="44" a="1"/>
  <c r="AN18" i="44" a="1"/>
  <c r="BJ8" i="44" a="1"/>
  <c r="AJ10" i="44" a="1"/>
  <c r="AP35" i="44" a="1"/>
  <c r="AK28" i="44" a="1"/>
  <c r="H28" i="44" a="1"/>
  <c r="AG14" i="44" a="1"/>
  <c r="BK37" i="44" a="1"/>
  <c r="X20" i="44" a="1"/>
  <c r="AJ20" i="44" a="1"/>
  <c r="AI22" i="44" a="1"/>
  <c r="AP9" i="44" a="1"/>
  <c r="V32" i="44" a="1"/>
  <c r="AC22" i="44" a="1"/>
  <c r="X16" i="44" a="1"/>
  <c r="AQ13" i="44" a="1"/>
  <c r="AS18" i="44" a="1"/>
  <c r="AO40" i="44" a="1"/>
  <c r="AP30" i="44" a="1"/>
  <c r="I15" i="44" a="1"/>
  <c r="AH30" i="44" a="1"/>
  <c r="H19" i="44" a="1"/>
  <c r="AL29" i="44" a="1"/>
  <c r="G28" i="44" a="1"/>
  <c r="H27" i="44" a="1"/>
  <c r="AO8" i="44" a="1"/>
  <c r="BG27" i="44" a="1"/>
  <c r="AJ33" i="44" a="1"/>
  <c r="BH30" i="44" a="1"/>
  <c r="B41" i="44" a="1"/>
  <c r="AJ9" i="44" a="1"/>
  <c r="AC12" i="44" a="1"/>
  <c r="AT14" i="44" a="1"/>
  <c r="K37" i="44" a="1"/>
  <c r="H23" i="44" a="1"/>
  <c r="W29" i="44" a="1"/>
  <c r="BG9" i="44" a="1"/>
  <c r="AL20" i="44" a="1"/>
  <c r="K30" i="44" a="1"/>
  <c r="X12" i="44" a="1"/>
  <c r="AG9" i="44" a="1"/>
  <c r="AT32" i="44" a="1"/>
  <c r="D25" i="44" a="1"/>
  <c r="AA40" i="44" a="1"/>
  <c r="AN17" i="44" a="1"/>
  <c r="AM14" i="44" a="1"/>
  <c r="F26" i="44" a="1"/>
  <c r="AD30" i="44" a="1"/>
  <c r="AK20" i="44" a="1"/>
  <c r="BG22" i="44" a="1"/>
  <c r="C30" i="44" a="1"/>
  <c r="K25" i="44" a="1"/>
  <c r="Y23" i="44" a="1"/>
  <c r="AP32" i="44" a="1"/>
  <c r="AK23" i="44" a="1"/>
  <c r="AH14" i="44" a="1"/>
  <c r="J36" i="44" a="1"/>
  <c r="BK29" i="44" a="1"/>
  <c r="AE18" i="44" a="1"/>
  <c r="AI18" i="44" a="1"/>
  <c r="X41" i="44" a="1"/>
  <c r="AI27" i="44" a="1"/>
  <c r="Y7" i="44" a="1"/>
  <c r="AD25" i="44" a="1"/>
  <c r="BJ38" i="44" a="1"/>
  <c r="AP39" i="44" a="1"/>
  <c r="G39" i="44" a="1"/>
  <c r="K32" i="44" a="1"/>
  <c r="Y36" i="44" a="1"/>
  <c r="AB14" i="44" a="1"/>
  <c r="BH9" i="44" a="1"/>
  <c r="AE27" i="44" a="1"/>
  <c r="AF9" i="44" a="1"/>
  <c r="AT18" i="44" a="1"/>
  <c r="E21" i="44" a="1"/>
  <c r="AR21" i="44" a="1"/>
  <c r="E8" i="44" a="1"/>
  <c r="H16" i="44" a="1"/>
  <c r="J25" i="44" a="1"/>
  <c r="AF15" i="44" a="1"/>
  <c r="AI19" i="44" a="1"/>
  <c r="AQ39" i="44" a="1"/>
  <c r="AP11" i="44" a="1"/>
  <c r="G40" i="44" a="1"/>
  <c r="F21" i="44" a="1"/>
  <c r="AC33" i="44" a="1"/>
  <c r="V25" i="44" a="1"/>
  <c r="BK30" i="44" a="1"/>
  <c r="X21" i="44" a="1"/>
  <c r="AJ32" i="44" a="1"/>
  <c r="BI27" i="44" a="1"/>
  <c r="AD29" i="44" a="1"/>
  <c r="AL41" i="44" a="1"/>
  <c r="J34" i="44" a="1"/>
  <c r="BH33" i="44" a="1"/>
  <c r="AC31" i="44" a="1"/>
  <c r="I32" i="44" a="1"/>
  <c r="E30" i="44" a="1"/>
  <c r="AB16" i="44" a="1"/>
  <c r="AH28" i="44" a="1"/>
  <c r="K27" i="44" a="1"/>
  <c r="AF35" i="44" a="1"/>
  <c r="BH38" i="44" a="1"/>
  <c r="AO19" i="44" a="1"/>
  <c r="AS24" i="44" a="1"/>
  <c r="B18" i="44" a="1"/>
  <c r="AD16" i="44" a="1"/>
  <c r="X7" i="44" a="1"/>
  <c r="AK19" i="44" a="1"/>
  <c r="K36" i="44" a="1"/>
  <c r="C16" i="44" a="1"/>
  <c r="V29" i="44" a="1"/>
  <c r="G20" i="44" a="1"/>
  <c r="C39" i="44" a="1"/>
  <c r="E32" i="44" a="1"/>
  <c r="Z11" i="44" a="1"/>
  <c r="Y25" i="44" a="1"/>
  <c r="AH16" i="44" a="1"/>
  <c r="AQ33" i="44" a="1"/>
  <c r="AI31" i="44" a="1"/>
  <c r="BI8" i="44" a="1"/>
  <c r="G18" i="44" a="1"/>
  <c r="BJ12" i="44" a="1"/>
  <c r="D42" i="44" a="1"/>
  <c r="AO28" i="44" a="1"/>
  <c r="BK40" i="44" a="1"/>
  <c r="X8" i="44" a="1"/>
  <c r="C13" i="44" a="1"/>
  <c r="AN30" i="44" a="1"/>
  <c r="W7" i="44" a="1"/>
  <c r="AH35" i="44" a="1"/>
  <c r="J13" i="44" a="1"/>
  <c r="H17" i="44" a="1"/>
  <c r="BK12" i="44" a="1"/>
  <c r="AG12" i="44" a="1"/>
  <c r="AN16" i="44" a="1"/>
  <c r="V34" i="44" a="1"/>
  <c r="W21" i="44" a="1"/>
  <c r="AR28" i="44" a="1"/>
  <c r="V40" i="44" a="1"/>
  <c r="G14" i="44" a="1"/>
  <c r="AI17" i="44" a="1"/>
  <c r="H41" i="44" a="1"/>
  <c r="AP14" i="44" a="1"/>
  <c r="AL11" i="44" a="1"/>
  <c r="C26" i="44" a="1"/>
  <c r="AP10" i="44" a="1"/>
  <c r="J23" i="44" a="1"/>
  <c r="G37" i="44" a="1"/>
  <c r="C31" i="44" a="1"/>
  <c r="J37" i="44" a="1"/>
  <c r="AR14" i="44" a="1"/>
  <c r="E28" i="44" a="1"/>
  <c r="AI12" i="44" a="1"/>
  <c r="BJ37" i="44" a="1"/>
  <c r="AF18" i="44" a="1"/>
  <c r="BK22" i="44" a="1"/>
  <c r="C12" i="44" a="1"/>
  <c r="I20" i="44" a="1"/>
  <c r="K29" i="44" a="1"/>
  <c r="AF30" i="44" a="1"/>
  <c r="AA30" i="44" a="1"/>
  <c r="AM9" i="44" a="1"/>
  <c r="B29" i="44" a="1"/>
  <c r="AQ21" i="44" a="1"/>
  <c r="BK11" i="44" a="1"/>
  <c r="AE35" i="44" a="1"/>
  <c r="AB15" i="44" a="1"/>
  <c r="H12" i="44" a="1"/>
  <c r="AJ13" i="44" a="1"/>
  <c r="I13" i="44" a="1"/>
  <c r="Z27" i="44" a="1"/>
  <c r="AI26" i="44" a="1"/>
  <c r="Z35" i="44" a="1"/>
  <c r="AN38" i="44" a="1"/>
  <c r="AA29" i="44" a="1"/>
  <c r="Z34" i="44" a="1"/>
  <c r="AK14" i="44" a="1"/>
  <c r="BG35" i="44" a="1"/>
  <c r="BG17" i="44" a="1"/>
  <c r="Y11" i="44" a="1"/>
  <c r="AQ24" i="44" a="1"/>
  <c r="AS39" i="44" a="1"/>
  <c r="BK24" i="44" a="1"/>
  <c r="W30" i="44" a="1"/>
  <c r="AG15" i="44" a="1"/>
  <c r="AN14" i="44" a="1"/>
  <c r="AA24" i="44" a="1"/>
  <c r="AE40" i="44" a="1"/>
  <c r="AQ42" i="44" a="1"/>
  <c r="AO15" i="44" a="1"/>
  <c r="AN24" i="44" a="1"/>
  <c r="AH21" i="44" a="1"/>
  <c r="K41" i="44" a="1"/>
  <c r="AQ25" i="44" a="1"/>
  <c r="AS23" i="44" a="1"/>
  <c r="V31" i="44" a="1"/>
  <c r="AS8" i="44" a="1"/>
  <c r="AN40" i="44" a="1"/>
  <c r="C14" i="44" a="1"/>
  <c r="AC30" i="44" a="1"/>
  <c r="AQ8" i="44" a="1"/>
  <c r="J22" i="44" a="1"/>
  <c r="G36" i="44" a="1"/>
  <c r="AJ34" i="44" a="1"/>
  <c r="AD36" i="44" a="1"/>
  <c r="W37" i="44" a="1"/>
  <c r="AF25" i="44" a="1"/>
  <c r="AI9" i="44" a="1"/>
  <c r="BI29" i="44" a="1"/>
  <c r="BG26" i="44" a="1"/>
  <c r="AO25" i="44" a="1"/>
  <c r="J18" i="44" a="1"/>
  <c r="AL9" i="44" a="1"/>
  <c r="AD15" i="44" a="1"/>
  <c r="AK39" i="44" a="1"/>
  <c r="F32" i="44" a="1"/>
  <c r="BH20" i="44" a="1"/>
  <c r="BG12" i="44" a="1"/>
  <c r="J30" i="44" a="1"/>
  <c r="BJ39" i="44" a="1"/>
  <c r="X18" i="44" a="1"/>
  <c r="AF27" i="44" a="1"/>
  <c r="AA18" i="44" a="1"/>
  <c r="AK11" i="44" a="1"/>
  <c r="H30" i="44" a="1"/>
  <c r="AT16" i="44" a="1"/>
  <c r="BH17" i="44" a="1"/>
  <c r="BJ21" i="44" a="1"/>
  <c r="Z21" i="44" a="1"/>
  <c r="AS20" i="44" a="1"/>
  <c r="K21" i="44" a="1"/>
  <c r="B39" i="44" a="1"/>
  <c r="AN35" i="44" a="1"/>
  <c r="Z38" i="44" a="1"/>
  <c r="F39" i="44" a="1"/>
  <c r="E31" i="44" a="1"/>
  <c r="G42" i="44" a="1"/>
  <c r="C29" i="44" a="1"/>
  <c r="AT13" i="44" a="1"/>
  <c r="F37" i="44" a="1"/>
  <c r="BK36" i="44" a="1"/>
  <c r="AL12" i="44" a="1"/>
  <c r="G7" i="44" a="1"/>
  <c r="H39" i="44" a="1"/>
  <c r="AI15" i="44" a="1"/>
  <c r="G32" i="44" a="1"/>
  <c r="AJ16" i="44" a="1"/>
  <c r="X15" i="44" a="1"/>
  <c r="I9" i="44" a="1"/>
  <c r="AO16" i="44" a="1"/>
  <c r="D31" i="44" a="1"/>
  <c r="B15" i="44" a="1"/>
  <c r="F15" i="44" a="1"/>
  <c r="AE17" i="44" a="1"/>
  <c r="AK33" i="44" a="1"/>
  <c r="V10" i="44" a="1"/>
  <c r="AO11" i="44" a="1"/>
  <c r="AN29" i="44" a="1"/>
  <c r="G30" i="44" a="1"/>
  <c r="AK15" i="44" a="1"/>
  <c r="BH14" i="44" a="1"/>
  <c r="BJ42" i="44" a="1"/>
  <c r="AE38" i="44" a="1"/>
  <c r="J28" i="44" a="1"/>
  <c r="D24" i="44" a="1"/>
  <c r="AL13" i="44" a="1"/>
  <c r="AM41" i="44" a="1"/>
  <c r="V16" i="44" a="1"/>
  <c r="AB31" i="44" a="1"/>
  <c r="AE32" i="44" a="1"/>
  <c r="Y41" i="44" a="1"/>
  <c r="AL24" i="44" a="1"/>
  <c r="AD24" i="44" a="1"/>
  <c r="B7" i="44" a="1"/>
  <c r="H9" i="44" a="1"/>
  <c r="AO17" i="44" a="1"/>
  <c r="Z37" i="44" a="1"/>
  <c r="BJ13" i="44" a="1"/>
  <c r="J27" i="44" a="1"/>
  <c r="AF40" i="44" a="1"/>
  <c r="C36" i="44" a="1"/>
  <c r="AQ30" i="44" a="1"/>
  <c r="AT31" i="44" a="1"/>
  <c r="AH33" i="44" a="1"/>
  <c r="AO34" i="44" a="1"/>
  <c r="BH34" i="44" a="1"/>
  <c r="AK38" i="44" a="1"/>
  <c r="E40" i="44" a="1"/>
  <c r="AC7" i="44" a="1"/>
  <c r="AK40" i="44" a="1"/>
  <c r="AF29" i="44" a="1"/>
  <c r="X31" i="44" a="1"/>
  <c r="AB27" i="44" a="1"/>
  <c r="Y24" i="44" a="1"/>
  <c r="X34" i="44" a="1"/>
  <c r="AE23" i="44" a="1"/>
  <c r="AR34" i="44" a="1"/>
  <c r="AQ10" i="44" a="1"/>
  <c r="AL19" i="44" a="1"/>
  <c r="J33" i="44" a="1"/>
  <c r="AP7" i="44" a="1"/>
  <c r="AF33" i="44" a="1"/>
  <c r="BK28" i="44" a="1"/>
  <c r="H21" i="44" a="1"/>
  <c r="AE14" i="44" a="1"/>
  <c r="AR33" i="44" a="1"/>
  <c r="E33" i="44" a="1"/>
  <c r="H24" i="44" a="1"/>
  <c r="AQ14" i="44" a="1"/>
  <c r="W41" i="44" a="1"/>
  <c r="BK16" i="44" a="1"/>
  <c r="X9" i="44" a="1"/>
  <c r="AS19" i="44" a="1"/>
  <c r="AO39" i="44" a="1"/>
  <c r="K12" i="44" a="1"/>
  <c r="K24" i="44" a="1"/>
  <c r="AA21" i="44" a="1"/>
  <c r="BH24" i="44" a="1"/>
  <c r="G26" i="44" a="1"/>
  <c r="AH23" i="44" a="1"/>
  <c r="AJ30" i="44" a="1"/>
  <c r="I7" i="44" a="1"/>
  <c r="AD23" i="44" a="1"/>
  <c r="AR20" i="44" a="1"/>
  <c r="G19" i="44" a="1"/>
  <c r="I34" i="44" a="1"/>
  <c r="C42" i="44" a="1"/>
  <c r="W35" i="44" a="1"/>
  <c r="H31" i="44" a="1"/>
  <c r="BI39" i="44" a="1"/>
  <c r="AD19" i="44" a="1"/>
  <c r="AT40" i="44" a="1"/>
  <c r="V13" i="44" a="1"/>
  <c r="F18" i="44" a="1"/>
  <c r="AP33" i="44" a="1"/>
  <c r="AP18" i="44" a="1"/>
  <c r="C37" i="44" a="1"/>
  <c r="E24" i="44" a="1"/>
  <c r="AS9" i="44" a="1"/>
  <c r="AS21" i="44" a="1"/>
  <c r="BG36" i="44" a="1"/>
  <c r="E42" i="44" a="1"/>
  <c r="J31" i="44" a="1"/>
  <c r="D8" i="44" a="1"/>
  <c r="AH29" i="44" a="1"/>
  <c r="AQ29" i="44" a="1"/>
  <c r="AC25" i="44" a="1"/>
  <c r="AR13" i="44" a="1"/>
  <c r="Y37" i="44" a="1"/>
  <c r="AD11" i="44" a="1"/>
  <c r="AE29" i="44" a="1"/>
  <c r="BI34" i="44" a="1"/>
  <c r="AT19" i="44" a="1"/>
  <c r="W40" i="44" a="1"/>
  <c r="AM38" i="44" a="1"/>
  <c r="J41" i="44" a="1"/>
  <c r="AH22" i="44" a="1"/>
  <c r="F22" i="44" a="1"/>
  <c r="G41" i="44" a="1"/>
  <c r="W14" i="44" a="1"/>
  <c r="W9" i="44" a="1"/>
  <c r="F7" i="44" a="1"/>
  <c r="J24" i="44" a="1"/>
  <c r="F25" i="44" a="1"/>
  <c r="AD38" i="44" a="1"/>
  <c r="B22" i="44" a="1"/>
  <c r="E38" i="44" a="1"/>
  <c r="AJ15" i="44" a="1"/>
  <c r="Y21" i="44" a="1"/>
  <c r="AJ37" i="44" a="1"/>
  <c r="AQ16" i="44" a="1"/>
  <c r="AO27" i="44" a="1"/>
  <c r="BG38" i="44" a="1"/>
  <c r="G35" i="44" a="1"/>
  <c r="AN27" i="44" a="1"/>
  <c r="H25" i="44" a="1"/>
  <c r="AI14" i="44" a="1"/>
  <c r="AP25" i="44" a="1"/>
  <c r="AO29" i="44" a="1"/>
  <c r="Z42" i="44" a="1"/>
  <c r="Y30" i="44" a="1"/>
  <c r="C17" i="44" a="1"/>
  <c r="AA37" i="44" a="1"/>
  <c r="Z17" i="44" a="1"/>
  <c r="AQ41" i="44" a="1"/>
  <c r="F20" i="44" a="1"/>
  <c r="Y34" i="44" a="1"/>
  <c r="B36" i="44" a="1"/>
  <c r="AJ39" i="44" a="1"/>
  <c r="AD41" i="44" a="1"/>
  <c r="E15" i="44" a="1"/>
  <c r="BH18" i="44" a="1"/>
  <c r="BK7" i="44" a="1"/>
  <c r="BI28" i="44" a="1"/>
  <c r="AO31" i="44" a="1"/>
  <c r="AC28" i="44" a="1"/>
  <c r="AQ31" i="44" a="1"/>
  <c r="AE11" i="44" a="1"/>
  <c r="AO36" i="44" a="1"/>
  <c r="AA17" i="44" a="1"/>
  <c r="I35" i="44" a="1"/>
  <c r="AD33" i="44" a="1"/>
  <c r="AD10" i="44" a="1"/>
  <c r="W26" i="44" a="1"/>
  <c r="E19" i="44" a="1"/>
  <c r="K22" i="44" a="1"/>
  <c r="Z10" i="44" a="1"/>
  <c r="AM10" i="44" a="1"/>
  <c r="BH35" i="44" a="1"/>
  <c r="BG19" i="44" a="1"/>
  <c r="AC42" i="44" a="1"/>
  <c r="W17" i="44" a="1"/>
  <c r="D34" i="44" a="1"/>
  <c r="V15" i="44" a="1"/>
  <c r="Y28" i="44" a="1"/>
  <c r="AJ14" i="44" a="1"/>
  <c r="C9" i="44" a="1"/>
  <c r="AI32" i="44" a="1"/>
  <c r="Z39" i="44" a="1"/>
  <c r="X27" i="44" a="1"/>
  <c r="AD37" i="44" a="1"/>
  <c r="AC37" i="44" a="1"/>
  <c r="AC18" i="44" a="1"/>
  <c r="BK42" i="44" a="1"/>
  <c r="AL7" i="44" a="1"/>
  <c r="BG21" i="44" a="1"/>
  <c r="V12" i="44" a="1"/>
  <c r="AM28" i="44" a="1"/>
  <c r="G24" i="44" a="1"/>
  <c r="J38" i="44" a="1"/>
  <c r="AN8" i="44" a="1"/>
  <c r="AM16" i="44" a="1"/>
  <c r="BI26" i="44" a="1"/>
  <c r="C10" i="44" a="1"/>
  <c r="V8" i="44" a="1"/>
  <c r="AN20" i="44" a="1"/>
  <c r="BI20" i="44" a="1"/>
  <c r="K39" i="44" a="1"/>
  <c r="AK7" i="44" a="1"/>
  <c r="AF13" i="44" a="1"/>
  <c r="AL27" i="44" a="1"/>
  <c r="BH37" i="44" a="1"/>
  <c r="AA20" i="44" a="1"/>
  <c r="AI35" i="44" a="1"/>
  <c r="AJ41" i="44" a="1"/>
  <c r="I19" i="44" a="1"/>
  <c r="AB32" i="44" a="1"/>
  <c r="AR29" i="44" a="1"/>
  <c r="BI24" i="44" a="1"/>
  <c r="AG21" i="44" a="1"/>
  <c r="V18" i="44" a="1"/>
  <c r="AN22" i="44" a="1"/>
  <c r="AD17" i="44" a="1"/>
  <c r="E16" i="44" a="1"/>
  <c r="X13" i="44" a="1"/>
  <c r="AB9" i="44" a="1"/>
  <c r="G13" i="44" a="1"/>
  <c r="AA8" i="44" a="1"/>
  <c r="BH7" i="44" a="1"/>
  <c r="AK30" i="44" a="1"/>
  <c r="E39" i="44" a="1"/>
  <c r="AH26" i="44" a="1"/>
  <c r="BI30" i="44" a="1"/>
  <c r="H40" i="44" a="1"/>
  <c r="BH40" i="44" a="1"/>
  <c r="AE36" i="44" a="1"/>
  <c r="BK8" i="44" a="1"/>
  <c r="AE34" i="44" a="1"/>
  <c r="AD14" i="44" a="1"/>
  <c r="AT41" i="44" a="1"/>
  <c r="AC26" i="44" a="1"/>
  <c r="AR8" i="44" a="1"/>
  <c r="AQ15" i="44" a="1"/>
  <c r="AQ36" i="44" a="1"/>
  <c r="AE25" i="44" a="1"/>
  <c r="B33" i="44" a="1"/>
  <c r="E9" i="44" a="1"/>
  <c r="AN36" i="44" a="1"/>
  <c r="AG25" i="44" a="1"/>
  <c r="AR37" i="44" a="1"/>
  <c r="AJ19" i="44" a="1"/>
  <c r="AS15" i="44" a="1"/>
  <c r="BJ28" i="44" a="1"/>
  <c r="G27" i="44" a="1"/>
  <c r="BI38" i="44" a="1"/>
  <c r="AD13" i="44" a="1"/>
  <c r="Z32" i="44" a="1"/>
  <c r="AC38" i="44" a="1"/>
  <c r="K15" i="44" a="1"/>
  <c r="V27" i="44" a="1"/>
  <c r="J19" i="44" a="1"/>
  <c r="Y8" i="44" a="1"/>
  <c r="AQ35" i="44" a="1"/>
  <c r="K14" i="44" a="1"/>
  <c r="AJ31" i="44" a="1"/>
  <c r="AS16" i="44" a="1"/>
  <c r="Y10" i="44" a="1"/>
  <c r="AT20" i="44" a="1"/>
  <c r="J20" i="44" a="1"/>
  <c r="Y31" i="44" a="1"/>
  <c r="C38" i="44" a="1"/>
  <c r="AN34" i="44" a="1"/>
  <c r="AQ20" i="44" a="1"/>
  <c r="BG24" i="44" a="1"/>
  <c r="BK10" i="44" a="1"/>
  <c r="AC32" i="44" a="1"/>
  <c r="AO7" i="44" a="1"/>
  <c r="BJ26" i="44" a="1"/>
  <c r="BJ23" i="44" a="1"/>
  <c r="D28" i="44" a="1"/>
  <c r="AP16" i="44" a="1"/>
  <c r="H11" i="44" a="1"/>
  <c r="J26" i="44" a="1"/>
  <c r="I16" i="44" a="1"/>
  <c r="AE42" i="44" a="1"/>
  <c r="W28" i="44" a="1"/>
  <c r="AM19" i="44" a="1"/>
  <c r="K42" i="44" a="1"/>
  <c r="BG14" i="44" a="1"/>
  <c r="AG18" i="44" a="1"/>
  <c r="F35" i="44" a="1"/>
  <c r="AJ26" i="44" a="1"/>
  <c r="AI37" i="44" a="1"/>
  <c r="J35" i="44" a="1"/>
  <c r="Y20" i="44" a="1"/>
  <c r="W38" i="44" a="1"/>
  <c r="AN28" i="44" a="1"/>
  <c r="H36" i="44" a="1"/>
  <c r="W23" i="44" a="1"/>
  <c r="F33" i="44" a="1"/>
  <c r="BG18" i="44" a="1"/>
  <c r="AA34" i="44" a="1"/>
  <c r="G15" i="44" a="1"/>
  <c r="AL34" i="44" a="1"/>
  <c r="K23" i="44" a="1"/>
  <c r="E35" i="44" a="1"/>
  <c r="AA16" i="44" a="1"/>
  <c r="AM31" i="44" a="1"/>
  <c r="Y16" i="44" a="1"/>
  <c r="AI21" i="44" a="1"/>
  <c r="AB13" i="44" a="1"/>
  <c r="F24" i="44" a="1"/>
  <c r="AL37" i="44" a="1"/>
  <c r="BH16" i="44" a="1"/>
  <c r="C8" i="44" a="1"/>
  <c r="AJ28" i="44" a="1"/>
  <c r="Y22" i="44" a="1"/>
  <c r="AR42" i="44" a="1"/>
  <c r="AH40" i="44" a="1"/>
  <c r="AM11" i="44" a="1"/>
  <c r="AL28" i="44" a="1"/>
  <c r="AO42" i="44" a="1"/>
  <c r="AO35" i="44" a="1"/>
  <c r="F11" i="44" a="1"/>
  <c r="BG42" i="44" a="1"/>
  <c r="Y27" i="44" a="1"/>
  <c r="AC11" i="44" a="1"/>
  <c r="BI23" i="44" a="1"/>
  <c r="G33" i="44" a="1"/>
  <c r="E20" i="44" a="1"/>
  <c r="X35" i="44" a="1"/>
  <c r="B16" i="44" a="1"/>
  <c r="K9" i="44" a="1"/>
  <c r="AK35" i="44" a="1"/>
  <c r="I39" i="44" a="1"/>
  <c r="K38" i="44" a="1"/>
  <c r="AH7" i="44" a="1"/>
  <c r="AC8" i="44" a="1"/>
  <c r="AM40" i="44" a="1"/>
  <c r="K28" i="44" a="1"/>
  <c r="X17" i="44" a="1"/>
  <c r="AI36" i="44" a="1"/>
  <c r="D29" i="44" a="1"/>
  <c r="AH31" i="44" a="1"/>
  <c r="AF36" i="44" a="1"/>
  <c r="I14" i="44" a="1"/>
  <c r="AH41" i="44" a="1"/>
  <c r="Z26" i="44" a="1"/>
  <c r="AI16" i="44" a="1"/>
  <c r="AR30" i="44" a="1"/>
  <c r="AR35" i="44" a="1"/>
  <c r="BK38" i="44" a="1"/>
  <c r="AQ23" i="44" a="1"/>
  <c r="AC14" i="44" a="1"/>
  <c r="AB42" i="44" a="1"/>
  <c r="Y9" i="44" a="1"/>
  <c r="BG33" i="44" a="1"/>
  <c r="W10" i="44" a="1"/>
  <c r="AI10" i="44" a="1"/>
  <c r="K19" i="44" a="1"/>
  <c r="B40" i="44" a="1"/>
  <c r="AT30" i="44" a="1"/>
  <c r="J10" i="44" a="1"/>
  <c r="AL32" i="44" a="1"/>
  <c r="AC17" i="44" a="1"/>
  <c r="Z41" i="44" a="1"/>
  <c r="X37" i="44" a="1"/>
  <c r="X36" i="44" a="1"/>
  <c r="AD40" i="44" a="1"/>
  <c r="AI24" i="44" a="1"/>
  <c r="AG41" i="44" a="1"/>
  <c r="BH8" i="44" a="1"/>
  <c r="Z29" i="44" a="1"/>
  <c r="AT17" i="44" a="1"/>
  <c r="I36" i="44" a="1"/>
  <c r="AR16" i="44" a="1"/>
  <c r="F40" i="44" a="1"/>
  <c r="AH37" i="44" a="1"/>
  <c r="E25" i="44" a="1"/>
  <c r="AA35" i="44" a="1"/>
  <c r="Y13" i="44" a="1"/>
  <c r="F42" i="44" a="1"/>
  <c r="E14" i="44" a="1"/>
  <c r="J12" i="44" a="1"/>
  <c r="AO21" i="44" a="1"/>
  <c r="BG30" i="44" a="1"/>
  <c r="AB12" i="44" a="1"/>
  <c r="AJ29" i="44" a="1"/>
  <c r="AG17" i="44" a="1"/>
  <c r="AD39" i="44" a="1"/>
  <c r="AF39" i="44" a="1"/>
  <c r="D37" i="44" a="1"/>
  <c r="AT39" i="44" a="1"/>
  <c r="AL31" i="44" a="1"/>
  <c r="F31" i="44" a="1"/>
  <c r="AC35" i="44" a="1"/>
  <c r="W13" i="44" a="1"/>
  <c r="AM34" i="44" a="1"/>
  <c r="BK21" i="44" a="1"/>
  <c r="AL26" i="44" a="1"/>
  <c r="AT24" i="44" a="1"/>
  <c r="BJ18" i="44" a="1"/>
  <c r="AB30" i="44" a="1"/>
  <c r="D41" i="44" a="1"/>
  <c r="AJ36" i="44" a="1"/>
  <c r="H29" i="44" a="1"/>
  <c r="AT36" i="44" a="1"/>
  <c r="X10" i="44" a="1"/>
  <c r="AN39" i="44" a="1"/>
  <c r="BJ16" i="44" a="1"/>
  <c r="AB10" i="44" a="1"/>
  <c r="E29" i="44" a="1"/>
  <c r="AA13" i="44" a="1"/>
  <c r="BJ15" i="44" a="1"/>
  <c r="BJ14" i="44" a="1"/>
  <c r="AT37" i="44" a="1"/>
  <c r="V30" i="44" a="1"/>
  <c r="AL22" i="44" a="1"/>
  <c r="AR26" i="44" a="1"/>
  <c r="BH12" i="44" a="1"/>
  <c r="W12" i="44" a="1"/>
  <c r="Z30" i="44" a="1"/>
  <c r="AL36" i="44" a="1"/>
  <c r="AS37" i="44" a="1"/>
  <c r="AP24" i="44" a="1"/>
  <c r="H8" i="44" a="1"/>
  <c r="AO22" i="44" a="1"/>
  <c r="I42" i="44" a="1"/>
  <c r="AB20" i="44" a="1"/>
  <c r="BJ9" i="44" a="1"/>
  <c r="AT27" i="44" a="1"/>
  <c r="AD27" i="44" a="1"/>
  <c r="J8" i="44" a="1"/>
  <c r="AS28" i="44" a="1"/>
  <c r="AR36" i="44" a="1"/>
  <c r="AD9" i="44" a="1"/>
  <c r="AI41" i="44" a="1"/>
  <c r="AO37" i="44" a="1"/>
  <c r="AB18" i="44" a="1"/>
  <c r="AF7" i="44" a="1"/>
  <c r="BK41" i="44" a="1"/>
  <c r="G8" i="44" a="1"/>
  <c r="AA7" i="44" a="1"/>
  <c r="AL21" i="44" a="1"/>
  <c r="AJ42" i="44" a="1"/>
  <c r="BJ19" i="44" a="1"/>
  <c r="AB17" i="44" a="1"/>
  <c r="AQ34" i="44" a="1"/>
  <c r="AK31" i="44" a="1"/>
  <c r="C34" i="44" a="1"/>
  <c r="D7" i="44" a="1"/>
  <c r="AT28" i="44" a="1"/>
  <c r="Y29" i="44" a="1"/>
  <c r="AL15" i="44" a="1"/>
  <c r="AB8" i="44" a="1"/>
  <c r="AB36" i="44" a="1"/>
  <c r="AL25" i="44" a="1"/>
  <c r="W8" i="44" a="1"/>
  <c r="AC13" i="44" a="1"/>
  <c r="AD42" i="44" a="1"/>
  <c r="AG34" i="44" a="1"/>
  <c r="J42" i="44" a="1"/>
  <c r="D9" i="44" a="1"/>
  <c r="D32" i="44" a="1"/>
  <c r="AB41" i="44" a="1"/>
  <c r="C11" i="44" a="1"/>
  <c r="AM26" i="44" a="1"/>
  <c r="D39" i="44" a="1"/>
  <c r="I30" i="44" a="1"/>
  <c r="AR24" i="44" a="1"/>
  <c r="C41" i="44" a="1"/>
  <c r="AK9" i="44" a="1"/>
  <c r="AL35" i="44" a="1"/>
  <c r="AS10" i="44" a="1"/>
  <c r="AF10" i="44" a="1"/>
  <c r="B42" i="44" a="1"/>
  <c r="AM32" i="44" a="1"/>
  <c r="AJ25" i="44" a="1"/>
  <c r="AH19" i="44" a="1"/>
  <c r="AJ12" i="44" a="1"/>
  <c r="AP41" i="44" a="1"/>
  <c r="AI33" i="44" a="1"/>
  <c r="AK24" i="44" a="1"/>
  <c r="V28" i="44" a="1"/>
  <c r="W34" i="44" a="1"/>
  <c r="AL39" i="44" a="1"/>
  <c r="BG41" i="44" a="1"/>
  <c r="BI40" i="44" a="1"/>
  <c r="AL23" i="44" a="1"/>
  <c r="X11" i="44" a="1"/>
  <c r="AO9" i="44" a="1"/>
  <c r="AC21" i="44" a="1"/>
  <c r="AS7" i="44" a="1"/>
  <c r="H35" i="44" a="1"/>
  <c r="J32" i="44" a="1"/>
  <c r="AT10" i="44" a="1"/>
  <c r="BI19" i="44" a="1"/>
  <c r="BK32" i="44" a="1"/>
  <c r="B27" i="44" a="1"/>
  <c r="AA15" i="44" a="1"/>
  <c r="Z12" i="44" a="1"/>
  <c r="Z16" i="44" a="1"/>
  <c r="AH36" i="44" a="1"/>
  <c r="AP29" i="44" a="1"/>
  <c r="AC24" i="44" a="1"/>
  <c r="AF14" i="44" a="1"/>
  <c r="AB29" i="44" a="1"/>
  <c r="AQ9" i="44" a="1"/>
  <c r="AA22" i="44" a="1"/>
  <c r="Z8" i="44" a="1"/>
  <c r="AQ26" i="44" a="1"/>
  <c r="AD31" i="44" a="1"/>
  <c r="AD12" i="44" a="1"/>
  <c r="AE33" i="44" a="1"/>
  <c r="AJ7" i="44" a="1"/>
  <c r="Y19" i="44" a="1"/>
  <c r="AC36" i="44" a="1"/>
  <c r="AH8" i="44" a="1"/>
  <c r="BG25" i="44" a="1"/>
  <c r="BH36" i="44" a="1"/>
  <c r="X22" i="44" a="1"/>
  <c r="I12" i="44" a="1"/>
  <c r="AR12" i="44" a="1"/>
  <c r="AF20" i="44" a="1"/>
  <c r="B12" i="44" a="1"/>
  <c r="H38" i="44" a="1"/>
  <c r="BJ31" i="44" a="1"/>
  <c r="AJ11" i="44" a="1"/>
  <c r="X38" i="44" a="1"/>
  <c r="B38" i="44" a="1"/>
  <c r="AI25" i="44" a="1"/>
  <c r="F8" i="44" a="1"/>
  <c r="AA23" i="44" a="1"/>
  <c r="AQ40" i="44" a="1"/>
  <c r="X19" i="44" a="1"/>
  <c r="AT15" i="44" a="1"/>
  <c r="AE19" i="44" a="1"/>
  <c r="BK25" i="44" a="1"/>
  <c r="F36" i="44" a="1"/>
  <c r="AL10" i="44" a="1"/>
  <c r="B30" i="44" a="1"/>
  <c r="Y26" i="44" a="1"/>
  <c r="AI40" i="44" a="1"/>
  <c r="AN41" i="44" a="1"/>
  <c r="AD26" i="44" a="1"/>
  <c r="AN9" i="44" a="1"/>
  <c r="AO41" i="44" a="1"/>
  <c r="AA14" i="44" a="1"/>
  <c r="AS38" i="44" a="1"/>
  <c r="F13" i="44" a="1"/>
  <c r="C7" i="44" a="1"/>
  <c r="AT33" i="44" a="1"/>
  <c r="B8" i="44" a="1"/>
  <c r="AM30" i="44" a="1"/>
  <c r="AF38" i="44" a="1"/>
  <c r="AO13" i="44" a="1"/>
  <c r="BH13" i="44" a="1"/>
  <c r="AS17" i="44" a="1"/>
  <c r="BJ22" i="44" a="1"/>
  <c r="C15" i="44" a="1"/>
  <c r="AF19" i="44" a="1"/>
  <c r="AR11" i="44" a="1"/>
  <c r="AG36" i="44" a="1"/>
  <c r="BK9" i="44" a="1"/>
  <c r="AH9" i="44" a="1"/>
  <c r="I38" i="44" a="1"/>
  <c r="K7" i="44" a="1"/>
  <c r="I29" i="44" a="1"/>
  <c r="Z31" i="44" a="1"/>
  <c r="AA25" i="44" a="1"/>
  <c r="AS41" i="44" a="1"/>
  <c r="V36" i="44" a="1"/>
  <c r="AT29" i="44" a="1"/>
  <c r="AB24" i="44" a="1"/>
  <c r="AA42" i="44" a="1"/>
  <c r="AF37" i="44" a="1"/>
  <c r="AG7" i="44" a="1"/>
  <c r="AK34" i="44" a="1"/>
  <c r="AF22" i="44" a="1"/>
  <c r="E11" i="44" a="1"/>
  <c r="AK41" i="44" a="1"/>
  <c r="BG34" i="44" a="1"/>
  <c r="E7" i="44" a="1"/>
  <c r="Z13" i="44" a="1"/>
  <c r="AK8" i="44" a="1"/>
  <c r="BG11" i="44" a="1"/>
  <c r="D26" i="44" a="1"/>
  <c r="AN15" i="44" a="1"/>
  <c r="I10" i="44" a="1"/>
  <c r="AS26" i="44" a="1"/>
  <c r="W32" i="44" a="1"/>
  <c r="BI17" i="44" a="1"/>
  <c r="BJ24" i="44" a="1"/>
  <c r="D30" i="44" a="1"/>
  <c r="BH29" i="44" a="1"/>
  <c r="AE24" i="44" a="1"/>
  <c r="Y17" i="44" a="1"/>
  <c r="Z7" i="44" a="1"/>
  <c r="V24" i="44" a="1"/>
  <c r="E36" i="44" a="1"/>
  <c r="W24" i="44" a="1"/>
  <c r="AR40" i="44" a="1"/>
  <c r="AB33" i="44" a="1"/>
  <c r="AK25" i="44" a="1"/>
  <c r="X40" i="44" a="1"/>
  <c r="AF17" i="44" a="1"/>
  <c r="AE8" i="44" a="1"/>
  <c r="AC34" i="44" a="1"/>
  <c r="AH20" i="44" a="1"/>
  <c r="Y33" i="44" a="1"/>
  <c r="AF23" i="44" a="1"/>
  <c r="BJ29" i="44" a="1"/>
  <c r="AM23" i="44" a="1"/>
  <c r="X24" i="44" a="1"/>
  <c r="Z14" i="44" a="1"/>
  <c r="BK33" i="44" a="1"/>
  <c r="AE16" i="44" a="1"/>
  <c r="AP36" i="44" a="1"/>
  <c r="V41" i="44" a="1"/>
  <c r="V26" i="44" a="1"/>
  <c r="AR27" i="44" a="1"/>
  <c r="AH42" i="44" a="1"/>
  <c r="AC39" i="44" a="1"/>
  <c r="B34" i="44" a="1"/>
  <c r="Z24" i="44" a="1"/>
  <c r="AH24" i="44" a="1"/>
  <c r="B10" i="44" a="1"/>
  <c r="V7" i="44" a="1"/>
  <c r="AM42" i="44" a="1"/>
  <c r="AA9" i="44" a="1"/>
  <c r="AI23" i="44" a="1"/>
  <c r="I28" i="44" a="1"/>
  <c r="BG7" i="44" a="1"/>
  <c r="AM18" i="44" a="1"/>
  <c r="BI25" i="44" a="1"/>
  <c r="C20" i="44" a="1"/>
  <c r="AC16" i="44" a="1"/>
  <c r="H22" i="44" a="1"/>
  <c r="W20" i="44" a="1"/>
  <c r="BG29" i="44" a="1"/>
  <c r="AR7" i="44" a="1"/>
  <c r="AK37" i="44" a="1"/>
  <c r="B35" i="44" a="1"/>
  <c r="AP13" i="44" a="1"/>
  <c r="AC41" i="44" a="1"/>
  <c r="Y35" i="44" a="1"/>
  <c r="AP15" i="44" a="1"/>
  <c r="J29" i="44" a="1"/>
  <c r="AF41" i="44" a="1"/>
  <c r="BJ17" i="44" a="1"/>
  <c r="AN11" i="44" a="1"/>
  <c r="AE9" i="44" a="1"/>
  <c r="AM29" i="44" a="1"/>
  <c r="D10" i="44" a="1"/>
  <c r="AM25" i="44" a="1"/>
  <c r="I26" i="44" a="1"/>
  <c r="AD7" i="44" a="1"/>
  <c r="X33" i="44" a="1"/>
  <c r="AB25" i="44" a="1"/>
  <c r="Y42" i="44" a="1"/>
  <c r="W36" i="44" a="1"/>
  <c r="BI15" i="44" a="1"/>
  <c r="BH25" i="44" a="1"/>
  <c r="BJ27" i="44" a="1"/>
  <c r="H33" i="44" a="1"/>
  <c r="AE15" i="44" a="1"/>
  <c r="AR17" i="44" a="1"/>
  <c r="F41" i="44" a="1"/>
  <c r="AG39" i="44" a="1"/>
  <c r="Y14" i="44" a="1"/>
  <c r="BG37" i="44" a="1"/>
  <c r="E34" i="44" a="1"/>
  <c r="AI20" i="44" a="1"/>
  <c r="AE12" i="44" a="1"/>
  <c r="D35" i="44" a="1"/>
  <c r="Z9" i="44" a="1"/>
  <c r="AJ38" i="44" a="1"/>
  <c r="AP19" i="44" a="1"/>
  <c r="I17" i="44" a="1"/>
  <c r="BH31" i="44" a="1"/>
  <c r="AB39" i="44" a="1"/>
  <c r="AG38" i="44" a="1"/>
  <c r="AR22" i="44" a="1"/>
  <c r="W27" i="44" a="1"/>
  <c r="AF26" i="44" a="1"/>
  <c r="AJ22" i="44" a="1"/>
  <c r="D33" i="44" a="1"/>
  <c r="W31" i="44" a="1"/>
  <c r="G12" i="44" a="1"/>
  <c r="AT7" i="44" a="1"/>
  <c r="X25" i="44" a="1"/>
  <c r="AC15" i="44" a="1"/>
  <c r="K20" i="44" a="1"/>
  <c r="I37" i="44" a="1"/>
  <c r="AR38" i="44" a="1"/>
  <c r="D17" i="44" a="1"/>
  <c r="AP34" i="44" a="1"/>
  <c r="Z36" i="44" a="1"/>
  <c r="AL33" i="44" a="1"/>
  <c r="BH21" i="44" a="1"/>
  <c r="F9" i="44" a="1"/>
  <c r="AM24" i="44" a="1"/>
  <c r="E12" i="44" a="1"/>
  <c r="I33" i="44" a="1"/>
  <c r="AP42" i="44" a="1"/>
  <c r="AH15" i="44" a="1"/>
  <c r="BI10" i="44" a="1"/>
  <c r="AL17" i="44" a="1"/>
  <c r="D20" i="44" a="1"/>
  <c r="J14" i="44" a="1"/>
  <c r="K35" i="44" a="1"/>
  <c r="W33" i="44" a="1"/>
  <c r="Z20" i="44" a="1"/>
  <c r="B21" i="44" a="1"/>
  <c r="AA19" i="44" a="1"/>
  <c r="E22" i="44" a="1"/>
  <c r="C23" i="44" a="1"/>
  <c r="C18" i="44" a="1"/>
  <c r="B19" i="44" a="1"/>
  <c r="Y32" i="44" a="1"/>
  <c r="BI18" i="44" a="1"/>
  <c r="H34" i="44" a="1"/>
  <c r="K33" i="44" a="1"/>
  <c r="AH34" i="44" a="1"/>
  <c r="AN23" i="44" a="1"/>
  <c r="AP28" i="44" a="1"/>
  <c r="G29" i="44" a="1"/>
  <c r="AM35" i="44" a="1"/>
  <c r="BG28" i="44" a="1"/>
  <c r="AO30" i="44" a="1"/>
  <c r="AE21" i="44" a="1"/>
  <c r="BK27" i="44" a="1"/>
  <c r="AG11" i="44" a="1"/>
  <c r="J15" i="44" a="1"/>
  <c r="H14" i="44" a="1"/>
  <c r="BG16" i="44" a="1"/>
  <c r="AK13" i="44" a="1"/>
  <c r="AT22" i="44" a="1"/>
  <c r="AO14" i="44" a="1"/>
  <c r="AE22" i="44" a="1"/>
  <c r="B13" i="44" a="1"/>
  <c r="AH32" i="44" a="1"/>
  <c r="B20" i="44" a="1"/>
  <c r="AP23" i="44" a="1"/>
  <c r="F38" i="44" a="1"/>
  <c r="AG28" i="44" a="1"/>
  <c r="AQ7" i="44" a="1"/>
  <c r="AI11" i="44" a="1"/>
  <c r="Y40" i="44" a="1"/>
  <c r="AQ19" i="44" a="1"/>
  <c r="AR32" i="44" a="1"/>
  <c r="AS33" i="44" a="1"/>
  <c r="D16" i="44" a="1"/>
  <c r="BJ7" i="44" a="1"/>
  <c r="AK32" i="44" a="1"/>
  <c r="AJ35" i="44" a="1"/>
  <c r="BK13" i="44" a="1"/>
  <c r="AD35" i="44" a="1"/>
  <c r="BG8" i="44" a="1"/>
  <c r="AI28" i="44" a="1"/>
  <c r="AJ8" i="44" a="1"/>
  <c r="H18" i="44" a="1"/>
  <c r="C33" i="44" a="1"/>
  <c r="AP8" i="44" a="1"/>
  <c r="AA38" i="44" a="1"/>
  <c r="W39" i="44" a="1"/>
  <c r="AO10" i="44" a="1"/>
  <c r="AF31" i="44" a="1"/>
  <c r="AS34" i="44" a="1"/>
  <c r="AQ28" i="44" a="1"/>
  <c r="AM7" i="44" a="1"/>
  <c r="K26" i="44" a="1"/>
  <c r="AS36" i="44" a="1"/>
  <c r="AR10" i="44" a="1"/>
  <c r="J40" i="44" a="1"/>
  <c r="AI8" i="44" a="1"/>
  <c r="AD8" i="44" a="1"/>
  <c r="AB38" i="44" a="1"/>
  <c r="D12" i="44" a="1"/>
  <c r="G23" i="44" a="1"/>
  <c r="B37" i="44" a="1"/>
  <c r="AQ37" i="44" a="1"/>
  <c r="E23" i="44" a="1"/>
  <c r="BI13" i="44" a="1"/>
  <c r="AE39" i="44" a="1"/>
  <c r="AQ18" i="44" a="1"/>
  <c r="AA32" i="44" a="1"/>
  <c r="AR39" i="44" a="1"/>
  <c r="BJ30" i="44" a="1"/>
  <c r="AB37" i="44" a="1"/>
  <c r="BH22" i="44" a="1"/>
  <c r="BK15" i="44" a="1"/>
  <c r="W19" i="44" a="1"/>
  <c r="AE20" i="44" a="1"/>
  <c r="AO26" i="44" a="1"/>
  <c r="BG20" i="44" a="1"/>
  <c r="AF8" i="44" a="1"/>
  <c r="AA33" i="44" a="1"/>
  <c r="AQ11" i="44" a="1"/>
  <c r="AF32" i="44" a="1"/>
  <c r="V20" i="44" a="1"/>
  <c r="AM36" i="44" a="1"/>
  <c r="BH11" i="44" a="1"/>
  <c r="AG30" i="44" a="1"/>
  <c r="AG30" i="44" l="1"/>
  <c r="BH11" i="44"/>
  <c r="AM36" i="44"/>
  <c r="V20" i="44"/>
  <c r="AF32" i="44"/>
  <c r="AQ11" i="44"/>
  <c r="AA33" i="44"/>
  <c r="AF8" i="44"/>
  <c r="BG20" i="44"/>
  <c r="AO26" i="44"/>
  <c r="AE20" i="44"/>
  <c r="W19" i="44"/>
  <c r="BK15" i="44"/>
  <c r="BH22" i="44"/>
  <c r="AB37" i="44"/>
  <c r="BJ30" i="44"/>
  <c r="AR39" i="44"/>
  <c r="AA32" i="44"/>
  <c r="AQ18" i="44"/>
  <c r="AE39" i="44"/>
  <c r="BI13" i="44"/>
  <c r="E23" i="44"/>
  <c r="AQ37" i="44"/>
  <c r="B37" i="44"/>
  <c r="G23" i="44"/>
  <c r="D12" i="44"/>
  <c r="AB38" i="44"/>
  <c r="AD8" i="44"/>
  <c r="AI8" i="44"/>
  <c r="J40" i="44"/>
  <c r="AR10" i="44"/>
  <c r="AS36" i="44"/>
  <c r="K26" i="44"/>
  <c r="AM7" i="44"/>
  <c r="AQ28" i="44"/>
  <c r="AS34" i="44"/>
  <c r="AF31" i="44"/>
  <c r="AO10" i="44"/>
  <c r="W39" i="44"/>
  <c r="AA38" i="44"/>
  <c r="AP8" i="44"/>
  <c r="C33" i="44"/>
  <c r="H18" i="44"/>
  <c r="AJ8" i="44"/>
  <c r="AI28" i="44"/>
  <c r="BG8" i="44"/>
  <c r="AD35" i="44"/>
  <c r="BK13" i="44"/>
  <c r="AJ35" i="44"/>
  <c r="AK32" i="44"/>
  <c r="BJ7" i="44"/>
  <c r="D16" i="44"/>
  <c r="AS33" i="44"/>
  <c r="AR32" i="44"/>
  <c r="AQ19" i="44"/>
  <c r="Y40" i="44"/>
  <c r="AI11" i="44"/>
  <c r="AQ7" i="44"/>
  <c r="AG28" i="44"/>
  <c r="F38" i="44"/>
  <c r="AP23" i="44"/>
  <c r="B20" i="44"/>
  <c r="AH32" i="44"/>
  <c r="B13" i="44"/>
  <c r="AE22" i="44"/>
  <c r="AO14" i="44"/>
  <c r="AT22" i="44"/>
  <c r="AK13" i="44"/>
  <c r="BG16" i="44"/>
  <c r="H14" i="44"/>
  <c r="J15" i="44"/>
  <c r="AG11" i="44"/>
  <c r="BK27" i="44"/>
  <c r="AE21" i="44"/>
  <c r="AO30" i="44"/>
  <c r="BG28" i="44"/>
  <c r="AM35" i="44"/>
  <c r="G29" i="44"/>
  <c r="AP28" i="44"/>
  <c r="AN23" i="44"/>
  <c r="AH34" i="44"/>
  <c r="K33" i="44"/>
  <c r="H34" i="44"/>
  <c r="BI18" i="44"/>
  <c r="Y32" i="44"/>
  <c r="B19" i="44"/>
  <c r="C18" i="44"/>
  <c r="C23" i="44"/>
  <c r="E22" i="44"/>
  <c r="AA19" i="44"/>
  <c r="B21" i="44"/>
  <c r="Z20" i="44"/>
  <c r="W33" i="44"/>
  <c r="K35" i="44"/>
  <c r="J14" i="44"/>
  <c r="D20" i="44"/>
  <c r="AL17" i="44"/>
  <c r="BI10" i="44"/>
  <c r="AH15" i="44"/>
  <c r="AP42" i="44"/>
  <c r="I33" i="44"/>
  <c r="E12" i="44"/>
  <c r="AM24" i="44"/>
  <c r="F9" i="44"/>
  <c r="BH21" i="44"/>
  <c r="AL33" i="44"/>
  <c r="Z36" i="44"/>
  <c r="AP34" i="44"/>
  <c r="D17" i="44"/>
  <c r="AR38" i="44"/>
  <c r="I37" i="44"/>
  <c r="K20" i="44"/>
  <c r="AC15" i="44"/>
  <c r="X25" i="44"/>
  <c r="AT7" i="44"/>
  <c r="G12" i="44"/>
  <c r="W31" i="44"/>
  <c r="D33" i="44"/>
  <c r="AJ22" i="44"/>
  <c r="AF26" i="44"/>
  <c r="W27" i="44"/>
  <c r="AR22" i="44"/>
  <c r="AG38" i="44"/>
  <c r="AB39" i="44"/>
  <c r="BH31" i="44"/>
  <c r="I17" i="44"/>
  <c r="AP19" i="44"/>
  <c r="AJ38" i="44"/>
  <c r="Z9" i="44"/>
  <c r="D35" i="44"/>
  <c r="AE12" i="44"/>
  <c r="AI20" i="44"/>
  <c r="E34" i="44"/>
  <c r="BG37" i="44"/>
  <c r="Y14" i="44"/>
  <c r="AG39" i="44"/>
  <c r="F41" i="44"/>
  <c r="AR17" i="44"/>
  <c r="AE15" i="44"/>
  <c r="H33" i="44"/>
  <c r="BJ27" i="44"/>
  <c r="BH25" i="44"/>
  <c r="BI15" i="44"/>
  <c r="W36" i="44"/>
  <c r="Y42" i="44"/>
  <c r="AB25" i="44"/>
  <c r="X33" i="44"/>
  <c r="AD7" i="44"/>
  <c r="I26" i="44"/>
  <c r="AM25" i="44"/>
  <c r="D10" i="44"/>
  <c r="AM29" i="44"/>
  <c r="AE9" i="44"/>
  <c r="AN11" i="44"/>
  <c r="BJ17" i="44"/>
  <c r="AF41" i="44"/>
  <c r="J29" i="44"/>
  <c r="AP15" i="44"/>
  <c r="Y35" i="44"/>
  <c r="AC41" i="44"/>
  <c r="AP13" i="44"/>
  <c r="B35" i="44"/>
  <c r="AK37" i="44"/>
  <c r="AR7" i="44"/>
  <c r="BG29" i="44"/>
  <c r="W20" i="44"/>
  <c r="H22" i="44"/>
  <c r="AC16" i="44"/>
  <c r="C20" i="44"/>
  <c r="BI25" i="44"/>
  <c r="AM18" i="44"/>
  <c r="BG7" i="44"/>
  <c r="I28" i="44"/>
  <c r="AI23" i="44"/>
  <c r="AA9" i="44"/>
  <c r="AM42" i="44"/>
  <c r="V7" i="44"/>
  <c r="B10" i="44"/>
  <c r="AH24" i="44"/>
  <c r="Z24" i="44"/>
  <c r="B34" i="44"/>
  <c r="AC39" i="44"/>
  <c r="AH42" i="44"/>
  <c r="AR27" i="44"/>
  <c r="V26" i="44"/>
  <c r="V41" i="44"/>
  <c r="AP36" i="44"/>
  <c r="AE16" i="44"/>
  <c r="BK33" i="44"/>
  <c r="Z14" i="44"/>
  <c r="X24" i="44"/>
  <c r="AM23" i="44"/>
  <c r="BJ29" i="44"/>
  <c r="AF23" i="44"/>
  <c r="Y33" i="44"/>
  <c r="AH20" i="44"/>
  <c r="AC34" i="44"/>
  <c r="AE8" i="44"/>
  <c r="AF17" i="44"/>
  <c r="X40" i="44"/>
  <c r="AK25" i="44"/>
  <c r="AB33" i="44"/>
  <c r="AR40" i="44"/>
  <c r="W24" i="44"/>
  <c r="E36" i="44"/>
  <c r="V24" i="44"/>
  <c r="Z7" i="44"/>
  <c r="Y17" i="44"/>
  <c r="AE24" i="44"/>
  <c r="BH29" i="44"/>
  <c r="D30" i="44"/>
  <c r="BJ24" i="44"/>
  <c r="BI17" i="44"/>
  <c r="W32" i="44"/>
  <c r="AS26" i="44"/>
  <c r="I10" i="44"/>
  <c r="AN15" i="44"/>
  <c r="D26" i="44"/>
  <c r="BG11" i="44"/>
  <c r="AK8" i="44"/>
  <c r="Z13" i="44"/>
  <c r="E7" i="44"/>
  <c r="BG34" i="44"/>
  <c r="AK41" i="44"/>
  <c r="E11" i="44"/>
  <c r="AF22" i="44"/>
  <c r="AK34" i="44"/>
  <c r="AG7" i="44"/>
  <c r="AF37" i="44"/>
  <c r="AA42" i="44"/>
  <c r="AB24" i="44"/>
  <c r="AT29" i="44"/>
  <c r="V36" i="44"/>
  <c r="AS41" i="44"/>
  <c r="AA25" i="44"/>
  <c r="Z31" i="44"/>
  <c r="I29" i="44"/>
  <c r="K7" i="44"/>
  <c r="I38" i="44"/>
  <c r="AH9" i="44"/>
  <c r="BK9" i="44"/>
  <c r="AG36" i="44"/>
  <c r="AR11" i="44"/>
  <c r="AF19" i="44"/>
  <c r="C15" i="44"/>
  <c r="BJ22" i="44"/>
  <c r="AS17" i="44"/>
  <c r="BH13" i="44"/>
  <c r="AO13" i="44"/>
  <c r="AF38" i="44"/>
  <c r="AM30" i="44"/>
  <c r="B8" i="44"/>
  <c r="AT33" i="44"/>
  <c r="C7" i="44"/>
  <c r="F13" i="44"/>
  <c r="AS38" i="44"/>
  <c r="AA14" i="44"/>
  <c r="AO41" i="44"/>
  <c r="AN9" i="44"/>
  <c r="AD26" i="44"/>
  <c r="AN41" i="44"/>
  <c r="AI40" i="44"/>
  <c r="Y26" i="44"/>
  <c r="B30" i="44"/>
  <c r="AL10" i="44"/>
  <c r="F36" i="44"/>
  <c r="BK25" i="44"/>
  <c r="AE19" i="44"/>
  <c r="AT15" i="44"/>
  <c r="X19" i="44"/>
  <c r="AQ40" i="44"/>
  <c r="AA23" i="44"/>
  <c r="F8" i="44"/>
  <c r="AI25" i="44"/>
  <c r="B38" i="44"/>
  <c r="X38" i="44"/>
  <c r="AJ11" i="44"/>
  <c r="BJ31" i="44"/>
  <c r="H38" i="44"/>
  <c r="B12" i="44"/>
  <c r="AF20" i="44"/>
  <c r="AR12" i="44"/>
  <c r="I12" i="44"/>
  <c r="X22" i="44"/>
  <c r="BH36" i="44"/>
  <c r="BG25" i="44"/>
  <c r="AH8" i="44"/>
  <c r="AC36" i="44"/>
  <c r="Y19" i="44"/>
  <c r="AJ7" i="44"/>
  <c r="AE33" i="44"/>
  <c r="AD12" i="44"/>
  <c r="AD31" i="44"/>
  <c r="AQ26" i="44"/>
  <c r="Z8" i="44"/>
  <c r="AA22" i="44"/>
  <c r="AQ9" i="44"/>
  <c r="AB29" i="44"/>
  <c r="AF14" i="44"/>
  <c r="AC24" i="44"/>
  <c r="AP29" i="44"/>
  <c r="AH36" i="44"/>
  <c r="Z16" i="44"/>
  <c r="Z12" i="44"/>
  <c r="AA15" i="44"/>
  <c r="B27" i="44"/>
  <c r="BK32" i="44"/>
  <c r="BI19" i="44"/>
  <c r="AT10" i="44"/>
  <c r="J32" i="44"/>
  <c r="H35" i="44"/>
  <c r="AS7" i="44"/>
  <c r="AC21" i="44"/>
  <c r="AO9" i="44"/>
  <c r="X11" i="44"/>
  <c r="AL23" i="44"/>
  <c r="BI40" i="44"/>
  <c r="BG41" i="44"/>
  <c r="AL39" i="44"/>
  <c r="W34" i="44"/>
  <c r="V28" i="44"/>
  <c r="AK24" i="44"/>
  <c r="AI33" i="44"/>
  <c r="AP41" i="44"/>
  <c r="AJ12" i="44"/>
  <c r="AH19" i="44"/>
  <c r="AJ25" i="44"/>
  <c r="AM32" i="44"/>
  <c r="B42" i="44"/>
  <c r="AF10" i="44"/>
  <c r="AS10" i="44"/>
  <c r="AL35" i="44"/>
  <c r="AK9" i="44"/>
  <c r="C41" i="44"/>
  <c r="AR24" i="44"/>
  <c r="I30" i="44"/>
  <c r="D39" i="44"/>
  <c r="AM26" i="44"/>
  <c r="C11" i="44"/>
  <c r="AB41" i="44"/>
  <c r="D32" i="44"/>
  <c r="D9" i="44"/>
  <c r="J42" i="44"/>
  <c r="AG34" i="44"/>
  <c r="AD42" i="44"/>
  <c r="AC13" i="44"/>
  <c r="W8" i="44"/>
  <c r="AL25" i="44"/>
  <c r="AB36" i="44"/>
  <c r="AB8" i="44"/>
  <c r="AL15" i="44"/>
  <c r="Y29" i="44"/>
  <c r="AT28" i="44"/>
  <c r="D7" i="44"/>
  <c r="C34" i="44"/>
  <c r="AK31" i="44"/>
  <c r="AQ34" i="44"/>
  <c r="AB17" i="44"/>
  <c r="BJ19" i="44"/>
  <c r="AJ42" i="44"/>
  <c r="AL21" i="44"/>
  <c r="AA7" i="44"/>
  <c r="G8" i="44"/>
  <c r="BK41" i="44"/>
  <c r="AF7" i="44"/>
  <c r="AB18" i="44"/>
  <c r="AO37" i="44"/>
  <c r="AI41" i="44"/>
  <c r="AD9" i="44"/>
  <c r="AR36" i="44"/>
  <c r="AS28" i="44"/>
  <c r="J8" i="44"/>
  <c r="AD27" i="44"/>
  <c r="AT27" i="44"/>
  <c r="BJ9" i="44"/>
  <c r="AB20" i="44"/>
  <c r="I42" i="44"/>
  <c r="AO22" i="44"/>
  <c r="H8" i="44"/>
  <c r="AP24" i="44"/>
  <c r="AS37" i="44"/>
  <c r="AL36" i="44"/>
  <c r="Z30" i="44"/>
  <c r="W12" i="44"/>
  <c r="BH12" i="44"/>
  <c r="AR26" i="44"/>
  <c r="AL22" i="44"/>
  <c r="V30" i="44"/>
  <c r="AT37" i="44"/>
  <c r="BJ14" i="44"/>
  <c r="BJ15" i="44"/>
  <c r="AA13" i="44"/>
  <c r="E29" i="44"/>
  <c r="AB10" i="44"/>
  <c r="BJ16" i="44"/>
  <c r="AN39" i="44"/>
  <c r="X10" i="44"/>
  <c r="AT36" i="44"/>
  <c r="H29" i="44"/>
  <c r="AJ36" i="44"/>
  <c r="D41" i="44"/>
  <c r="AB30" i="44"/>
  <c r="BJ18" i="44"/>
  <c r="AT24" i="44"/>
  <c r="AL26" i="44"/>
  <c r="BK21" i="44"/>
  <c r="AM34" i="44"/>
  <c r="W13" i="44"/>
  <c r="AC35" i="44"/>
  <c r="F31" i="44"/>
  <c r="AL31" i="44"/>
  <c r="AT39" i="44"/>
  <c r="D37" i="44"/>
  <c r="AF39" i="44"/>
  <c r="AD39" i="44"/>
  <c r="AG17" i="44"/>
  <c r="AJ29" i="44"/>
  <c r="AB12" i="44"/>
  <c r="BG30" i="44"/>
  <c r="AO21" i="44"/>
  <c r="J12" i="44"/>
  <c r="E14" i="44"/>
  <c r="F42" i="44"/>
  <c r="Y13" i="44"/>
  <c r="AA35" i="44"/>
  <c r="E25" i="44"/>
  <c r="AH37" i="44"/>
  <c r="F40" i="44"/>
  <c r="AR16" i="44"/>
  <c r="I36" i="44"/>
  <c r="AT17" i="44"/>
  <c r="Z29" i="44"/>
  <c r="BH8" i="44"/>
  <c r="AG41" i="44"/>
  <c r="AI24" i="44"/>
  <c r="AD40" i="44"/>
  <c r="X36" i="44"/>
  <c r="X37" i="44"/>
  <c r="Z41" i="44"/>
  <c r="AC17" i="44"/>
  <c r="AL32" i="44"/>
  <c r="J10" i="44"/>
  <c r="AT30" i="44"/>
  <c r="B40" i="44"/>
  <c r="K19" i="44"/>
  <c r="AI10" i="44"/>
  <c r="W10" i="44"/>
  <c r="BG33" i="44"/>
  <c r="Y9" i="44"/>
  <c r="AB42" i="44"/>
  <c r="AC14" i="44"/>
  <c r="AQ23" i="44"/>
  <c r="BK38" i="44"/>
  <c r="AR35" i="44"/>
  <c r="AR30" i="44"/>
  <c r="AI16" i="44"/>
  <c r="Z26" i="44"/>
  <c r="AH41" i="44"/>
  <c r="I14" i="44"/>
  <c r="AF36" i="44"/>
  <c r="AH31" i="44"/>
  <c r="D29" i="44"/>
  <c r="AI36" i="44"/>
  <c r="X17" i="44"/>
  <c r="K28" i="44"/>
  <c r="AM40" i="44"/>
  <c r="AC8" i="44"/>
  <c r="AH7" i="44"/>
  <c r="K38" i="44"/>
  <c r="I39" i="44"/>
  <c r="AK35" i="44"/>
  <c r="K9" i="44"/>
  <c r="B16" i="44"/>
  <c r="X35" i="44"/>
  <c r="E20" i="44"/>
  <c r="G33" i="44"/>
  <c r="BI23" i="44"/>
  <c r="AC11" i="44"/>
  <c r="Y27" i="44"/>
  <c r="BG42" i="44"/>
  <c r="F11" i="44"/>
  <c r="AO35" i="44"/>
  <c r="AO42" i="44"/>
  <c r="AL28" i="44"/>
  <c r="AM11" i="44"/>
  <c r="AH40" i="44"/>
  <c r="AR42" i="44"/>
  <c r="Y22" i="44"/>
  <c r="AJ28" i="44"/>
  <c r="C8" i="44"/>
  <c r="BH16" i="44"/>
  <c r="AL37" i="44"/>
  <c r="F24" i="44"/>
  <c r="AB13" i="44"/>
  <c r="AI21" i="44"/>
  <c r="Y16" i="44"/>
  <c r="AM31" i="44"/>
  <c r="AA16" i="44"/>
  <c r="E35" i="44"/>
  <c r="K23" i="44"/>
  <c r="AL34" i="44"/>
  <c r="G15" i="44"/>
  <c r="AA34" i="44"/>
  <c r="BG18" i="44"/>
  <c r="F33" i="44"/>
  <c r="W23" i="44"/>
  <c r="H36" i="44"/>
  <c r="AN28" i="44"/>
  <c r="W38" i="44"/>
  <c r="Y20" i="44"/>
  <c r="J35" i="44"/>
  <c r="AI37" i="44"/>
  <c r="AJ26" i="44"/>
  <c r="F35" i="44"/>
  <c r="AG18" i="44"/>
  <c r="BG14" i="44"/>
  <c r="K42" i="44"/>
  <c r="AM19" i="44"/>
  <c r="W28" i="44"/>
  <c r="AE42" i="44"/>
  <c r="I16" i="44"/>
  <c r="J26" i="44"/>
  <c r="H11" i="44"/>
  <c r="AP16" i="44"/>
  <c r="D28" i="44"/>
  <c r="BJ23" i="44"/>
  <c r="BJ26" i="44"/>
  <c r="AO7" i="44"/>
  <c r="AC32" i="44"/>
  <c r="BK10" i="44"/>
  <c r="BG24" i="44"/>
  <c r="AQ20" i="44"/>
  <c r="AN34" i="44"/>
  <c r="C38" i="44"/>
  <c r="Y31" i="44"/>
  <c r="J20" i="44"/>
  <c r="AT20" i="44"/>
  <c r="Y10" i="44"/>
  <c r="AS16" i="44"/>
  <c r="AJ31" i="44"/>
  <c r="K14" i="44"/>
  <c r="AQ35" i="44"/>
  <c r="Y8" i="44"/>
  <c r="J19" i="44"/>
  <c r="V27" i="44"/>
  <c r="K15" i="44"/>
  <c r="AC38" i="44"/>
  <c r="Z32" i="44"/>
  <c r="AD13" i="44"/>
  <c r="BI38" i="44"/>
  <c r="G27" i="44"/>
  <c r="BJ28" i="44"/>
  <c r="AS15" i="44"/>
  <c r="AJ19" i="44"/>
  <c r="AR37" i="44"/>
  <c r="AG25" i="44"/>
  <c r="AN36" i="44"/>
  <c r="E9" i="44"/>
  <c r="B33" i="44"/>
  <c r="AE25" i="44"/>
  <c r="AQ36" i="44"/>
  <c r="AQ15" i="44"/>
  <c r="AR8" i="44"/>
  <c r="AC26" i="44"/>
  <c r="AT41" i="44"/>
  <c r="AD14" i="44"/>
  <c r="AE34" i="44"/>
  <c r="BK8" i="44"/>
  <c r="AE36" i="44"/>
  <c r="BH40" i="44"/>
  <c r="H40" i="44"/>
  <c r="BI30" i="44"/>
  <c r="AH26" i="44"/>
  <c r="E39" i="44"/>
  <c r="AK30" i="44"/>
  <c r="BH7" i="44"/>
  <c r="AA8" i="44"/>
  <c r="G13" i="44"/>
  <c r="AB9" i="44"/>
  <c r="X13" i="44"/>
  <c r="E16" i="44"/>
  <c r="AD17" i="44"/>
  <c r="AN22" i="44"/>
  <c r="V18" i="44"/>
  <c r="AG21" i="44"/>
  <c r="BI24" i="44"/>
  <c r="AR29" i="44"/>
  <c r="AB32" i="44"/>
  <c r="I19" i="44"/>
  <c r="AJ41" i="44"/>
  <c r="AI35" i="44"/>
  <c r="AA20" i="44"/>
  <c r="BH37" i="44"/>
  <c r="AL27" i="44"/>
  <c r="AF13" i="44"/>
  <c r="AK7" i="44"/>
  <c r="K39" i="44"/>
  <c r="BI20" i="44"/>
  <c r="AN20" i="44"/>
  <c r="V8" i="44"/>
  <c r="C10" i="44"/>
  <c r="BI26" i="44"/>
  <c r="AM16" i="44"/>
  <c r="AN8" i="44"/>
  <c r="J38" i="44"/>
  <c r="G24" i="44"/>
  <c r="AM28" i="44"/>
  <c r="V12" i="44"/>
  <c r="BG21" i="44"/>
  <c r="AL7" i="44"/>
  <c r="BK42" i="44"/>
  <c r="AC18" i="44"/>
  <c r="AC37" i="44"/>
  <c r="AD37" i="44"/>
  <c r="X27" i="44"/>
  <c r="Z39" i="44"/>
  <c r="AI32" i="44"/>
  <c r="C9" i="44"/>
  <c r="AJ14" i="44"/>
  <c r="Y28" i="44"/>
  <c r="V15" i="44"/>
  <c r="D34" i="44"/>
  <c r="W17" i="44"/>
  <c r="AC42" i="44"/>
  <c r="BG19" i="44"/>
  <c r="BH35" i="44"/>
  <c r="AM10" i="44"/>
  <c r="Z10" i="44"/>
  <c r="K22" i="44"/>
  <c r="E19" i="44"/>
  <c r="W26" i="44"/>
  <c r="AD10" i="44"/>
  <c r="AD33" i="44"/>
  <c r="I35" i="44"/>
  <c r="AA17" i="44"/>
  <c r="AO36" i="44"/>
  <c r="AE11" i="44"/>
  <c r="AQ31" i="44"/>
  <c r="AC28" i="44"/>
  <c r="AO31" i="44"/>
  <c r="BI28" i="44"/>
  <c r="BK7" i="44"/>
  <c r="BH18" i="44"/>
  <c r="E15" i="44"/>
  <c r="AD41" i="44"/>
  <c r="AJ39" i="44"/>
  <c r="B36" i="44"/>
  <c r="Y34" i="44"/>
  <c r="F20" i="44"/>
  <c r="AQ41" i="44"/>
  <c r="Z17" i="44"/>
  <c r="AA37" i="44"/>
  <c r="C17" i="44"/>
  <c r="Y30" i="44"/>
  <c r="Z42" i="44"/>
  <c r="AO29" i="44"/>
  <c r="AP25" i="44"/>
  <c r="AI14" i="44"/>
  <c r="H25" i="44"/>
  <c r="AN27" i="44"/>
  <c r="G35" i="44"/>
  <c r="BG38" i="44"/>
  <c r="AO27" i="44"/>
  <c r="AQ16" i="44"/>
  <c r="AJ37" i="44"/>
  <c r="Y21" i="44"/>
  <c r="AJ15" i="44"/>
  <c r="E38" i="44"/>
  <c r="B22" i="44"/>
  <c r="AD38" i="44"/>
  <c r="F25" i="44"/>
  <c r="J24" i="44"/>
  <c r="F7" i="44"/>
  <c r="W9" i="44"/>
  <c r="W14" i="44"/>
  <c r="G41" i="44"/>
  <c r="F22" i="44"/>
  <c r="AH22" i="44"/>
  <c r="J41" i="44"/>
  <c r="AM38" i="44"/>
  <c r="W40" i="44"/>
  <c r="AT19" i="44"/>
  <c r="BI34" i="44"/>
  <c r="AE29" i="44"/>
  <c r="AD11" i="44"/>
  <c r="Y37" i="44"/>
  <c r="AR13" i="44"/>
  <c r="AC25" i="44"/>
  <c r="AQ29" i="44"/>
  <c r="AH29" i="44"/>
  <c r="D8" i="44"/>
  <c r="J31" i="44"/>
  <c r="E42" i="44"/>
  <c r="BG36" i="44"/>
  <c r="AS21" i="44"/>
  <c r="AS9" i="44"/>
  <c r="E24" i="44"/>
  <c r="C37" i="44"/>
  <c r="AP18" i="44"/>
  <c r="AP33" i="44"/>
  <c r="F18" i="44"/>
  <c r="V13" i="44"/>
  <c r="AT40" i="44"/>
  <c r="AD19" i="44"/>
  <c r="BI39" i="44"/>
  <c r="H31" i="44"/>
  <c r="W35" i="44"/>
  <c r="C42" i="44"/>
  <c r="I34" i="44"/>
  <c r="G19" i="44"/>
  <c r="AR20" i="44"/>
  <c r="AD23" i="44"/>
  <c r="I7" i="44"/>
  <c r="AJ30" i="44"/>
  <c r="AH23" i="44"/>
  <c r="G26" i="44"/>
  <c r="BH24" i="44"/>
  <c r="AA21" i="44"/>
  <c r="K24" i="44"/>
  <c r="K12" i="44"/>
  <c r="AO39" i="44"/>
  <c r="AS19" i="44"/>
  <c r="X9" i="44"/>
  <c r="BK16" i="44"/>
  <c r="W41" i="44"/>
  <c r="AQ14" i="44"/>
  <c r="H24" i="44"/>
  <c r="E33" i="44"/>
  <c r="AR33" i="44"/>
  <c r="AE14" i="44"/>
  <c r="H21" i="44"/>
  <c r="BK28" i="44"/>
  <c r="AF33" i="44"/>
  <c r="AP7" i="44"/>
  <c r="J33" i="44"/>
  <c r="AL19" i="44"/>
  <c r="AQ10" i="44"/>
  <c r="AR34" i="44"/>
  <c r="AE23" i="44"/>
  <c r="X34" i="44"/>
  <c r="Y24" i="44"/>
  <c r="AB27" i="44"/>
  <c r="X31" i="44"/>
  <c r="AF29" i="44"/>
  <c r="AK40" i="44"/>
  <c r="AC7" i="44"/>
  <c r="E40" i="44"/>
  <c r="AK38" i="44"/>
  <c r="BH34" i="44"/>
  <c r="AO34" i="44"/>
  <c r="AH33" i="44"/>
  <c r="AT31" i="44"/>
  <c r="AQ30" i="44"/>
  <c r="C36" i="44"/>
  <c r="AF40" i="44"/>
  <c r="J27" i="44"/>
  <c r="BJ13" i="44"/>
  <c r="Z37" i="44"/>
  <c r="AO17" i="44"/>
  <c r="H9" i="44"/>
  <c r="B7" i="44"/>
  <c r="AD24" i="44"/>
  <c r="AL24" i="44"/>
  <c r="Y41" i="44"/>
  <c r="AE32" i="44"/>
  <c r="AB31" i="44"/>
  <c r="V16" i="44"/>
  <c r="AM41" i="44"/>
  <c r="AL13" i="44"/>
  <c r="D24" i="44"/>
  <c r="J28" i="44"/>
  <c r="AE38" i="44"/>
  <c r="BJ42" i="44"/>
  <c r="BH14" i="44"/>
  <c r="AK15" i="44"/>
  <c r="G30" i="44"/>
  <c r="AN29" i="44"/>
  <c r="AO11" i="44"/>
  <c r="V10" i="44"/>
  <c r="AK33" i="44"/>
  <c r="AE17" i="44"/>
  <c r="F15" i="44"/>
  <c r="B15" i="44"/>
  <c r="D31" i="44"/>
  <c r="AO16" i="44"/>
  <c r="I9" i="44"/>
  <c r="X15" i="44"/>
  <c r="AJ16" i="44"/>
  <c r="G32" i="44"/>
  <c r="AI15" i="44"/>
  <c r="H39" i="44"/>
  <c r="G7" i="44"/>
  <c r="AL12" i="44"/>
  <c r="BK36" i="44"/>
  <c r="F37" i="44"/>
  <c r="AT13" i="44"/>
  <c r="C29" i="44"/>
  <c r="G42" i="44"/>
  <c r="E31" i="44"/>
  <c r="F39" i="44"/>
  <c r="Z38" i="44"/>
  <c r="AN35" i="44"/>
  <c r="B39" i="44"/>
  <c r="K21" i="44"/>
  <c r="AS20" i="44"/>
  <c r="Z21" i="44"/>
  <c r="BJ21" i="44"/>
  <c r="BH17" i="44"/>
  <c r="AT16" i="44"/>
  <c r="H30" i="44"/>
  <c r="AK11" i="44"/>
  <c r="AA18" i="44"/>
  <c r="AF27" i="44"/>
  <c r="X18" i="44"/>
  <c r="BJ39" i="44"/>
  <c r="J30" i="44"/>
  <c r="BG12" i="44"/>
  <c r="BH20" i="44"/>
  <c r="F32" i="44"/>
  <c r="AK39" i="44"/>
  <c r="AD15" i="44"/>
  <c r="AL9" i="44"/>
  <c r="J18" i="44"/>
  <c r="AO25" i="44"/>
  <c r="BG26" i="44"/>
  <c r="BI29" i="44"/>
  <c r="AI9" i="44"/>
  <c r="AF25" i="44"/>
  <c r="W37" i="44"/>
  <c r="AD36" i="44"/>
  <c r="AJ34" i="44"/>
  <c r="G36" i="44"/>
  <c r="J22" i="44"/>
  <c r="AQ8" i="44"/>
  <c r="AC30" i="44"/>
  <c r="C14" i="44"/>
  <c r="AN40" i="44"/>
  <c r="AS8" i="44"/>
  <c r="V31" i="44"/>
  <c r="AS23" i="44"/>
  <c r="AQ25" i="44"/>
  <c r="K41" i="44"/>
  <c r="AH21" i="44"/>
  <c r="AN24" i="44"/>
  <c r="AO15" i="44"/>
  <c r="AQ42" i="44"/>
  <c r="AE40" i="44"/>
  <c r="AA24" i="44"/>
  <c r="AN14" i="44"/>
  <c r="AG15" i="44"/>
  <c r="W30" i="44"/>
  <c r="BK24" i="44"/>
  <c r="AS39" i="44"/>
  <c r="AQ24" i="44"/>
  <c r="Y11" i="44"/>
  <c r="BG17" i="44"/>
  <c r="BG35" i="44"/>
  <c r="AK14" i="44"/>
  <c r="Z34" i="44"/>
  <c r="AA29" i="44"/>
  <c r="AN38" i="44"/>
  <c r="Z35" i="44"/>
  <c r="AI26" i="44"/>
  <c r="Z27" i="44"/>
  <c r="I13" i="44"/>
  <c r="AJ13" i="44"/>
  <c r="H12" i="44"/>
  <c r="AB15" i="44"/>
  <c r="AE35" i="44"/>
  <c r="BK11" i="44"/>
  <c r="AQ21" i="44"/>
  <c r="B29" i="44"/>
  <c r="AM9" i="44"/>
  <c r="AA30" i="44"/>
  <c r="AF30" i="44"/>
  <c r="K29" i="44"/>
  <c r="I20" i="44"/>
  <c r="C12" i="44"/>
  <c r="BK22" i="44"/>
  <c r="AF18" i="44"/>
  <c r="BJ37" i="44"/>
  <c r="AI12" i="44"/>
  <c r="E28" i="44"/>
  <c r="AR14" i="44"/>
  <c r="J37" i="44"/>
  <c r="C31" i="44"/>
  <c r="G37" i="44"/>
  <c r="J23" i="44"/>
  <c r="AP10" i="44"/>
  <c r="C26" i="44"/>
  <c r="AL11" i="44"/>
  <c r="AP14" i="44"/>
  <c r="H41" i="44"/>
  <c r="AI17" i="44"/>
  <c r="G14" i="44"/>
  <c r="V40" i="44"/>
  <c r="AR28" i="44"/>
  <c r="W21" i="44"/>
  <c r="V34" i="44"/>
  <c r="AN16" i="44"/>
  <c r="AG12" i="44"/>
  <c r="BK12" i="44"/>
  <c r="H17" i="44"/>
  <c r="J13" i="44"/>
  <c r="AH35" i="44"/>
  <c r="W7" i="44"/>
  <c r="AN30" i="44"/>
  <c r="C13" i="44"/>
  <c r="X8" i="44"/>
  <c r="BK40" i="44"/>
  <c r="AO28" i="44"/>
  <c r="D42" i="44"/>
  <c r="BJ12" i="44"/>
  <c r="G18" i="44"/>
  <c r="BI8" i="44"/>
  <c r="AI31" i="44"/>
  <c r="AQ33" i="44"/>
  <c r="AH16" i="44"/>
  <c r="Y25" i="44"/>
  <c r="Z11" i="44"/>
  <c r="E32" i="44"/>
  <c r="C39" i="44"/>
  <c r="G20" i="44"/>
  <c r="V29" i="44"/>
  <c r="C16" i="44"/>
  <c r="K36" i="44"/>
  <c r="AK19" i="44"/>
  <c r="X7" i="44"/>
  <c r="AD16" i="44"/>
  <c r="B18" i="44"/>
  <c r="AS24" i="44"/>
  <c r="AO19" i="44"/>
  <c r="BH38" i="44"/>
  <c r="AF35" i="44"/>
  <c r="K27" i="44"/>
  <c r="AH28" i="44"/>
  <c r="AB16" i="44"/>
  <c r="E30" i="44"/>
  <c r="I32" i="44"/>
  <c r="AC31" i="44"/>
  <c r="BH33" i="44"/>
  <c r="J34" i="44"/>
  <c r="AL41" i="44"/>
  <c r="AD29" i="44"/>
  <c r="BI27" i="44"/>
  <c r="AJ32" i="44"/>
  <c r="X21" i="44"/>
  <c r="BK30" i="44"/>
  <c r="V25" i="44"/>
  <c r="AC33" i="44"/>
  <c r="F21" i="44"/>
  <c r="G40" i="44"/>
  <c r="AP11" i="44"/>
  <c r="AQ39" i="44"/>
  <c r="AI19" i="44"/>
  <c r="AF15" i="44"/>
  <c r="J25" i="44"/>
  <c r="H16" i="44"/>
  <c r="E8" i="44"/>
  <c r="AR21" i="44"/>
  <c r="E21" i="44"/>
  <c r="AT18" i="44"/>
  <c r="AF9" i="44"/>
  <c r="AE27" i="44"/>
  <c r="BH9" i="44"/>
  <c r="AB14" i="44"/>
  <c r="Y36" i="44"/>
  <c r="K32" i="44"/>
  <c r="G39" i="44"/>
  <c r="AP39" i="44"/>
  <c r="BJ38" i="44"/>
  <c r="AD25" i="44"/>
  <c r="Y7" i="44"/>
  <c r="AI27" i="44"/>
  <c r="X41" i="44"/>
  <c r="AI18" i="44"/>
  <c r="AE18" i="44"/>
  <c r="BK29" i="44"/>
  <c r="J36" i="44"/>
  <c r="AH14" i="44"/>
  <c r="AK23" i="44"/>
  <c r="AP32" i="44"/>
  <c r="Y23" i="44"/>
  <c r="K25" i="44"/>
  <c r="C30" i="44"/>
  <c r="BG22" i="44"/>
  <c r="AK20" i="44"/>
  <c r="AD30" i="44"/>
  <c r="F26" i="44"/>
  <c r="AM14" i="44"/>
  <c r="AN17" i="44"/>
  <c r="AA40" i="44"/>
  <c r="D25" i="44"/>
  <c r="AT32" i="44"/>
  <c r="AG9" i="44"/>
  <c r="X12" i="44"/>
  <c r="K30" i="44"/>
  <c r="AL20" i="44"/>
  <c r="BG9" i="44"/>
  <c r="W29" i="44"/>
  <c r="H23" i="44"/>
  <c r="K37" i="44"/>
  <c r="AT14" i="44"/>
  <c r="AC12" i="44"/>
  <c r="AJ9" i="44"/>
  <c r="B41" i="44"/>
  <c r="BH30" i="44"/>
  <c r="AJ33" i="44"/>
  <c r="BG27" i="44"/>
  <c r="AO8" i="44"/>
  <c r="H27" i="44"/>
  <c r="G28" i="44"/>
  <c r="AL29" i="44"/>
  <c r="H19" i="44"/>
  <c r="AH30" i="44"/>
  <c r="I15" i="44"/>
  <c r="AP30" i="44"/>
  <c r="AO40" i="44"/>
  <c r="AS18" i="44"/>
  <c r="AQ13" i="44"/>
  <c r="X16" i="44"/>
  <c r="AC22" i="44"/>
  <c r="V32" i="44"/>
  <c r="AP9" i="44"/>
  <c r="AI22" i="44"/>
  <c r="AJ20" i="44"/>
  <c r="X20" i="44"/>
  <c r="BK37" i="44"/>
  <c r="AG14" i="44"/>
  <c r="H28" i="44"/>
  <c r="AK28" i="44"/>
  <c r="AP35" i="44"/>
  <c r="AJ10" i="44"/>
  <c r="BJ8" i="44"/>
  <c r="AN18" i="44"/>
  <c r="V19" i="44"/>
  <c r="AC27" i="44"/>
  <c r="K13" i="44"/>
  <c r="AB22" i="44"/>
  <c r="AH18" i="44"/>
  <c r="AA26" i="44"/>
  <c r="BI12" i="44"/>
  <c r="D27" i="44"/>
  <c r="AL42" i="44"/>
  <c r="AS22" i="44"/>
  <c r="G25" i="44"/>
  <c r="AC29" i="44"/>
  <c r="B9" i="44"/>
  <c r="AC9" i="44"/>
  <c r="C24" i="44"/>
  <c r="AN42" i="44"/>
  <c r="E17" i="44"/>
  <c r="Y15" i="44"/>
  <c r="D15" i="44"/>
  <c r="AI34" i="44"/>
  <c r="AS25" i="44"/>
  <c r="D38" i="44"/>
  <c r="AG19" i="44"/>
  <c r="AS31" i="44"/>
  <c r="AI29" i="44"/>
  <c r="AB26" i="44"/>
  <c r="F14" i="44"/>
  <c r="G34" i="44"/>
  <c r="AB19" i="44"/>
  <c r="K18" i="44"/>
  <c r="AG26" i="44"/>
  <c r="AD32" i="44"/>
  <c r="AI30" i="44"/>
  <c r="BG40" i="44"/>
  <c r="AG42" i="44"/>
  <c r="BK34" i="44"/>
  <c r="AN32" i="44"/>
  <c r="AK12" i="44"/>
  <c r="AJ27" i="44"/>
  <c r="AM22" i="44"/>
  <c r="BI36" i="44"/>
  <c r="AT34" i="44"/>
  <c r="AP27" i="44"/>
  <c r="AI42" i="44"/>
  <c r="BJ33" i="44"/>
  <c r="AM27" i="44"/>
  <c r="AF34" i="44"/>
  <c r="D14" i="44"/>
  <c r="AH12" i="44"/>
  <c r="AR31" i="44"/>
  <c r="H26" i="44"/>
  <c r="F27" i="44"/>
  <c r="E10" i="44"/>
  <c r="AA10" i="44"/>
  <c r="AT23" i="44"/>
  <c r="AN25" i="44"/>
  <c r="AF11" i="44"/>
  <c r="I23" i="44"/>
  <c r="W16" i="44"/>
  <c r="AG29" i="44"/>
  <c r="X42" i="44"/>
  <c r="AT12" i="44"/>
  <c r="H10" i="44"/>
  <c r="B17" i="44"/>
  <c r="AE41" i="44"/>
  <c r="AJ23" i="44"/>
  <c r="C21" i="44"/>
  <c r="BK35" i="44"/>
  <c r="W25" i="44"/>
  <c r="AP12" i="44"/>
  <c r="AS11" i="44"/>
  <c r="BI22" i="44"/>
  <c r="AE37" i="44"/>
  <c r="BG23" i="44"/>
  <c r="AF16" i="44"/>
  <c r="AM21" i="44"/>
  <c r="AH38" i="44"/>
  <c r="AD21" i="44"/>
  <c r="B23" i="44"/>
  <c r="BI37" i="44"/>
  <c r="AS32" i="44"/>
  <c r="I31" i="44"/>
  <c r="C28" i="44"/>
  <c r="AS14" i="44"/>
  <c r="K40" i="44"/>
  <c r="AE26" i="44"/>
  <c r="C25" i="44"/>
  <c r="AJ24" i="44"/>
  <c r="AE10" i="44"/>
  <c r="V23" i="44"/>
  <c r="AR25" i="44"/>
  <c r="AN19" i="44"/>
  <c r="H13" i="44"/>
  <c r="D11" i="44"/>
  <c r="V37" i="44"/>
  <c r="J9" i="44"/>
  <c r="AM33" i="44"/>
  <c r="AG16" i="44"/>
  <c r="BI7" i="44"/>
  <c r="BI9" i="44"/>
  <c r="BI16" i="44"/>
  <c r="Y38" i="44"/>
  <c r="J7" i="44"/>
  <c r="F16" i="44"/>
  <c r="I25" i="44"/>
  <c r="AL30" i="44"/>
  <c r="AL40" i="44"/>
  <c r="D18" i="44"/>
  <c r="AN21" i="44"/>
  <c r="F23" i="44"/>
  <c r="BG31" i="44"/>
  <c r="AQ27" i="44"/>
  <c r="F28" i="44"/>
  <c r="X26" i="44"/>
  <c r="F10" i="44"/>
  <c r="B28" i="44"/>
  <c r="AF28" i="44"/>
  <c r="BH28" i="44"/>
  <c r="K16" i="44"/>
  <c r="Z25" i="44"/>
  <c r="AM20" i="44"/>
  <c r="AA12" i="44"/>
  <c r="AK22" i="44"/>
  <c r="J21" i="44"/>
  <c r="AA31" i="44"/>
  <c r="AM17" i="44"/>
  <c r="AH17" i="44"/>
  <c r="V42" i="44"/>
  <c r="G31" i="44"/>
  <c r="BJ11" i="44"/>
  <c r="AL16" i="44"/>
  <c r="D22" i="44"/>
  <c r="F12" i="44"/>
  <c r="B25" i="44"/>
  <c r="K17" i="44"/>
  <c r="F17" i="44"/>
  <c r="BH39" i="44"/>
  <c r="AB11" i="44"/>
  <c r="AT26" i="44"/>
  <c r="W18" i="44"/>
  <c r="F19" i="44"/>
  <c r="AL8" i="44"/>
  <c r="AD34" i="44"/>
  <c r="AC19" i="44"/>
  <c r="AH10" i="44"/>
  <c r="AC40" i="44"/>
  <c r="AP40" i="44"/>
  <c r="BK31" i="44"/>
  <c r="BJ36" i="44"/>
  <c r="AK10" i="44"/>
  <c r="W15" i="44"/>
  <c r="V22" i="44"/>
  <c r="AT11" i="44"/>
  <c r="D36" i="44"/>
  <c r="AH11" i="44"/>
  <c r="AO18" i="44"/>
  <c r="AA39" i="44"/>
  <c r="Y39" i="44"/>
  <c r="BH32" i="44"/>
  <c r="D23" i="44"/>
  <c r="B26" i="44"/>
  <c r="C19" i="44"/>
  <c r="X28" i="44"/>
  <c r="E18" i="44"/>
  <c r="AS42" i="44"/>
  <c r="BK39" i="44"/>
  <c r="BG32" i="44"/>
  <c r="AK17" i="44"/>
  <c r="AT38" i="44"/>
  <c r="BG10" i="44"/>
  <c r="AP38" i="44"/>
  <c r="AD20" i="44"/>
  <c r="BK26" i="44"/>
  <c r="J11" i="44"/>
  <c r="AL18" i="44"/>
  <c r="AM12" i="44"/>
  <c r="AH39" i="44"/>
  <c r="D13" i="44"/>
  <c r="AT42" i="44"/>
  <c r="G22" i="44"/>
  <c r="AP26" i="44"/>
  <c r="BI14" i="44"/>
  <c r="V11" i="44"/>
  <c r="AF12" i="44"/>
  <c r="AS35" i="44"/>
  <c r="AQ32" i="44"/>
  <c r="AQ38" i="44"/>
  <c r="BJ25" i="44"/>
  <c r="J16" i="44"/>
  <c r="AA41" i="44"/>
  <c r="K31" i="44"/>
  <c r="AC10" i="44"/>
  <c r="AK42" i="44"/>
  <c r="V17" i="44"/>
  <c r="AJ18" i="44"/>
  <c r="AK16" i="44"/>
  <c r="AE31" i="44"/>
  <c r="Z28" i="44"/>
  <c r="G38" i="44"/>
  <c r="E37" i="44"/>
  <c r="BH27" i="44"/>
  <c r="AQ17" i="44"/>
  <c r="V14" i="44"/>
  <c r="AR19" i="44"/>
  <c r="AP31" i="44"/>
  <c r="AB40" i="44"/>
  <c r="I41" i="44"/>
  <c r="E26" i="44"/>
  <c r="H15" i="44"/>
  <c r="AK26" i="44"/>
  <c r="AE7" i="44"/>
  <c r="AS12" i="44"/>
  <c r="H20" i="44"/>
  <c r="G11" i="44"/>
  <c r="BI31" i="44"/>
  <c r="K34" i="44"/>
  <c r="AJ21" i="44"/>
  <c r="BJ10" i="44"/>
  <c r="Y18" i="44"/>
  <c r="AQ22" i="44"/>
  <c r="BK20" i="44"/>
  <c r="G9" i="44"/>
  <c r="AO32" i="44"/>
  <c r="AN31" i="44"/>
  <c r="AB21" i="44"/>
  <c r="BJ20" i="44"/>
  <c r="BH19" i="44"/>
  <c r="G10" i="44"/>
  <c r="AO23" i="44"/>
  <c r="Z40" i="44"/>
  <c r="V38" i="44"/>
  <c r="C27" i="44"/>
  <c r="BK19" i="44"/>
  <c r="Z22" i="44"/>
  <c r="E13" i="44"/>
  <c r="AT25" i="44"/>
  <c r="AJ17" i="44"/>
  <c r="BJ32" i="44"/>
  <c r="V33" i="44"/>
  <c r="AP37" i="44"/>
  <c r="AG10" i="44"/>
  <c r="BJ40" i="44"/>
  <c r="AG35" i="44"/>
  <c r="AO12" i="44"/>
  <c r="AK36" i="44"/>
  <c r="BK14" i="44"/>
  <c r="AK29" i="44"/>
  <c r="AG40" i="44"/>
  <c r="I21" i="44"/>
  <c r="AG27" i="44"/>
  <c r="C32" i="44"/>
  <c r="Z33" i="44"/>
  <c r="AO38" i="44"/>
  <c r="I22" i="44"/>
  <c r="W42" i="44"/>
  <c r="G17" i="44"/>
  <c r="AB35" i="44"/>
  <c r="AF21" i="44"/>
  <c r="G21" i="44"/>
  <c r="X32" i="44"/>
  <c r="V21" i="44"/>
  <c r="W22" i="44"/>
  <c r="AH13" i="44"/>
  <c r="BJ34" i="44"/>
  <c r="V39" i="44"/>
  <c r="AD28" i="44"/>
  <c r="AG23" i="44"/>
  <c r="AR9" i="44"/>
  <c r="BH26" i="44"/>
  <c r="I11" i="44"/>
  <c r="X30" i="44"/>
  <c r="AS13" i="44"/>
  <c r="B14" i="44"/>
  <c r="AO20" i="44"/>
  <c r="AI13" i="44"/>
  <c r="AG20" i="44"/>
  <c r="Y12" i="44"/>
  <c r="AM39" i="44"/>
  <c r="AP17" i="44"/>
  <c r="C22" i="44"/>
  <c r="Z23" i="44"/>
  <c r="AG32" i="44"/>
  <c r="AN33" i="44"/>
  <c r="C35" i="44"/>
  <c r="H42" i="44"/>
  <c r="I18" i="44"/>
  <c r="BH42" i="44"/>
  <c r="AN13" i="44"/>
  <c r="AM15" i="44"/>
  <c r="AK21" i="44"/>
  <c r="AG13" i="44"/>
  <c r="AC23" i="44"/>
  <c r="K10" i="44"/>
  <c r="BK23" i="44"/>
  <c r="X29" i="44"/>
  <c r="AE28" i="44"/>
  <c r="Z19" i="44"/>
  <c r="AL14" i="44"/>
  <c r="AE30" i="44"/>
  <c r="AB34" i="44"/>
  <c r="BK17" i="44"/>
  <c r="AC20" i="44"/>
  <c r="W11" i="44"/>
  <c r="AT9" i="44"/>
  <c r="BH41" i="44"/>
  <c r="AK27" i="44"/>
  <c r="BI33" i="44"/>
  <c r="AS30" i="44"/>
  <c r="BG39" i="44"/>
  <c r="AQ12" i="44"/>
  <c r="AP21" i="44"/>
  <c r="BI35" i="44"/>
  <c r="AN7" i="44"/>
  <c r="I27" i="44"/>
  <c r="AB28" i="44"/>
  <c r="AE13" i="44"/>
  <c r="AG8" i="44"/>
  <c r="I24" i="44"/>
  <c r="AT21" i="44"/>
  <c r="V35" i="44"/>
  <c r="V9" i="44"/>
  <c r="AF24" i="44"/>
  <c r="AK18" i="44"/>
  <c r="AG24" i="44"/>
  <c r="AA28" i="44"/>
  <c r="AN12" i="44"/>
  <c r="AJ40" i="44"/>
  <c r="BI41" i="44"/>
  <c r="H7" i="44"/>
  <c r="F34" i="44"/>
  <c r="D21" i="44"/>
  <c r="BH23" i="44"/>
  <c r="H32" i="44"/>
  <c r="BI11" i="44"/>
  <c r="AS40" i="44"/>
  <c r="AM8" i="44"/>
  <c r="B32" i="44"/>
  <c r="AG22" i="44"/>
  <c r="AN26" i="44"/>
  <c r="AR23" i="44"/>
  <c r="B24" i="44"/>
  <c r="F30" i="44"/>
  <c r="AI38" i="44"/>
  <c r="AO33" i="44"/>
  <c r="E27" i="44"/>
  <c r="AG31" i="44"/>
  <c r="AL38" i="44"/>
  <c r="D40" i="44"/>
  <c r="C40" i="44"/>
  <c r="AA11" i="44"/>
  <c r="BI21" i="44"/>
  <c r="AH25" i="44"/>
  <c r="AB7" i="44"/>
  <c r="AG33" i="44"/>
  <c r="AT35" i="44"/>
  <c r="BK18" i="44"/>
  <c r="E41" i="44"/>
  <c r="I40" i="44"/>
  <c r="BJ35" i="44"/>
  <c r="AA36" i="44"/>
  <c r="X14" i="44"/>
  <c r="AR15" i="44"/>
  <c r="AS29" i="44"/>
  <c r="AR41" i="44"/>
  <c r="I8" i="44"/>
  <c r="K8" i="44"/>
  <c r="K11" i="44"/>
  <c r="Z18" i="44"/>
  <c r="X39" i="44"/>
  <c r="AD18" i="44"/>
  <c r="F29" i="44"/>
  <c r="AI39" i="44"/>
  <c r="AF42" i="44"/>
  <c r="B11" i="44"/>
  <c r="Z15" i="44"/>
  <c r="X23" i="44"/>
  <c r="AD22" i="44"/>
  <c r="B31" i="44"/>
  <c r="J17" i="44"/>
  <c r="AH27" i="44"/>
  <c r="AM13" i="44"/>
  <c r="AN10" i="44"/>
  <c r="AR18" i="44"/>
  <c r="BG15" i="44"/>
  <c r="J39" i="44"/>
  <c r="AG37" i="44"/>
  <c r="AB23" i="44"/>
  <c r="AI7" i="44"/>
  <c r="AA27" i="44"/>
  <c r="BI32" i="44"/>
  <c r="AS27" i="44"/>
  <c r="D19" i="44"/>
  <c r="AM37" i="44"/>
  <c r="AO24" i="44"/>
  <c r="AN37" i="44"/>
  <c r="BG13" i="44"/>
  <c r="G16" i="44"/>
  <c r="AT8" i="44"/>
  <c r="BI42" i="44"/>
  <c r="BJ41" i="44"/>
  <c r="H37" i="44"/>
  <c r="AP22" i="44"/>
  <c r="AP20" i="44"/>
  <c r="BH10" i="44"/>
  <c r="BH15" i="44"/>
  <c r="L34" i="44" l="1" a="1"/>
  <c r="L34" i="44" s="1"/>
  <c r="AV34" i="44" s="1"/>
  <c r="L23" i="44" a="1"/>
  <c r="L23" i="44" s="1"/>
  <c r="AV23" i="44" s="1"/>
  <c r="L26" i="44" a="1"/>
  <c r="L26" i="44" s="1"/>
  <c r="AV26" i="44" s="1"/>
  <c r="M11" i="44" a="1"/>
  <c r="M11" i="44" s="1"/>
  <c r="AW11" i="44" s="1"/>
  <c r="P11" i="44" a="1"/>
  <c r="P11" i="44" s="1"/>
  <c r="AZ11" i="44" s="1"/>
  <c r="L38" i="44" a="1"/>
  <c r="L38" i="44" s="1"/>
  <c r="AV38" i="44" s="1"/>
  <c r="L15" i="44" a="1"/>
  <c r="L15" i="44" s="1"/>
  <c r="AV15" i="44" s="1"/>
  <c r="N32" i="44" a="1"/>
  <c r="N32" i="44" s="1"/>
  <c r="AX32" i="44" s="1"/>
  <c r="Q32" i="44" a="1"/>
  <c r="Q32" i="44" s="1"/>
  <c r="BA32" i="44" s="1"/>
  <c r="S32" i="44" a="1"/>
  <c r="S32" i="44" s="1"/>
  <c r="BC32" i="44" s="1"/>
  <c r="L24" i="44" a="1"/>
  <c r="L24" i="44" s="1"/>
  <c r="AV24" i="44" s="1"/>
  <c r="T26" i="44" a="1"/>
  <c r="T26" i="44" s="1"/>
  <c r="BD26" i="44" s="1"/>
  <c r="O26" i="44" a="1"/>
  <c r="O26" i="44" s="1"/>
  <c r="AY26" i="44" s="1"/>
  <c r="U26" i="44" a="1"/>
  <c r="U26" i="44" s="1"/>
  <c r="BE26" i="44" s="1"/>
  <c r="R26" i="44" a="1"/>
  <c r="R26" i="44" s="1"/>
  <c r="BB26" i="44" s="1"/>
  <c r="V50" i="44"/>
  <c r="V51" i="44"/>
  <c r="V54" i="44"/>
  <c r="V52" i="44"/>
  <c r="V68" i="44" s="1"/>
  <c r="V53" i="44"/>
  <c r="S9" i="44" a="1"/>
  <c r="S9" i="44" s="1"/>
  <c r="BC9" i="44" s="1"/>
  <c r="Q9" i="44" a="1"/>
  <c r="Q9" i="44" s="1"/>
  <c r="BA9" i="44" s="1"/>
  <c r="N9" i="44" a="1"/>
  <c r="N9" i="44" s="1"/>
  <c r="AX9" i="44" s="1"/>
  <c r="T34" i="44" a="1"/>
  <c r="T34" i="44" s="1"/>
  <c r="BD34" i="44" s="1"/>
  <c r="U34" i="44" a="1"/>
  <c r="U34" i="44" s="1"/>
  <c r="BE34" i="44" s="1"/>
  <c r="R34" i="44" a="1"/>
  <c r="R34" i="44" s="1"/>
  <c r="BB34" i="44" s="1"/>
  <c r="O34" i="44" a="1"/>
  <c r="O34" i="44" s="1"/>
  <c r="AY34" i="44" s="1"/>
  <c r="BH54" i="44"/>
  <c r="BH52" i="44"/>
  <c r="BH68" i="44" s="1"/>
  <c r="BH50" i="44"/>
  <c r="BH53" i="44"/>
  <c r="BH51" i="44"/>
  <c r="U27" i="44" a="1"/>
  <c r="U27" i="44" s="1"/>
  <c r="BE27" i="44" s="1"/>
  <c r="R27" i="44" a="1"/>
  <c r="R27" i="44" s="1"/>
  <c r="BB27" i="44" s="1"/>
  <c r="T27" i="44" a="1"/>
  <c r="T27" i="44" s="1"/>
  <c r="BD27" i="44" s="1"/>
  <c r="O27" i="44" a="1"/>
  <c r="O27" i="44" s="1"/>
  <c r="AY27" i="44" s="1"/>
  <c r="Q20" i="44" a="1"/>
  <c r="Q20" i="44" s="1"/>
  <c r="BA20" i="44" s="1"/>
  <c r="S20" i="44" a="1"/>
  <c r="S20" i="44" s="1"/>
  <c r="BC20" i="44" s="1"/>
  <c r="N20" i="44" a="1"/>
  <c r="N20" i="44" s="1"/>
  <c r="AX20" i="44" s="1"/>
  <c r="P31" i="44" a="1"/>
  <c r="P31" i="44" s="1"/>
  <c r="AZ31" i="44" s="1"/>
  <c r="M31" i="44" a="1"/>
  <c r="M31" i="44" s="1"/>
  <c r="AW31" i="44" s="1"/>
  <c r="K53" i="44"/>
  <c r="K85" i="44" s="1"/>
  <c r="K50" i="44"/>
  <c r="K52" i="44"/>
  <c r="K68" i="44" s="1"/>
  <c r="K54" i="44"/>
  <c r="K51" i="44"/>
  <c r="M7" i="44" a="1"/>
  <c r="M7" i="44" s="1"/>
  <c r="AB51" i="44"/>
  <c r="AB53" i="44"/>
  <c r="P7" i="44" a="1"/>
  <c r="P7" i="44" s="1"/>
  <c r="AB50" i="44"/>
  <c r="AB52" i="44"/>
  <c r="AB68" i="44" s="1"/>
  <c r="AB54" i="44"/>
  <c r="H53" i="44"/>
  <c r="H85" i="44" s="1"/>
  <c r="H51" i="44"/>
  <c r="H52" i="44"/>
  <c r="H68" i="44" s="1"/>
  <c r="H54" i="44"/>
  <c r="H50" i="44"/>
  <c r="M35" i="44" a="1"/>
  <c r="M35" i="44" s="1"/>
  <c r="AW35" i="44" s="1"/>
  <c r="P35" i="44" a="1"/>
  <c r="P35" i="44" s="1"/>
  <c r="AZ35" i="44" s="1"/>
  <c r="S31" i="44" a="1"/>
  <c r="S31" i="44" s="1"/>
  <c r="BC31" i="44" s="1"/>
  <c r="N31" i="44" a="1"/>
  <c r="N31" i="44" s="1"/>
  <c r="AX31" i="44" s="1"/>
  <c r="Q31" i="44" a="1"/>
  <c r="Q31" i="44" s="1"/>
  <c r="BA31" i="44" s="1"/>
  <c r="S10" i="44" a="1"/>
  <c r="S10" i="44" s="1"/>
  <c r="BC10" i="44" s="1"/>
  <c r="N10" i="44" a="1"/>
  <c r="N10" i="44" s="1"/>
  <c r="AX10" i="44" s="1"/>
  <c r="Q10" i="44" a="1"/>
  <c r="Q10" i="44" s="1"/>
  <c r="BA10" i="44" s="1"/>
  <c r="T38" i="44" a="1"/>
  <c r="T38" i="44" s="1"/>
  <c r="BD38" i="44" s="1"/>
  <c r="O38" i="44" a="1"/>
  <c r="O38" i="44" s="1"/>
  <c r="AY38" i="44" s="1"/>
  <c r="R38" i="44" a="1"/>
  <c r="R38" i="44" s="1"/>
  <c r="BB38" i="44" s="1"/>
  <c r="U38" i="44" a="1"/>
  <c r="U38" i="44" s="1"/>
  <c r="BE38" i="44" s="1"/>
  <c r="Q41" i="44" a="1"/>
  <c r="Q41" i="44" s="1"/>
  <c r="BA41" i="44" s="1"/>
  <c r="N41" i="44" a="1"/>
  <c r="N41" i="44" s="1"/>
  <c r="AX41" i="44" s="1"/>
  <c r="S41" i="44" a="1"/>
  <c r="S41" i="44" s="1"/>
  <c r="BC41" i="44" s="1"/>
  <c r="P19" i="44" a="1"/>
  <c r="P19" i="44" s="1"/>
  <c r="AZ19" i="44" s="1"/>
  <c r="M19" i="44" a="1"/>
  <c r="M19" i="44" s="1"/>
  <c r="AW19" i="44" s="1"/>
  <c r="U18" i="44" a="1"/>
  <c r="U18" i="44" s="1"/>
  <c r="BE18" i="44" s="1"/>
  <c r="R18" i="44" a="1"/>
  <c r="R18" i="44" s="1"/>
  <c r="BB18" i="44" s="1"/>
  <c r="O18" i="44" a="1"/>
  <c r="O18" i="44" s="1"/>
  <c r="AY18" i="44" s="1"/>
  <c r="T18" i="44" a="1"/>
  <c r="T18" i="44" s="1"/>
  <c r="BD18" i="44" s="1"/>
  <c r="T14" i="44" a="1"/>
  <c r="T14" i="44" s="1"/>
  <c r="BD14" i="44" s="1"/>
  <c r="U14" i="44" a="1"/>
  <c r="U14" i="44" s="1"/>
  <c r="BE14" i="44" s="1"/>
  <c r="O14" i="44" a="1"/>
  <c r="O14" i="44" s="1"/>
  <c r="AY14" i="44" s="1"/>
  <c r="R14" i="44" a="1"/>
  <c r="R14" i="44" s="1"/>
  <c r="BB14" i="44" s="1"/>
  <c r="L41" i="44" a="1"/>
  <c r="L41" i="44" s="1"/>
  <c r="AV41" i="44" s="1"/>
  <c r="L28" i="44" a="1"/>
  <c r="L28" i="44" s="1"/>
  <c r="AV28" i="44" s="1"/>
  <c r="S25" i="44" a="1"/>
  <c r="S25" i="44" s="1"/>
  <c r="BC25" i="44" s="1"/>
  <c r="Q25" i="44" a="1"/>
  <c r="Q25" i="44" s="1"/>
  <c r="BA25" i="44" s="1"/>
  <c r="N25" i="44" a="1"/>
  <c r="N25" i="44" s="1"/>
  <c r="AX25" i="44" s="1"/>
  <c r="L22" i="44" a="1"/>
  <c r="L22" i="44" s="1"/>
  <c r="AV22" i="44" s="1"/>
  <c r="N16" i="44" a="1"/>
  <c r="N16" i="44" s="1"/>
  <c r="AX16" i="44" s="1"/>
  <c r="Q16" i="44" a="1"/>
  <c r="Q16" i="44" s="1"/>
  <c r="BA16" i="44" s="1"/>
  <c r="S16" i="44" a="1"/>
  <c r="S16" i="44" s="1"/>
  <c r="BC16" i="44" s="1"/>
  <c r="L40" i="44" a="1"/>
  <c r="L40" i="44" s="1"/>
  <c r="AV40" i="44" s="1"/>
  <c r="N39" i="44" a="1"/>
  <c r="N39" i="44" s="1"/>
  <c r="AX39" i="44" s="1"/>
  <c r="S39" i="44" a="1"/>
  <c r="S39" i="44" s="1"/>
  <c r="BC39" i="44" s="1"/>
  <c r="Q39" i="44" a="1"/>
  <c r="Q39" i="44" s="1"/>
  <c r="BA39" i="44" s="1"/>
  <c r="Q29" i="44" a="1"/>
  <c r="Q29" i="44" s="1"/>
  <c r="BA29" i="44" s="1"/>
  <c r="N29" i="44" a="1"/>
  <c r="N29" i="44" s="1"/>
  <c r="AX29" i="44" s="1"/>
  <c r="S29" i="44" a="1"/>
  <c r="S29" i="44" s="1"/>
  <c r="BC29" i="44" s="1"/>
  <c r="L27" i="44" a="1"/>
  <c r="L27" i="44" s="1"/>
  <c r="AV27" i="44" s="1"/>
  <c r="M10" i="44" a="1"/>
  <c r="M10" i="44" s="1"/>
  <c r="AW10" i="44" s="1"/>
  <c r="P10" i="44" a="1"/>
  <c r="P10" i="44" s="1"/>
  <c r="AZ10" i="44" s="1"/>
  <c r="AI54" i="44"/>
  <c r="AI51" i="44"/>
  <c r="AI71" i="44" s="1"/>
  <c r="AI52" i="44"/>
  <c r="AI68" i="44" s="1"/>
  <c r="AI53" i="44"/>
  <c r="AI50" i="44"/>
  <c r="O25" i="44" a="1"/>
  <c r="O25" i="44" s="1"/>
  <c r="AY25" i="44" s="1"/>
  <c r="R25" i="44" a="1"/>
  <c r="R25" i="44" s="1"/>
  <c r="BB25" i="44" s="1"/>
  <c r="T25" i="44" a="1"/>
  <c r="T25" i="44" s="1"/>
  <c r="BD25" i="44" s="1"/>
  <c r="U25" i="44" a="1"/>
  <c r="U25" i="44" s="1"/>
  <c r="BE25" i="44" s="1"/>
  <c r="S13" i="44" a="1"/>
  <c r="S13" i="44" s="1"/>
  <c r="BC13" i="44" s="1"/>
  <c r="Q13" i="44" a="1"/>
  <c r="Q13" i="44" s="1"/>
  <c r="BA13" i="44" s="1"/>
  <c r="N13" i="44" a="1"/>
  <c r="N13" i="44" s="1"/>
  <c r="AX13" i="44" s="1"/>
  <c r="P22" i="44" a="1"/>
  <c r="P22" i="44" s="1"/>
  <c r="AZ22" i="44" s="1"/>
  <c r="M22" i="44" a="1"/>
  <c r="M22" i="44" s="1"/>
  <c r="AW22" i="44" s="1"/>
  <c r="O30" i="44" a="1"/>
  <c r="O30" i="44" s="1"/>
  <c r="AY30" i="44" s="1"/>
  <c r="R30" i="44" a="1"/>
  <c r="R30" i="44" s="1"/>
  <c r="BB30" i="44" s="1"/>
  <c r="U30" i="44" a="1"/>
  <c r="U30" i="44" s="1"/>
  <c r="BE30" i="44" s="1"/>
  <c r="T30" i="44" a="1"/>
  <c r="T30" i="44" s="1"/>
  <c r="BD30" i="44" s="1"/>
  <c r="L36" i="44" a="1"/>
  <c r="L36" i="44" s="1"/>
  <c r="AV36" i="44" s="1"/>
  <c r="L25" i="44" a="1"/>
  <c r="L25" i="44" s="1"/>
  <c r="AV25" i="44" s="1"/>
  <c r="N40" i="44" a="1"/>
  <c r="N40" i="44" s="1"/>
  <c r="AX40" i="44" s="1"/>
  <c r="S40" i="44" a="1"/>
  <c r="S40" i="44" s="1"/>
  <c r="BC40" i="44" s="1"/>
  <c r="Q40" i="44" a="1"/>
  <c r="Q40" i="44" s="1"/>
  <c r="BA40" i="44" s="1"/>
  <c r="R33" i="44" a="1"/>
  <c r="R33" i="44" s="1"/>
  <c r="BB33" i="44" s="1"/>
  <c r="U33" i="44" a="1"/>
  <c r="U33" i="44" s="1"/>
  <c r="BE33" i="44" s="1"/>
  <c r="T33" i="44" a="1"/>
  <c r="T33" i="44" s="1"/>
  <c r="BD33" i="44" s="1"/>
  <c r="O33" i="44" a="1"/>
  <c r="O33" i="44" s="1"/>
  <c r="AY33" i="44" s="1"/>
  <c r="S23" i="44" a="1"/>
  <c r="S23" i="44" s="1"/>
  <c r="BC23" i="44" s="1"/>
  <c r="N23" i="44" a="1"/>
  <c r="N23" i="44" s="1"/>
  <c r="AX23" i="44" s="1"/>
  <c r="Q23" i="44" a="1"/>
  <c r="Q23" i="44" s="1"/>
  <c r="BA23" i="44" s="1"/>
  <c r="U23" i="44" a="1"/>
  <c r="U23" i="44" s="1"/>
  <c r="BE23" i="44" s="1"/>
  <c r="T23" i="44" a="1"/>
  <c r="T23" i="44" s="1"/>
  <c r="BD23" i="44" s="1"/>
  <c r="R23" i="44" a="1"/>
  <c r="R23" i="44" s="1"/>
  <c r="BB23" i="44" s="1"/>
  <c r="O23" i="44" a="1"/>
  <c r="O23" i="44" s="1"/>
  <c r="AY23" i="44" s="1"/>
  <c r="L31" i="44" a="1"/>
  <c r="L31" i="44" s="1"/>
  <c r="AV31" i="44" s="1"/>
  <c r="T37" i="44" a="1"/>
  <c r="T37" i="44" s="1"/>
  <c r="BD37" i="44" s="1"/>
  <c r="U37" i="44" a="1"/>
  <c r="U37" i="44" s="1"/>
  <c r="BE37" i="44" s="1"/>
  <c r="O37" i="44" a="1"/>
  <c r="O37" i="44" s="1"/>
  <c r="AY37" i="44" s="1"/>
  <c r="R37" i="44" a="1"/>
  <c r="R37" i="44" s="1"/>
  <c r="BB37" i="44" s="1"/>
  <c r="Q15" i="44" a="1"/>
  <c r="Q15" i="44" s="1"/>
  <c r="BA15" i="44" s="1"/>
  <c r="N15" i="44" a="1"/>
  <c r="N15" i="44" s="1"/>
  <c r="AX15" i="44" s="1"/>
  <c r="S15" i="44" a="1"/>
  <c r="S15" i="44" s="1"/>
  <c r="BC15" i="44" s="1"/>
  <c r="P21" i="44" a="1"/>
  <c r="P21" i="44" s="1"/>
  <c r="AZ21" i="44" s="1"/>
  <c r="M21" i="44" a="1"/>
  <c r="M21" i="44" s="1"/>
  <c r="AW21" i="44" s="1"/>
  <c r="AH52" i="44"/>
  <c r="AH68" i="44" s="1"/>
  <c r="U7" i="44" a="1"/>
  <c r="U7" i="44" s="1"/>
  <c r="R7" i="44" a="1"/>
  <c r="R7" i="44" s="1"/>
  <c r="BB7" i="44" s="1"/>
  <c r="AH51" i="44"/>
  <c r="AH71" i="44" s="1"/>
  <c r="AH53" i="44"/>
  <c r="O7" i="44" a="1"/>
  <c r="O7" i="44" s="1"/>
  <c r="AH50" i="44"/>
  <c r="T7" i="44" a="1"/>
  <c r="T7" i="44" s="1"/>
  <c r="AH54" i="44"/>
  <c r="R8" i="44" a="1"/>
  <c r="R8" i="44" s="1"/>
  <c r="BB8" i="44" s="1"/>
  <c r="U8" i="44" a="1"/>
  <c r="U8" i="44" s="1"/>
  <c r="BE8" i="44" s="1"/>
  <c r="T8" i="44" a="1"/>
  <c r="T8" i="44" s="1"/>
  <c r="BD8" i="44" s="1"/>
  <c r="O8" i="44" a="1"/>
  <c r="O8" i="44" s="1"/>
  <c r="AY8" i="44" s="1"/>
  <c r="Q12" i="44" a="1"/>
  <c r="Q12" i="44" s="1"/>
  <c r="BA12" i="44" s="1"/>
  <c r="S12" i="44" a="1"/>
  <c r="S12" i="44" s="1"/>
  <c r="BC12" i="44" s="1"/>
  <c r="N12" i="44" a="1"/>
  <c r="N12" i="44" s="1"/>
  <c r="AX12" i="44" s="1"/>
  <c r="L10" i="44" a="1"/>
  <c r="L10" i="44" s="1"/>
  <c r="AV10" i="44" s="1"/>
  <c r="P23" i="44" a="1"/>
  <c r="P23" i="44" s="1"/>
  <c r="AZ23" i="44" s="1"/>
  <c r="M23" i="44" a="1"/>
  <c r="M23" i="44" s="1"/>
  <c r="AW23" i="44" s="1"/>
  <c r="P28" i="44" a="1"/>
  <c r="P28" i="44" s="1"/>
  <c r="AZ28" i="44" s="1"/>
  <c r="M28" i="44" a="1"/>
  <c r="M28" i="44" s="1"/>
  <c r="AW28" i="44" s="1"/>
  <c r="L18" i="44" a="1"/>
  <c r="L18" i="44" s="1"/>
  <c r="AV18" i="44" s="1"/>
  <c r="BI50" i="44"/>
  <c r="BI52" i="44"/>
  <c r="BI68" i="44" s="1"/>
  <c r="BI51" i="44"/>
  <c r="BI54" i="44"/>
  <c r="BI53" i="44"/>
  <c r="M14" i="44" a="1"/>
  <c r="M14" i="44" s="1"/>
  <c r="AW14" i="44" s="1"/>
  <c r="P14" i="44" a="1"/>
  <c r="P14" i="44" s="1"/>
  <c r="AZ14" i="44" s="1"/>
  <c r="O16" i="44" a="1"/>
  <c r="O16" i="44" s="1"/>
  <c r="AY16" i="44" s="1"/>
  <c r="R16" i="44" a="1"/>
  <c r="R16" i="44" s="1"/>
  <c r="BB16" i="44" s="1"/>
  <c r="T16" i="44" a="1"/>
  <c r="T16" i="44" s="1"/>
  <c r="BD16" i="44" s="1"/>
  <c r="U16" i="44" a="1"/>
  <c r="U16" i="44" s="1"/>
  <c r="BE16" i="44" s="1"/>
  <c r="W51" i="44"/>
  <c r="W50" i="44"/>
  <c r="W52" i="44"/>
  <c r="W68" i="44" s="1"/>
  <c r="W54" i="44"/>
  <c r="W53" i="44"/>
  <c r="O29" i="44" a="1"/>
  <c r="O29" i="44" s="1"/>
  <c r="AY29" i="44" s="1"/>
  <c r="T29" i="44" a="1"/>
  <c r="T29" i="44" s="1"/>
  <c r="BD29" i="44" s="1"/>
  <c r="U29" i="44" a="1"/>
  <c r="U29" i="44" s="1"/>
  <c r="BE29" i="44" s="1"/>
  <c r="R29" i="44" a="1"/>
  <c r="R29" i="44" s="1"/>
  <c r="BB29" i="44" s="1"/>
  <c r="R22" i="44" a="1"/>
  <c r="R22" i="44" s="1"/>
  <c r="BB22" i="44" s="1"/>
  <c r="U22" i="44" a="1"/>
  <c r="U22" i="44" s="1"/>
  <c r="BE22" i="44" s="1"/>
  <c r="T22" i="44" a="1"/>
  <c r="T22" i="44" s="1"/>
  <c r="BD22" i="44" s="1"/>
  <c r="O22" i="44" a="1"/>
  <c r="O22" i="44" s="1"/>
  <c r="AY22" i="44" s="1"/>
  <c r="L21" i="44" a="1"/>
  <c r="L21" i="44" s="1"/>
  <c r="AV21" i="44" s="1"/>
  <c r="L30" i="44" a="1"/>
  <c r="L30" i="44" s="1"/>
  <c r="AV30" i="44" s="1"/>
  <c r="BK53" i="44"/>
  <c r="BK54" i="44"/>
  <c r="BK52" i="44"/>
  <c r="BK68" i="44" s="1"/>
  <c r="BK51" i="44"/>
  <c r="BK50" i="44"/>
  <c r="L20" i="44" a="1"/>
  <c r="L20" i="44" s="1"/>
  <c r="AV20" i="44" s="1"/>
  <c r="U40" i="44" a="1"/>
  <c r="U40" i="44" s="1"/>
  <c r="BE40" i="44" s="1"/>
  <c r="R40" i="44" a="1"/>
  <c r="R40" i="44" s="1"/>
  <c r="BB40" i="44" s="1"/>
  <c r="T40" i="44" a="1"/>
  <c r="T40" i="44" s="1"/>
  <c r="BD40" i="44" s="1"/>
  <c r="O40" i="44" a="1"/>
  <c r="O40" i="44" s="1"/>
  <c r="AY40" i="44" s="1"/>
  <c r="P42" i="44" a="1"/>
  <c r="P42" i="44" s="1"/>
  <c r="AZ42" i="44" s="1"/>
  <c r="M42" i="44" a="1"/>
  <c r="M42" i="44" s="1"/>
  <c r="AW42" i="44" s="1"/>
  <c r="M30" i="44" a="1"/>
  <c r="M30" i="44" s="1"/>
  <c r="AW30" i="44" s="1"/>
  <c r="P30" i="44" a="1"/>
  <c r="P30" i="44" s="1"/>
  <c r="AZ30" i="44" s="1"/>
  <c r="P18" i="44" a="1"/>
  <c r="P18" i="44" s="1"/>
  <c r="AZ18" i="44" s="1"/>
  <c r="M18" i="44" a="1"/>
  <c r="M18" i="44" s="1"/>
  <c r="AW18" i="44" s="1"/>
  <c r="Q8" i="44" a="1"/>
  <c r="Q8" i="44" s="1"/>
  <c r="BA8" i="44" s="1"/>
  <c r="S8" i="44" a="1"/>
  <c r="S8" i="44" s="1"/>
  <c r="BC8" i="44" s="1"/>
  <c r="N8" i="44" a="1"/>
  <c r="N8" i="44" s="1"/>
  <c r="AX8" i="44" s="1"/>
  <c r="P40" i="44" a="1"/>
  <c r="P40" i="44" s="1"/>
  <c r="AZ40" i="44" s="1"/>
  <c r="M40" i="44" a="1"/>
  <c r="M40" i="44" s="1"/>
  <c r="AW40" i="44" s="1"/>
  <c r="L39" i="44" a="1"/>
  <c r="L39" i="44" s="1"/>
  <c r="AV39" i="44" s="1"/>
  <c r="N26" i="44" a="1"/>
  <c r="N26" i="44" s="1"/>
  <c r="AX26" i="44" s="1"/>
  <c r="S26" i="44" a="1"/>
  <c r="S26" i="44" s="1"/>
  <c r="BC26" i="44" s="1"/>
  <c r="Q26" i="44" a="1"/>
  <c r="Q26" i="44" s="1"/>
  <c r="BA26" i="44" s="1"/>
  <c r="M26" i="44" a="1"/>
  <c r="M26" i="44" s="1"/>
  <c r="AW26" i="44" s="1"/>
  <c r="P26" i="44" a="1"/>
  <c r="P26" i="44" s="1"/>
  <c r="AZ26" i="44" s="1"/>
  <c r="S18" i="44" a="1"/>
  <c r="S18" i="44" s="1"/>
  <c r="BC18" i="44" s="1"/>
  <c r="Q18" i="44" a="1"/>
  <c r="Q18" i="44" s="1"/>
  <c r="BA18" i="44" s="1"/>
  <c r="N18" i="44" a="1"/>
  <c r="N18" i="44" s="1"/>
  <c r="AX18" i="44" s="1"/>
  <c r="U35" i="44" a="1"/>
  <c r="U35" i="44" s="1"/>
  <c r="BE35" i="44" s="1"/>
  <c r="O35" i="44" a="1"/>
  <c r="O35" i="44" s="1"/>
  <c r="AY35" i="44" s="1"/>
  <c r="R35" i="44" a="1"/>
  <c r="R35" i="44" s="1"/>
  <c r="BB35" i="44" s="1"/>
  <c r="T35" i="44" a="1"/>
  <c r="T35" i="44" s="1"/>
  <c r="BD35" i="44" s="1"/>
  <c r="Q35" i="44" a="1"/>
  <c r="Q35" i="44" s="1"/>
  <c r="BA35" i="44" s="1"/>
  <c r="N35" i="44" a="1"/>
  <c r="N35" i="44" s="1"/>
  <c r="AX35" i="44" s="1"/>
  <c r="S35" i="44" a="1"/>
  <c r="S35" i="44" s="1"/>
  <c r="BC35" i="44" s="1"/>
  <c r="I51" i="44"/>
  <c r="I53" i="44"/>
  <c r="I85" i="44" s="1"/>
  <c r="I52" i="44"/>
  <c r="I68" i="44" s="1"/>
  <c r="I50" i="44"/>
  <c r="I54" i="44"/>
  <c r="N36" i="44" a="1"/>
  <c r="N36" i="44" s="1"/>
  <c r="AX36" i="44" s="1"/>
  <c r="Q36" i="44" a="1"/>
  <c r="Q36" i="44" s="1"/>
  <c r="BA36" i="44" s="1"/>
  <c r="S36" i="44" a="1"/>
  <c r="S36" i="44" s="1"/>
  <c r="BC36" i="44" s="1"/>
  <c r="R31" i="44" a="1"/>
  <c r="R31" i="44" s="1"/>
  <c r="BB31" i="44" s="1"/>
  <c r="O31" i="44" a="1"/>
  <c r="O31" i="44" s="1"/>
  <c r="AY31" i="44" s="1"/>
  <c r="T31" i="44" a="1"/>
  <c r="T31" i="44" s="1"/>
  <c r="BD31" i="44" s="1"/>
  <c r="U31" i="44" a="1"/>
  <c r="U31" i="44" s="1"/>
  <c r="BE31" i="44" s="1"/>
  <c r="L9" i="44" a="1"/>
  <c r="L9" i="44" s="1"/>
  <c r="AV9" i="44" s="1"/>
  <c r="AF52" i="44"/>
  <c r="AF68" i="44" s="1"/>
  <c r="AF54" i="44"/>
  <c r="AF51" i="44"/>
  <c r="AF53" i="44"/>
  <c r="AF50" i="44"/>
  <c r="S24" i="44" a="1"/>
  <c r="S24" i="44" s="1"/>
  <c r="BC24" i="44" s="1"/>
  <c r="N24" i="44" a="1"/>
  <c r="N24" i="44" s="1"/>
  <c r="AX24" i="44" s="1"/>
  <c r="Q24" i="44" a="1"/>
  <c r="Q24" i="44" s="1"/>
  <c r="BA24" i="44" s="1"/>
  <c r="Q22" i="44" a="1"/>
  <c r="Q22" i="44" s="1"/>
  <c r="BA22" i="44" s="1"/>
  <c r="S22" i="44" a="1"/>
  <c r="S22" i="44" s="1"/>
  <c r="BC22" i="44" s="1"/>
  <c r="N22" i="44" a="1"/>
  <c r="N22" i="44" s="1"/>
  <c r="AX22" i="44" s="1"/>
  <c r="M32" i="44" a="1"/>
  <c r="M32" i="44" s="1"/>
  <c r="AW32" i="44" s="1"/>
  <c r="P32" i="44" a="1"/>
  <c r="P32" i="44" s="1"/>
  <c r="AZ32" i="44" s="1"/>
  <c r="N28" i="44" a="1"/>
  <c r="N28" i="44" s="1"/>
  <c r="AX28" i="44" s="1"/>
  <c r="Q28" i="44" a="1"/>
  <c r="Q28" i="44" s="1"/>
  <c r="BA28" i="44" s="1"/>
  <c r="S28" i="44" a="1"/>
  <c r="S28" i="44" s="1"/>
  <c r="BC28" i="44" s="1"/>
  <c r="T24" i="44" a="1"/>
  <c r="T24" i="44" s="1"/>
  <c r="BD24" i="44" s="1"/>
  <c r="O24" i="44" a="1"/>
  <c r="O24" i="44" s="1"/>
  <c r="AY24" i="44" s="1"/>
  <c r="U24" i="44" a="1"/>
  <c r="U24" i="44" s="1"/>
  <c r="BE24" i="44" s="1"/>
  <c r="R24" i="44" a="1"/>
  <c r="R24" i="44" s="1"/>
  <c r="BB24" i="44" s="1"/>
  <c r="J51" i="44"/>
  <c r="J52" i="44"/>
  <c r="J68" i="44" s="1"/>
  <c r="J53" i="44"/>
  <c r="J85" i="44" s="1"/>
  <c r="J50" i="44"/>
  <c r="J54" i="44"/>
  <c r="N14" i="44" a="1"/>
  <c r="N14" i="44" s="1"/>
  <c r="AX14" i="44" s="1"/>
  <c r="Q14" i="44" a="1"/>
  <c r="Q14" i="44" s="1"/>
  <c r="BA14" i="44" s="1"/>
  <c r="S14" i="44" a="1"/>
  <c r="S14" i="44" s="1"/>
  <c r="BC14" i="44" s="1"/>
  <c r="P12" i="44" a="1"/>
  <c r="P12" i="44" s="1"/>
  <c r="AZ12" i="44" s="1"/>
  <c r="M12" i="44" a="1"/>
  <c r="M12" i="44" s="1"/>
  <c r="AW12" i="44" s="1"/>
  <c r="P17" i="44" a="1"/>
  <c r="P17" i="44" s="1"/>
  <c r="AZ17" i="44" s="1"/>
  <c r="M17" i="44" a="1"/>
  <c r="M17" i="44" s="1"/>
  <c r="AW17" i="44" s="1"/>
  <c r="L12" i="44" a="1"/>
  <c r="L12" i="44" s="1"/>
  <c r="AV12" i="44" s="1"/>
  <c r="U10" i="44" a="1"/>
  <c r="U10" i="44" s="1"/>
  <c r="BE10" i="44" s="1"/>
  <c r="R10" i="44" a="1"/>
  <c r="R10" i="44" s="1"/>
  <c r="BB10" i="44" s="1"/>
  <c r="O10" i="44" a="1"/>
  <c r="O10" i="44" s="1"/>
  <c r="AY10" i="44" s="1"/>
  <c r="T10" i="44" a="1"/>
  <c r="T10" i="44" s="1"/>
  <c r="BD10" i="44" s="1"/>
  <c r="S37" i="44" a="1"/>
  <c r="S37" i="44" s="1"/>
  <c r="BC37" i="44" s="1"/>
  <c r="N37" i="44" a="1"/>
  <c r="N37" i="44" s="1"/>
  <c r="AX37" i="44" s="1"/>
  <c r="Q37" i="44" a="1"/>
  <c r="Q37" i="44" s="1"/>
  <c r="BA37" i="44" s="1"/>
  <c r="T12" i="44" a="1"/>
  <c r="T12" i="44" s="1"/>
  <c r="BD12" i="44" s="1"/>
  <c r="R12" i="44" a="1"/>
  <c r="R12" i="44" s="1"/>
  <c r="BB12" i="44" s="1"/>
  <c r="O12" i="44" a="1"/>
  <c r="O12" i="44" s="1"/>
  <c r="AY12" i="44" s="1"/>
  <c r="U12" i="44" a="1"/>
  <c r="U12" i="44" s="1"/>
  <c r="BE12" i="44" s="1"/>
  <c r="Q27" i="44" a="1"/>
  <c r="Q27" i="44" s="1"/>
  <c r="BA27" i="44" s="1"/>
  <c r="N27" i="44" a="1"/>
  <c r="N27" i="44" s="1"/>
  <c r="AX27" i="44" s="1"/>
  <c r="S27" i="44" a="1"/>
  <c r="S27" i="44" s="1"/>
  <c r="BC27" i="44" s="1"/>
  <c r="X50" i="44"/>
  <c r="X52" i="44"/>
  <c r="X68" i="44" s="1"/>
  <c r="X54" i="44"/>
  <c r="X53" i="44"/>
  <c r="X51" i="44"/>
  <c r="M15" i="44" a="1"/>
  <c r="M15" i="44" s="1"/>
  <c r="AW15" i="44" s="1"/>
  <c r="P15" i="44" a="1"/>
  <c r="P15" i="44" s="1"/>
  <c r="AZ15" i="44" s="1"/>
  <c r="N38" i="44" a="1"/>
  <c r="N38" i="44" s="1"/>
  <c r="AX38" i="44" s="1"/>
  <c r="S38" i="44" a="1"/>
  <c r="S38" i="44" s="1"/>
  <c r="BC38" i="44" s="1"/>
  <c r="Q38" i="44" a="1"/>
  <c r="Q38" i="44" s="1"/>
  <c r="BA38" i="44" s="1"/>
  <c r="S42" i="44" a="1"/>
  <c r="S42" i="44" s="1"/>
  <c r="BC42" i="44" s="1"/>
  <c r="N42" i="44" a="1"/>
  <c r="N42" i="44" s="1"/>
  <c r="AX42" i="44" s="1"/>
  <c r="Q42" i="44" a="1"/>
  <c r="Q42" i="44" s="1"/>
  <c r="BA42" i="44" s="1"/>
  <c r="L16" i="44" a="1"/>
  <c r="L16" i="44" s="1"/>
  <c r="AV16" i="44" s="1"/>
  <c r="L13" i="44" a="1"/>
  <c r="L13" i="44" s="1"/>
  <c r="AV13" i="44" s="1"/>
  <c r="M20" i="44" a="1"/>
  <c r="M20" i="44" s="1"/>
  <c r="AW20" i="44" s="1"/>
  <c r="P20" i="44" a="1"/>
  <c r="P20" i="44" s="1"/>
  <c r="AZ20" i="44" s="1"/>
  <c r="L29" i="44" a="1"/>
  <c r="L29" i="44" s="1"/>
  <c r="AV29" i="44" s="1"/>
  <c r="P41" i="44" a="1"/>
  <c r="P41" i="44" s="1"/>
  <c r="AZ41" i="44" s="1"/>
  <c r="M41" i="44" a="1"/>
  <c r="M41" i="44" s="1"/>
  <c r="AW41" i="44" s="1"/>
  <c r="Q19" i="44" a="1"/>
  <c r="Q19" i="44" s="1"/>
  <c r="BA19" i="44" s="1"/>
  <c r="N19" i="44" a="1"/>
  <c r="N19" i="44" s="1"/>
  <c r="AX19" i="44" s="1"/>
  <c r="S19" i="44" a="1"/>
  <c r="S19" i="44" s="1"/>
  <c r="BC19" i="44" s="1"/>
  <c r="L17" i="44" a="1"/>
  <c r="L17" i="44" s="1"/>
  <c r="AV17" i="44" s="1"/>
  <c r="R20" i="44" a="1"/>
  <c r="R20" i="44" s="1"/>
  <c r="BB20" i="44" s="1"/>
  <c r="T20" i="44" a="1"/>
  <c r="T20" i="44" s="1"/>
  <c r="BD20" i="44" s="1"/>
  <c r="U20" i="44" a="1"/>
  <c r="U20" i="44" s="1"/>
  <c r="BE20" i="44" s="1"/>
  <c r="O20" i="44" a="1"/>
  <c r="O20" i="44" s="1"/>
  <c r="AY20" i="44" s="1"/>
  <c r="BG52" i="44"/>
  <c r="BG68" i="44" s="1"/>
  <c r="BG50" i="44"/>
  <c r="BG51" i="44"/>
  <c r="BG53" i="44"/>
  <c r="BG54" i="44"/>
  <c r="AD53" i="44"/>
  <c r="AD51" i="44"/>
  <c r="AD54" i="44"/>
  <c r="AD52" i="44"/>
  <c r="AD68" i="44" s="1"/>
  <c r="AD50" i="44"/>
  <c r="M39" i="44" a="1"/>
  <c r="M39" i="44" s="1"/>
  <c r="AW39" i="44" s="1"/>
  <c r="P39" i="44" a="1"/>
  <c r="P39" i="44" s="1"/>
  <c r="AZ39" i="44" s="1"/>
  <c r="O39" i="44" a="1"/>
  <c r="O39" i="44" s="1"/>
  <c r="AY39" i="44" s="1"/>
  <c r="U39" i="44" a="1"/>
  <c r="U39" i="44" s="1"/>
  <c r="BE39" i="44" s="1"/>
  <c r="T39" i="44" a="1"/>
  <c r="T39" i="44" s="1"/>
  <c r="BD39" i="44" s="1"/>
  <c r="R39" i="44" a="1"/>
  <c r="R39" i="44" s="1"/>
  <c r="BB39" i="44" s="1"/>
  <c r="T28" i="44" a="1"/>
  <c r="T28" i="44" s="1"/>
  <c r="BD28" i="44" s="1"/>
  <c r="U28" i="44" a="1"/>
  <c r="U28" i="44" s="1"/>
  <c r="BE28" i="44" s="1"/>
  <c r="R28" i="44" a="1"/>
  <c r="R28" i="44" s="1"/>
  <c r="BB28" i="44" s="1"/>
  <c r="O28" i="44" a="1"/>
  <c r="O28" i="44" s="1"/>
  <c r="AY28" i="44" s="1"/>
  <c r="O9" i="44" a="1"/>
  <c r="O9" i="44" s="1"/>
  <c r="AY9" i="44" s="1"/>
  <c r="U9" i="44" a="1"/>
  <c r="U9" i="44" s="1"/>
  <c r="BE9" i="44" s="1"/>
  <c r="T9" i="44" a="1"/>
  <c r="T9" i="44" s="1"/>
  <c r="BD9" i="44" s="1"/>
  <c r="R9" i="44" a="1"/>
  <c r="R9" i="44" s="1"/>
  <c r="BB9" i="44" s="1"/>
  <c r="U17" i="44" a="1"/>
  <c r="U17" i="44" s="1"/>
  <c r="BE17" i="44" s="1"/>
  <c r="R17" i="44" a="1"/>
  <c r="R17" i="44" s="1"/>
  <c r="BB17" i="44" s="1"/>
  <c r="T17" i="44" a="1"/>
  <c r="T17" i="44" s="1"/>
  <c r="BD17" i="44" s="1"/>
  <c r="O17" i="44" a="1"/>
  <c r="O17" i="44" s="1"/>
  <c r="AY17" i="44" s="1"/>
  <c r="P27" i="44" a="1"/>
  <c r="P27" i="44" s="1"/>
  <c r="AZ27" i="44" s="1"/>
  <c r="M27" i="44" a="1"/>
  <c r="M27" i="44" s="1"/>
  <c r="AW27" i="44" s="1"/>
  <c r="P33" i="44" a="1"/>
  <c r="P33" i="44" s="1"/>
  <c r="AZ33" i="44" s="1"/>
  <c r="M33" i="44" a="1"/>
  <c r="M33" i="44" s="1"/>
  <c r="AW33" i="44" s="1"/>
  <c r="M34" i="44" a="1"/>
  <c r="M34" i="44" s="1"/>
  <c r="AW34" i="44" s="1"/>
  <c r="P34" i="44" a="1"/>
  <c r="P34" i="44" s="1"/>
  <c r="AZ34" i="44" s="1"/>
  <c r="L11" i="44" a="1"/>
  <c r="L11" i="44" s="1"/>
  <c r="AV11" i="44" s="1"/>
  <c r="U21" i="44" a="1"/>
  <c r="U21" i="44" s="1"/>
  <c r="BE21" i="44" s="1"/>
  <c r="O21" i="44" a="1"/>
  <c r="O21" i="44" s="1"/>
  <c r="AY21" i="44" s="1"/>
  <c r="R21" i="44" a="1"/>
  <c r="R21" i="44" s="1"/>
  <c r="BB21" i="44" s="1"/>
  <c r="T21" i="44" a="1"/>
  <c r="T21" i="44" s="1"/>
  <c r="BD21" i="44" s="1"/>
  <c r="P9" i="44" a="1"/>
  <c r="P9" i="44" s="1"/>
  <c r="AZ9" i="44" s="1"/>
  <c r="M9" i="44" a="1"/>
  <c r="M9" i="44" s="1"/>
  <c r="AW9" i="44" s="1"/>
  <c r="N34" i="44" a="1"/>
  <c r="N34" i="44" s="1"/>
  <c r="AX34" i="44" s="1"/>
  <c r="S34" i="44" a="1"/>
  <c r="S34" i="44" s="1"/>
  <c r="BC34" i="44" s="1"/>
  <c r="Q34" i="44" a="1"/>
  <c r="Q34" i="44" s="1"/>
  <c r="BA34" i="44" s="1"/>
  <c r="L8" i="44" a="1"/>
  <c r="L8" i="44" s="1"/>
  <c r="AV8" i="44" s="1"/>
  <c r="Q33" i="44" a="1"/>
  <c r="Q33" i="44" s="1"/>
  <c r="BA33" i="44" s="1"/>
  <c r="S33" i="44" a="1"/>
  <c r="S33" i="44" s="1"/>
  <c r="BC33" i="44" s="1"/>
  <c r="N33" i="44" a="1"/>
  <c r="N33" i="44" s="1"/>
  <c r="AX33" i="44" s="1"/>
  <c r="M24" i="44" a="1"/>
  <c r="M24" i="44" s="1"/>
  <c r="AW24" i="44" s="1"/>
  <c r="P24" i="44" a="1"/>
  <c r="P24" i="44" s="1"/>
  <c r="AZ24" i="44" s="1"/>
  <c r="Z53" i="44"/>
  <c r="Z52" i="44"/>
  <c r="Z68" i="44" s="1"/>
  <c r="Z50" i="44"/>
  <c r="Z54" i="44"/>
  <c r="Z51" i="44"/>
  <c r="Z71" i="44" s="1"/>
  <c r="L33" i="44" a="1"/>
  <c r="L33" i="44" s="1"/>
  <c r="AV33" i="44" s="1"/>
  <c r="T42" i="44" a="1"/>
  <c r="T42" i="44" s="1"/>
  <c r="BD42" i="44" s="1"/>
  <c r="U42" i="44" a="1"/>
  <c r="U42" i="44" s="1"/>
  <c r="BE42" i="44" s="1"/>
  <c r="R42" i="44" a="1"/>
  <c r="R42" i="44" s="1"/>
  <c r="BB42" i="44" s="1"/>
  <c r="O42" i="44" a="1"/>
  <c r="O42" i="44" s="1"/>
  <c r="AY42" i="44" s="1"/>
  <c r="L35" i="44" a="1"/>
  <c r="L35" i="44" s="1"/>
  <c r="AV35" i="44" s="1"/>
  <c r="L14" i="44" a="1"/>
  <c r="L14" i="44" s="1"/>
  <c r="AV14" i="44" s="1"/>
  <c r="T15" i="44" a="1"/>
  <c r="T15" i="44" s="1"/>
  <c r="BD15" i="44" s="1"/>
  <c r="R15" i="44" a="1"/>
  <c r="R15" i="44" s="1"/>
  <c r="BB15" i="44" s="1"/>
  <c r="O15" i="44" a="1"/>
  <c r="O15" i="44" s="1"/>
  <c r="AY15" i="44" s="1"/>
  <c r="U15" i="44" a="1"/>
  <c r="U15" i="44" s="1"/>
  <c r="BE15" i="44" s="1"/>
  <c r="O32" i="44" a="1"/>
  <c r="O32" i="44" s="1"/>
  <c r="AY32" i="44" s="1"/>
  <c r="R32" i="44" a="1"/>
  <c r="R32" i="44" s="1"/>
  <c r="BB32" i="44" s="1"/>
  <c r="T32" i="44" a="1"/>
  <c r="T32" i="44" s="1"/>
  <c r="BD32" i="44" s="1"/>
  <c r="U32" i="44" a="1"/>
  <c r="U32" i="44" s="1"/>
  <c r="BE32" i="44" s="1"/>
  <c r="BJ54" i="44"/>
  <c r="BJ52" i="44"/>
  <c r="BJ68" i="44" s="1"/>
  <c r="BJ53" i="44"/>
  <c r="BJ51" i="44"/>
  <c r="BJ50" i="44"/>
  <c r="P38" i="44" a="1"/>
  <c r="P38" i="44" s="1"/>
  <c r="AZ38" i="44" s="1"/>
  <c r="M38" i="44" a="1"/>
  <c r="M38" i="44" s="1"/>
  <c r="AW38" i="44" s="1"/>
  <c r="M37" i="44" a="1"/>
  <c r="M37" i="44" s="1"/>
  <c r="AW37" i="44" s="1"/>
  <c r="P37" i="44" a="1"/>
  <c r="P37" i="44" s="1"/>
  <c r="AZ37" i="44" s="1"/>
  <c r="G54" i="44"/>
  <c r="G51" i="44"/>
  <c r="G53" i="44"/>
  <c r="G85" i="44" s="1"/>
  <c r="G50" i="44"/>
  <c r="G52" i="44"/>
  <c r="G68" i="44" s="1"/>
  <c r="AG54" i="44"/>
  <c r="AG50" i="44"/>
  <c r="AG51" i="44"/>
  <c r="AG53" i="44"/>
  <c r="AG52" i="44"/>
  <c r="AG68" i="44" s="1"/>
  <c r="AE50" i="44"/>
  <c r="AE53" i="44"/>
  <c r="S7" i="44" a="1"/>
  <c r="S7" i="44" s="1"/>
  <c r="BC7" i="44" s="1"/>
  <c r="N7" i="44" a="1"/>
  <c r="N7" i="44" s="1"/>
  <c r="Q7" i="44" a="1"/>
  <c r="Q7" i="44" s="1"/>
  <c r="AE52" i="44"/>
  <c r="AE68" i="44" s="1"/>
  <c r="AE51" i="44"/>
  <c r="AE54" i="44"/>
  <c r="P29" i="44" a="1"/>
  <c r="P29" i="44" s="1"/>
  <c r="AZ29" i="44" s="1"/>
  <c r="M29" i="44" a="1"/>
  <c r="M29" i="44" s="1"/>
  <c r="AW29" i="44" s="1"/>
  <c r="N30" i="44" a="1"/>
  <c r="N30" i="44" s="1"/>
  <c r="AX30" i="44" s="1"/>
  <c r="S30" i="44" a="1"/>
  <c r="S30" i="44" s="1"/>
  <c r="BC30" i="44" s="1"/>
  <c r="Q30" i="44" a="1"/>
  <c r="Q30" i="44" s="1"/>
  <c r="BA30" i="44" s="1"/>
  <c r="R13" i="44" a="1"/>
  <c r="R13" i="44" s="1"/>
  <c r="BB13" i="44" s="1"/>
  <c r="U13" i="44" a="1"/>
  <c r="U13" i="44" s="1"/>
  <c r="BE13" i="44" s="1"/>
  <c r="T13" i="44" a="1"/>
  <c r="T13" i="44" s="1"/>
  <c r="BD13" i="44" s="1"/>
  <c r="O13" i="44" a="1"/>
  <c r="O13" i="44" s="1"/>
  <c r="AY13" i="44" s="1"/>
  <c r="T11" i="44" a="1"/>
  <c r="T11" i="44" s="1"/>
  <c r="BD11" i="44" s="1"/>
  <c r="U11" i="44" a="1"/>
  <c r="U11" i="44" s="1"/>
  <c r="BE11" i="44" s="1"/>
  <c r="O11" i="44" a="1"/>
  <c r="O11" i="44" s="1"/>
  <c r="AY11" i="44" s="1"/>
  <c r="R11" i="44" a="1"/>
  <c r="R11" i="44" s="1"/>
  <c r="BB11" i="44" s="1"/>
  <c r="AC52" i="44"/>
  <c r="AC68" i="44" s="1"/>
  <c r="AC53" i="44"/>
  <c r="AC54" i="44"/>
  <c r="AC50" i="44"/>
  <c r="AC51" i="44"/>
  <c r="L37" i="44" a="1"/>
  <c r="L37" i="44" s="1"/>
  <c r="AV37" i="44" s="1"/>
  <c r="M13" i="44" a="1"/>
  <c r="M13" i="44" s="1"/>
  <c r="AW13" i="44" s="1"/>
  <c r="P13" i="44" a="1"/>
  <c r="P13" i="44" s="1"/>
  <c r="AZ13" i="44" s="1"/>
  <c r="U41" i="44" a="1"/>
  <c r="U41" i="44" s="1"/>
  <c r="BE41" i="44" s="1"/>
  <c r="T41" i="44" a="1"/>
  <c r="T41" i="44" s="1"/>
  <c r="BD41" i="44" s="1"/>
  <c r="R41" i="44" a="1"/>
  <c r="R41" i="44" s="1"/>
  <c r="BB41" i="44" s="1"/>
  <c r="O41" i="44" a="1"/>
  <c r="O41" i="44" s="1"/>
  <c r="AY41" i="44" s="1"/>
  <c r="AA51" i="44"/>
  <c r="AA50" i="44"/>
  <c r="AA54" i="44"/>
  <c r="AA52" i="44"/>
  <c r="AA68" i="44" s="1"/>
  <c r="AA53" i="44"/>
  <c r="P8" i="44" a="1"/>
  <c r="P8" i="44" s="1"/>
  <c r="AZ8" i="44" s="1"/>
  <c r="M8" i="44" a="1"/>
  <c r="M8" i="44" s="1"/>
  <c r="AW8" i="44" s="1"/>
  <c r="U19" i="44" a="1"/>
  <c r="U19" i="44" s="1"/>
  <c r="BE19" i="44" s="1"/>
  <c r="O19" i="44" a="1"/>
  <c r="O19" i="44" s="1"/>
  <c r="AY19" i="44" s="1"/>
  <c r="R19" i="44" a="1"/>
  <c r="R19" i="44" s="1"/>
  <c r="BB19" i="44" s="1"/>
  <c r="T19" i="44" a="1"/>
  <c r="T19" i="44" s="1"/>
  <c r="BD19" i="44" s="1"/>
  <c r="T36" i="44" a="1"/>
  <c r="T36" i="44" s="1"/>
  <c r="BD36" i="44" s="1"/>
  <c r="O36" i="44" a="1"/>
  <c r="O36" i="44" s="1"/>
  <c r="AY36" i="44" s="1"/>
  <c r="R36" i="44" a="1"/>
  <c r="R36" i="44" s="1"/>
  <c r="BB36" i="44" s="1"/>
  <c r="U36" i="44" a="1"/>
  <c r="U36" i="44" s="1"/>
  <c r="BE36" i="44" s="1"/>
  <c r="AJ53" i="44"/>
  <c r="AJ54" i="44"/>
  <c r="AJ51" i="44"/>
  <c r="AJ50" i="44"/>
  <c r="AJ52" i="44"/>
  <c r="AJ68" i="44" s="1"/>
  <c r="L57" i="44"/>
  <c r="AH58" i="44"/>
  <c r="I57" i="44"/>
  <c r="H61" i="44"/>
  <c r="X62" i="44"/>
  <c r="Q61" i="44"/>
  <c r="F61" i="44"/>
  <c r="M61" i="44"/>
  <c r="S61" i="44"/>
  <c r="P61" i="44"/>
  <c r="AE58" i="44"/>
  <c r="AH62" i="44"/>
  <c r="S57" i="44"/>
  <c r="BJ62" i="44"/>
  <c r="V62" i="44"/>
  <c r="BG58" i="44"/>
  <c r="K61" i="44"/>
  <c r="BK62" i="44"/>
  <c r="J58" i="44"/>
  <c r="U57" i="44"/>
  <c r="K63" i="44" a="1"/>
  <c r="K63" i="44" s="1"/>
  <c r="K59" i="44" a="1"/>
  <c r="K59" i="44" s="1"/>
  <c r="BK58" i="44"/>
  <c r="Y58" i="44"/>
  <c r="AF58" i="44"/>
  <c r="N57" i="44"/>
  <c r="BI62" i="44"/>
  <c r="J59" i="44" a="1"/>
  <c r="J59" i="44" s="1"/>
  <c r="K58" i="44"/>
  <c r="BH58" i="44"/>
  <c r="AI58" i="44"/>
  <c r="R57" i="44"/>
  <c r="Q57" i="44"/>
  <c r="R61" i="44"/>
  <c r="AJ62" i="44"/>
  <c r="P57" i="44"/>
  <c r="Z62" i="44"/>
  <c r="AJ58" i="44"/>
  <c r="L61" i="44"/>
  <c r="X58" i="44"/>
  <c r="AB58" i="44"/>
  <c r="F58" i="44"/>
  <c r="AI62" i="44"/>
  <c r="G63" i="44" a="1"/>
  <c r="G63" i="44" s="1"/>
  <c r="AA58" i="44"/>
  <c r="AG58" i="44"/>
  <c r="F57" i="44"/>
  <c r="G61" i="44"/>
  <c r="G59" i="44" a="1"/>
  <c r="G59" i="44" s="1"/>
  <c r="AC62" i="44"/>
  <c r="AD62" i="44"/>
  <c r="AB62" i="44"/>
  <c r="I59" i="44" a="1"/>
  <c r="I59" i="44" s="1"/>
  <c r="AC58" i="44"/>
  <c r="AE62" i="44"/>
  <c r="I62" i="44"/>
  <c r="G57" i="44"/>
  <c r="Z58" i="44"/>
  <c r="H58" i="44"/>
  <c r="F62" i="44"/>
  <c r="F59" i="44" a="1"/>
  <c r="F59" i="44" s="1"/>
  <c r="U61" i="44"/>
  <c r="M57" i="44"/>
  <c r="T61" i="44"/>
  <c r="BH62" i="44"/>
  <c r="Y62" i="44"/>
  <c r="J61" i="44"/>
  <c r="AF62" i="44"/>
  <c r="H63" i="44" a="1"/>
  <c r="H63" i="44" s="1"/>
  <c r="H62" i="44"/>
  <c r="J63" i="44" a="1"/>
  <c r="J63" i="44" s="1"/>
  <c r="BJ58" i="44"/>
  <c r="BG62" i="44"/>
  <c r="I63" i="44" a="1"/>
  <c r="I63" i="44" s="1"/>
  <c r="W62" i="44"/>
  <c r="AD58" i="44"/>
  <c r="K57" i="44"/>
  <c r="K62" i="44"/>
  <c r="T57" i="44"/>
  <c r="N61" i="44"/>
  <c r="BI58" i="44"/>
  <c r="W58" i="44"/>
  <c r="I58" i="44"/>
  <c r="V58" i="44"/>
  <c r="H59" i="44" a="1"/>
  <c r="H59" i="44" s="1"/>
  <c r="AA62" i="44"/>
  <c r="J57" i="44"/>
  <c r="AG62" i="44"/>
  <c r="G58" i="44"/>
  <c r="G62" i="44"/>
  <c r="O61" i="44"/>
  <c r="I61" i="44"/>
  <c r="H57" i="44"/>
  <c r="O57" i="44"/>
  <c r="J62" i="44"/>
  <c r="F63" i="44" a="1"/>
  <c r="F63" i="44" s="1"/>
  <c r="M25" i="44" a="1"/>
  <c r="M25" i="44" s="1"/>
  <c r="AW25" i="44" s="1"/>
  <c r="P25" i="44" a="1"/>
  <c r="P25" i="44" s="1"/>
  <c r="AZ25" i="44" s="1"/>
  <c r="N21" i="44" a="1"/>
  <c r="N21" i="44" s="1"/>
  <c r="AX21" i="44" s="1"/>
  <c r="Q21" i="44" a="1"/>
  <c r="Q21" i="44" s="1"/>
  <c r="BA21" i="44" s="1"/>
  <c r="S21" i="44" a="1"/>
  <c r="S21" i="44" s="1"/>
  <c r="BC21" i="44" s="1"/>
  <c r="AW7" i="44"/>
  <c r="Y54" i="44"/>
  <c r="Y50" i="44"/>
  <c r="Y52" i="44"/>
  <c r="Y68" i="44" s="1"/>
  <c r="Y51" i="44"/>
  <c r="L7" i="44" a="1"/>
  <c r="L7" i="44" s="1"/>
  <c r="AV7" i="44" s="1"/>
  <c r="Y53" i="44"/>
  <c r="P16" i="44" a="1"/>
  <c r="P16" i="44" s="1"/>
  <c r="AZ16" i="44" s="1"/>
  <c r="M16" i="44" a="1"/>
  <c r="M16" i="44" s="1"/>
  <c r="AW16" i="44" s="1"/>
  <c r="S17" i="44" a="1"/>
  <c r="S17" i="44" s="1"/>
  <c r="BC17" i="44" s="1"/>
  <c r="N17" i="44" a="1"/>
  <c r="N17" i="44" s="1"/>
  <c r="AX17" i="44" s="1"/>
  <c r="Q17" i="44" a="1"/>
  <c r="Q17" i="44" s="1"/>
  <c r="BA17" i="44" s="1"/>
  <c r="F50" i="44"/>
  <c r="F53" i="44"/>
  <c r="F51" i="44"/>
  <c r="F52" i="44"/>
  <c r="F54" i="44"/>
  <c r="Q11" i="44" a="1"/>
  <c r="Q11" i="44" s="1"/>
  <c r="BA11" i="44" s="1"/>
  <c r="N11" i="44" a="1"/>
  <c r="N11" i="44" s="1"/>
  <c r="AX11" i="44" s="1"/>
  <c r="S11" i="44" a="1"/>
  <c r="S11" i="44" s="1"/>
  <c r="BC11" i="44" s="1"/>
  <c r="P36" i="44" a="1"/>
  <c r="P36" i="44" s="1"/>
  <c r="AZ36" i="44" s="1"/>
  <c r="M36" i="44" a="1"/>
  <c r="M36" i="44" s="1"/>
  <c r="AW36" i="44" s="1"/>
  <c r="L19" i="44" a="1"/>
  <c r="L19" i="44" s="1"/>
  <c r="AV19" i="44" s="1"/>
  <c r="L42" i="44" a="1"/>
  <c r="L42" i="44" s="1"/>
  <c r="AV42" i="44" s="1"/>
  <c r="L32" i="44" a="1"/>
  <c r="L32" i="44" s="1"/>
  <c r="AV32" i="44" s="1"/>
  <c r="AJ71" i="44" l="1"/>
  <c r="G71" i="44"/>
  <c r="AF71" i="44"/>
  <c r="AC71" i="44"/>
  <c r="AB71" i="44"/>
  <c r="Y71" i="44"/>
  <c r="AE71" i="44"/>
  <c r="H71" i="44"/>
  <c r="AD71" i="44"/>
  <c r="AA71" i="44"/>
  <c r="AG71" i="44"/>
  <c r="I71" i="44"/>
  <c r="J71" i="44"/>
  <c r="K71" i="44"/>
  <c r="AG65" i="44"/>
  <c r="AB55" i="44"/>
  <c r="AI65" i="44"/>
  <c r="K65" i="44"/>
  <c r="Y65" i="44"/>
  <c r="BI55" i="44"/>
  <c r="Y55" i="44"/>
  <c r="BH55" i="44"/>
  <c r="G55" i="44"/>
  <c r="J65" i="44"/>
  <c r="BK55" i="44"/>
  <c r="AE65" i="44"/>
  <c r="AA65" i="44"/>
  <c r="BJ65" i="44"/>
  <c r="Q59" i="44" a="1"/>
  <c r="Q59" i="44" s="1"/>
  <c r="F55" i="44"/>
  <c r="H65" i="44"/>
  <c r="I65" i="44"/>
  <c r="AB65" i="44"/>
  <c r="M62" i="44"/>
  <c r="AE55" i="44"/>
  <c r="I55" i="44"/>
  <c r="P62" i="44"/>
  <c r="J55" i="44"/>
  <c r="V55" i="44"/>
  <c r="AF65" i="44"/>
  <c r="Z55" i="44"/>
  <c r="AA55" i="44"/>
  <c r="G65" i="44"/>
  <c r="BK65" i="44"/>
  <c r="AZ7" i="44"/>
  <c r="P54" i="44"/>
  <c r="P51" i="44"/>
  <c r="P53" i="44"/>
  <c r="P85" i="44" s="1"/>
  <c r="P50" i="44"/>
  <c r="P52" i="44"/>
  <c r="P68" i="44" s="1"/>
  <c r="Q58" i="44"/>
  <c r="U58" i="44"/>
  <c r="R62" i="44"/>
  <c r="BH65" i="44"/>
  <c r="X65" i="44"/>
  <c r="AH55" i="44"/>
  <c r="L50" i="44"/>
  <c r="L52" i="44"/>
  <c r="L68" i="44" s="1"/>
  <c r="L53" i="44"/>
  <c r="L85" i="44" s="1"/>
  <c r="L51" i="44"/>
  <c r="L54" i="44"/>
  <c r="M59" i="44" a="1"/>
  <c r="M59" i="44" s="1"/>
  <c r="U63" i="44" a="1"/>
  <c r="U63" i="44" s="1"/>
  <c r="P58" i="44"/>
  <c r="P63" i="44" a="1"/>
  <c r="P63" i="44" s="1"/>
  <c r="BD7" i="44"/>
  <c r="T54" i="44"/>
  <c r="T50" i="44"/>
  <c r="T51" i="44"/>
  <c r="T53" i="44"/>
  <c r="T85" i="44" s="1"/>
  <c r="T52" i="44"/>
  <c r="T68" i="44" s="1"/>
  <c r="T59" i="44" a="1"/>
  <c r="T59" i="44" s="1"/>
  <c r="M63" i="44" a="1"/>
  <c r="M63" i="44" s="1"/>
  <c r="S59" i="44" a="1"/>
  <c r="S59" i="44" s="1"/>
  <c r="S58" i="44"/>
  <c r="W65" i="44"/>
  <c r="AD65" i="44"/>
  <c r="BI65" i="44"/>
  <c r="V65" i="44"/>
  <c r="AG55" i="44"/>
  <c r="M50" i="44"/>
  <c r="M53" i="44"/>
  <c r="M85" i="44" s="1"/>
  <c r="M52" i="44"/>
  <c r="M68" i="44" s="1"/>
  <c r="M54" i="44"/>
  <c r="M51" i="44"/>
  <c r="T58" i="44"/>
  <c r="L63" i="44" a="1"/>
  <c r="L63" i="44" s="1"/>
  <c r="O59" i="44" a="1"/>
  <c r="O59" i="44" s="1"/>
  <c r="T62" i="44"/>
  <c r="AC65" i="44"/>
  <c r="AY7" i="44"/>
  <c r="O52" i="44"/>
  <c r="O68" i="44" s="1"/>
  <c r="O53" i="44"/>
  <c r="O85" i="44" s="1"/>
  <c r="O54" i="44"/>
  <c r="O50" i="44"/>
  <c r="O51" i="44"/>
  <c r="O63" i="44" a="1"/>
  <c r="O63" i="44" s="1"/>
  <c r="L59" i="44" a="1"/>
  <c r="L59" i="44" s="1"/>
  <c r="Q62" i="44"/>
  <c r="N59" i="44" a="1"/>
  <c r="N59" i="44" s="1"/>
  <c r="BG65" i="44"/>
  <c r="Z65" i="44"/>
  <c r="BJ55" i="44"/>
  <c r="AI55" i="44"/>
  <c r="H55" i="44"/>
  <c r="K55" i="44"/>
  <c r="R59" i="44" a="1"/>
  <c r="R59" i="44" s="1"/>
  <c r="N58" i="44"/>
  <c r="T63" i="44" a="1"/>
  <c r="T63" i="44" s="1"/>
  <c r="F65" i="44"/>
  <c r="AH65" i="44"/>
  <c r="BA7" i="44"/>
  <c r="Q52" i="44"/>
  <c r="Q68" i="44" s="1"/>
  <c r="Q53" i="44"/>
  <c r="Q85" i="44" s="1"/>
  <c r="Q50" i="44"/>
  <c r="Q54" i="44"/>
  <c r="Q51" i="44"/>
  <c r="G92" i="44"/>
  <c r="G109" i="44"/>
  <c r="G87" i="44"/>
  <c r="G110" i="44"/>
  <c r="G104" i="44"/>
  <c r="G105" i="44"/>
  <c r="G95" i="44"/>
  <c r="G89" i="44"/>
  <c r="G94" i="44"/>
  <c r="G102" i="44"/>
  <c r="G103" i="44"/>
  <c r="G100" i="44"/>
  <c r="G93" i="44"/>
  <c r="G107" i="44"/>
  <c r="G86" i="44"/>
  <c r="G88" i="44"/>
  <c r="G101" i="44"/>
  <c r="G108" i="44"/>
  <c r="G96" i="44"/>
  <c r="G98" i="44"/>
  <c r="G90" i="44"/>
  <c r="G106" i="44"/>
  <c r="G91" i="44"/>
  <c r="G99" i="44"/>
  <c r="G97" i="44"/>
  <c r="X55" i="44"/>
  <c r="AF55" i="44"/>
  <c r="R58" i="44"/>
  <c r="S62" i="44"/>
  <c r="P59" i="44" a="1"/>
  <c r="P59" i="44" s="1"/>
  <c r="AJ65" i="44"/>
  <c r="AX7" i="44"/>
  <c r="N51" i="44"/>
  <c r="N52" i="44"/>
  <c r="N68" i="44" s="1"/>
  <c r="N53" i="44"/>
  <c r="N85" i="44" s="1"/>
  <c r="N50" i="44"/>
  <c r="N54" i="44"/>
  <c r="I106" i="44"/>
  <c r="I87" i="44"/>
  <c r="I103" i="44"/>
  <c r="I93" i="44"/>
  <c r="I97" i="44"/>
  <c r="I91" i="44"/>
  <c r="I94" i="44"/>
  <c r="I98" i="44"/>
  <c r="I104" i="44"/>
  <c r="I102" i="44"/>
  <c r="I107" i="44"/>
  <c r="I110" i="44"/>
  <c r="I105" i="44"/>
  <c r="I99" i="44"/>
  <c r="I100" i="44"/>
  <c r="I88" i="44"/>
  <c r="I90" i="44"/>
  <c r="I95" i="44"/>
  <c r="I109" i="44"/>
  <c r="I96" i="44"/>
  <c r="I92" i="44"/>
  <c r="I101" i="44"/>
  <c r="I108" i="44"/>
  <c r="I86" i="44"/>
  <c r="I89" i="44"/>
  <c r="R53" i="44"/>
  <c r="R85" i="44" s="1"/>
  <c r="R52" i="44"/>
  <c r="R68" i="44" s="1"/>
  <c r="R54" i="44"/>
  <c r="R50" i="44"/>
  <c r="R51" i="44"/>
  <c r="O62" i="44"/>
  <c r="N63" i="44" a="1"/>
  <c r="N63" i="44" s="1"/>
  <c r="S50" i="44"/>
  <c r="S53" i="44"/>
  <c r="S85" i="44" s="1"/>
  <c r="S52" i="44"/>
  <c r="S68" i="44" s="1"/>
  <c r="S51" i="44"/>
  <c r="S71" i="44" s="1"/>
  <c r="S54" i="44"/>
  <c r="AD55" i="44"/>
  <c r="BE7" i="44"/>
  <c r="U54" i="44"/>
  <c r="U53" i="44"/>
  <c r="U85" i="44" s="1"/>
  <c r="U51" i="44"/>
  <c r="U52" i="44"/>
  <c r="U68" i="44" s="1"/>
  <c r="U50" i="44"/>
  <c r="H87" i="44"/>
  <c r="H107" i="44"/>
  <c r="H92" i="44"/>
  <c r="H97" i="44"/>
  <c r="H86" i="44"/>
  <c r="H105" i="44"/>
  <c r="H106" i="44"/>
  <c r="H90" i="44"/>
  <c r="H110" i="44"/>
  <c r="H101" i="44"/>
  <c r="H88" i="44"/>
  <c r="H99" i="44"/>
  <c r="H103" i="44"/>
  <c r="H96" i="44"/>
  <c r="H100" i="44"/>
  <c r="H94" i="44"/>
  <c r="H95" i="44"/>
  <c r="H98" i="44"/>
  <c r="H93" i="44"/>
  <c r="H109" i="44"/>
  <c r="H104" i="44"/>
  <c r="H108" i="44"/>
  <c r="H102" i="44"/>
  <c r="H91" i="44"/>
  <c r="H89" i="44"/>
  <c r="K91" i="44"/>
  <c r="K108" i="44"/>
  <c r="K88" i="44"/>
  <c r="K102" i="44"/>
  <c r="K86" i="44"/>
  <c r="K95" i="44"/>
  <c r="K104" i="44"/>
  <c r="K93" i="44"/>
  <c r="K110" i="44"/>
  <c r="K107" i="44"/>
  <c r="K97" i="44"/>
  <c r="K90" i="44"/>
  <c r="K101" i="44"/>
  <c r="K106" i="44"/>
  <c r="K100" i="44"/>
  <c r="K103" i="44"/>
  <c r="K96" i="44"/>
  <c r="K105" i="44"/>
  <c r="K92" i="44"/>
  <c r="K89" i="44"/>
  <c r="K94" i="44"/>
  <c r="K87" i="44"/>
  <c r="K99" i="44"/>
  <c r="K98" i="44"/>
  <c r="K109" i="44"/>
  <c r="O58" i="44"/>
  <c r="M58" i="44"/>
  <c r="M65" i="44" s="1"/>
  <c r="U59" i="44" a="1"/>
  <c r="U59" i="44" s="1"/>
  <c r="AJ55" i="44"/>
  <c r="J101" i="44"/>
  <c r="J93" i="44"/>
  <c r="J91" i="44"/>
  <c r="J87" i="44"/>
  <c r="J109" i="44"/>
  <c r="J99" i="44"/>
  <c r="J92" i="44"/>
  <c r="J100" i="44"/>
  <c r="J98" i="44"/>
  <c r="J105" i="44"/>
  <c r="J90" i="44"/>
  <c r="J95" i="44"/>
  <c r="J106" i="44"/>
  <c r="J88" i="44"/>
  <c r="J107" i="44"/>
  <c r="J110" i="44"/>
  <c r="J86" i="44"/>
  <c r="J96" i="44"/>
  <c r="J89" i="44"/>
  <c r="J103" i="44"/>
  <c r="J97" i="44"/>
  <c r="J108" i="44"/>
  <c r="J94" i="44"/>
  <c r="J102" i="44"/>
  <c r="J104" i="44"/>
  <c r="W55" i="44"/>
  <c r="S63" i="44" a="1"/>
  <c r="S63" i="44" s="1"/>
  <c r="L62" i="44"/>
  <c r="N62" i="44"/>
  <c r="U62" i="44"/>
  <c r="Q63" i="44" a="1"/>
  <c r="Q63" i="44" s="1"/>
  <c r="R63" i="44" a="1"/>
  <c r="R63" i="44" s="1"/>
  <c r="L58" i="44"/>
  <c r="AC55" i="44"/>
  <c r="BG55" i="44"/>
  <c r="Q65" i="44" l="1"/>
  <c r="R71" i="44"/>
  <c r="L71" i="44"/>
  <c r="U71" i="44"/>
  <c r="P71" i="44"/>
  <c r="M71" i="44"/>
  <c r="O71" i="44"/>
  <c r="N71" i="44"/>
  <c r="Q71" i="44"/>
  <c r="T71" i="44"/>
  <c r="S65" i="44"/>
  <c r="N65" i="44"/>
  <c r="P55" i="44"/>
  <c r="S55" i="44"/>
  <c r="U65" i="44"/>
  <c r="N55" i="44"/>
  <c r="R55" i="44"/>
  <c r="L55" i="44"/>
  <c r="M55" i="44"/>
  <c r="P65" i="44"/>
  <c r="Q55" i="44"/>
  <c r="T55" i="44"/>
  <c r="I112" i="44" a="1"/>
  <c r="I113" i="44" s="1"/>
  <c r="G112" i="44" a="1"/>
  <c r="G113" i="44" s="1"/>
  <c r="H112" i="44" a="1"/>
  <c r="H113" i="44" s="1"/>
  <c r="K112" i="44" a="1"/>
  <c r="K121" i="44" s="1"/>
  <c r="O55" i="44"/>
  <c r="J112" i="44" a="1"/>
  <c r="J129" i="44" s="1"/>
  <c r="U104" i="44"/>
  <c r="U93" i="44"/>
  <c r="U86" i="44"/>
  <c r="U103" i="44"/>
  <c r="U95" i="44"/>
  <c r="U106" i="44"/>
  <c r="U105" i="44"/>
  <c r="U90" i="44"/>
  <c r="U92" i="44"/>
  <c r="U107" i="44"/>
  <c r="U97" i="44"/>
  <c r="U102" i="44"/>
  <c r="U99" i="44"/>
  <c r="U108" i="44"/>
  <c r="U94" i="44"/>
  <c r="U101" i="44"/>
  <c r="U110" i="44"/>
  <c r="U109" i="44"/>
  <c r="U91" i="44"/>
  <c r="U96" i="44"/>
  <c r="U87" i="44"/>
  <c r="U100" i="44"/>
  <c r="U88" i="44"/>
  <c r="U98" i="44"/>
  <c r="U89" i="44"/>
  <c r="U55" i="44"/>
  <c r="Q107" i="44"/>
  <c r="Q104" i="44"/>
  <c r="Q109" i="44"/>
  <c r="Q110" i="44"/>
  <c r="Q87" i="44"/>
  <c r="Q98" i="44"/>
  <c r="Q88" i="44"/>
  <c r="Q99" i="44"/>
  <c r="Q101" i="44"/>
  <c r="Q89" i="44"/>
  <c r="Q102" i="44"/>
  <c r="Q108" i="44"/>
  <c r="Q90" i="44"/>
  <c r="Q100" i="44"/>
  <c r="Q93" i="44"/>
  <c r="Q105" i="44"/>
  <c r="Q86" i="44"/>
  <c r="Q91" i="44"/>
  <c r="Q95" i="44"/>
  <c r="Q96" i="44"/>
  <c r="Q103" i="44"/>
  <c r="Q94" i="44"/>
  <c r="Q97" i="44"/>
  <c r="Q92" i="44"/>
  <c r="Q106" i="44"/>
  <c r="T65" i="44"/>
  <c r="R65" i="44"/>
  <c r="R100" i="44"/>
  <c r="R87" i="44"/>
  <c r="R99" i="44"/>
  <c r="R95" i="44"/>
  <c r="R107" i="44"/>
  <c r="R93" i="44"/>
  <c r="R91" i="44"/>
  <c r="R90" i="44"/>
  <c r="R106" i="44"/>
  <c r="R110" i="44"/>
  <c r="R103" i="44"/>
  <c r="R96" i="44"/>
  <c r="R109" i="44"/>
  <c r="R98" i="44"/>
  <c r="R92" i="44"/>
  <c r="R88" i="44"/>
  <c r="R97" i="44"/>
  <c r="R94" i="44"/>
  <c r="R108" i="44"/>
  <c r="R102" i="44"/>
  <c r="R105" i="44"/>
  <c r="R101" i="44"/>
  <c r="R86" i="44"/>
  <c r="R104" i="44"/>
  <c r="R89" i="44"/>
  <c r="S102" i="44"/>
  <c r="S97" i="44"/>
  <c r="S91" i="44"/>
  <c r="S89" i="44"/>
  <c r="S93" i="44"/>
  <c r="S109" i="44"/>
  <c r="S110" i="44"/>
  <c r="S98" i="44"/>
  <c r="S101" i="44"/>
  <c r="S94" i="44"/>
  <c r="S100" i="44"/>
  <c r="S95" i="44"/>
  <c r="S90" i="44"/>
  <c r="S104" i="44"/>
  <c r="S86" i="44"/>
  <c r="S106" i="44"/>
  <c r="S88" i="44"/>
  <c r="S92" i="44"/>
  <c r="S107" i="44"/>
  <c r="S96" i="44"/>
  <c r="S99" i="44"/>
  <c r="S108" i="44"/>
  <c r="S103" i="44"/>
  <c r="S87" i="44"/>
  <c r="S105" i="44"/>
  <c r="P92" i="44"/>
  <c r="P110" i="44"/>
  <c r="P106" i="44"/>
  <c r="P104" i="44"/>
  <c r="P101" i="44"/>
  <c r="P86" i="44"/>
  <c r="P94" i="44"/>
  <c r="P105" i="44"/>
  <c r="P102" i="44"/>
  <c r="P91" i="44"/>
  <c r="P109" i="44"/>
  <c r="P95" i="44"/>
  <c r="P88" i="44"/>
  <c r="P89" i="44"/>
  <c r="P93" i="44"/>
  <c r="P103" i="44"/>
  <c r="P90" i="44"/>
  <c r="P87" i="44"/>
  <c r="P107" i="44"/>
  <c r="P96" i="44"/>
  <c r="P108" i="44"/>
  <c r="P97" i="44"/>
  <c r="P99" i="44"/>
  <c r="P100" i="44"/>
  <c r="P98" i="44"/>
  <c r="L65" i="44"/>
  <c r="L105" i="44"/>
  <c r="L102" i="44"/>
  <c r="L92" i="44"/>
  <c r="L106" i="44"/>
  <c r="L110" i="44"/>
  <c r="L98" i="44"/>
  <c r="L97" i="44"/>
  <c r="L107" i="44"/>
  <c r="L108" i="44"/>
  <c r="L103" i="44"/>
  <c r="L86" i="44"/>
  <c r="L95" i="44"/>
  <c r="L96" i="44"/>
  <c r="L104" i="44"/>
  <c r="L99" i="44"/>
  <c r="L90" i="44"/>
  <c r="L100" i="44"/>
  <c r="L93" i="44"/>
  <c r="L88" i="44"/>
  <c r="L94" i="44"/>
  <c r="L91" i="44"/>
  <c r="L89" i="44"/>
  <c r="L109" i="44"/>
  <c r="L87" i="44"/>
  <c r="L101" i="44"/>
  <c r="M90" i="44"/>
  <c r="M106" i="44"/>
  <c r="M99" i="44"/>
  <c r="M100" i="44"/>
  <c r="M107" i="44"/>
  <c r="M109" i="44"/>
  <c r="M110" i="44"/>
  <c r="M93" i="44"/>
  <c r="M103" i="44"/>
  <c r="M101" i="44"/>
  <c r="M94" i="44"/>
  <c r="M108" i="44"/>
  <c r="M97" i="44"/>
  <c r="M95" i="44"/>
  <c r="M88" i="44"/>
  <c r="M98" i="44"/>
  <c r="M87" i="44"/>
  <c r="M89" i="44"/>
  <c r="M96" i="44"/>
  <c r="M104" i="44"/>
  <c r="M92" i="44"/>
  <c r="M86" i="44"/>
  <c r="M91" i="44"/>
  <c r="M102" i="44"/>
  <c r="M105" i="44"/>
  <c r="T87" i="44"/>
  <c r="T108" i="44"/>
  <c r="T91" i="44"/>
  <c r="T94" i="44"/>
  <c r="T107" i="44"/>
  <c r="T93" i="44"/>
  <c r="T100" i="44"/>
  <c r="T96" i="44"/>
  <c r="T106" i="44"/>
  <c r="T92" i="44"/>
  <c r="T99" i="44"/>
  <c r="T103" i="44"/>
  <c r="T109" i="44"/>
  <c r="T105" i="44"/>
  <c r="T98" i="44"/>
  <c r="T95" i="44"/>
  <c r="T97" i="44"/>
  <c r="T104" i="44"/>
  <c r="T110" i="44"/>
  <c r="T102" i="44"/>
  <c r="T89" i="44"/>
  <c r="T90" i="44"/>
  <c r="T101" i="44"/>
  <c r="T86" i="44"/>
  <c r="T88" i="44"/>
  <c r="O65" i="44"/>
  <c r="N105" i="44"/>
  <c r="N101" i="44"/>
  <c r="N98" i="44"/>
  <c r="N104" i="44"/>
  <c r="N89" i="44"/>
  <c r="N106" i="44"/>
  <c r="N87" i="44"/>
  <c r="N107" i="44"/>
  <c r="N97" i="44"/>
  <c r="N102" i="44"/>
  <c r="N100" i="44"/>
  <c r="N103" i="44"/>
  <c r="N99" i="44"/>
  <c r="N92" i="44"/>
  <c r="N109" i="44"/>
  <c r="N110" i="44"/>
  <c r="N95" i="44"/>
  <c r="N96" i="44"/>
  <c r="N108" i="44"/>
  <c r="N86" i="44"/>
  <c r="N93" i="44"/>
  <c r="N88" i="44"/>
  <c r="N91" i="44"/>
  <c r="N90" i="44"/>
  <c r="N94" i="44"/>
  <c r="O93" i="44"/>
  <c r="O91" i="44"/>
  <c r="O107" i="44"/>
  <c r="O103" i="44"/>
  <c r="O94" i="44"/>
  <c r="O100" i="44"/>
  <c r="O90" i="44"/>
  <c r="O88" i="44"/>
  <c r="O96" i="44"/>
  <c r="O97" i="44"/>
  <c r="O109" i="44"/>
  <c r="O87" i="44"/>
  <c r="O92" i="44"/>
  <c r="O99" i="44"/>
  <c r="O102" i="44"/>
  <c r="O95" i="44"/>
  <c r="O101" i="44"/>
  <c r="O98" i="44"/>
  <c r="O110" i="44"/>
  <c r="O105" i="44"/>
  <c r="O106" i="44"/>
  <c r="O104" i="44"/>
  <c r="O86" i="44"/>
  <c r="O108" i="44"/>
  <c r="O89" i="44"/>
  <c r="I122" i="44" l="1"/>
  <c r="J134" i="44"/>
  <c r="J137" i="44"/>
  <c r="H138" i="44"/>
  <c r="H134" i="44"/>
  <c r="K128" i="44"/>
  <c r="K123" i="44"/>
  <c r="K122" i="44"/>
  <c r="H129" i="44"/>
  <c r="J117" i="44"/>
  <c r="H114" i="44"/>
  <c r="H125" i="44"/>
  <c r="J132" i="44"/>
  <c r="H124" i="44"/>
  <c r="H128" i="44"/>
  <c r="H117" i="44"/>
  <c r="K132" i="44"/>
  <c r="G121" i="44"/>
  <c r="J126" i="44"/>
  <c r="H136" i="44"/>
  <c r="K117" i="44"/>
  <c r="H112" i="44"/>
  <c r="H127" i="44"/>
  <c r="H133" i="44"/>
  <c r="J113" i="44"/>
  <c r="H131" i="44"/>
  <c r="I138" i="44"/>
  <c r="K124" i="44"/>
  <c r="G137" i="44"/>
  <c r="I120" i="44"/>
  <c r="I129" i="44"/>
  <c r="J125" i="44"/>
  <c r="K119" i="44"/>
  <c r="H120" i="44"/>
  <c r="G118" i="44"/>
  <c r="I118" i="44"/>
  <c r="I127" i="44"/>
  <c r="K126" i="44"/>
  <c r="G133" i="44"/>
  <c r="I117" i="44"/>
  <c r="K118" i="44"/>
  <c r="G124" i="44"/>
  <c r="I115" i="44"/>
  <c r="K134" i="44"/>
  <c r="G119" i="44"/>
  <c r="I131" i="44"/>
  <c r="J124" i="44"/>
  <c r="K113" i="44"/>
  <c r="G130" i="44"/>
  <c r="I125" i="44"/>
  <c r="G128" i="44"/>
  <c r="G120" i="44"/>
  <c r="I134" i="44"/>
  <c r="K129" i="44"/>
  <c r="G125" i="44"/>
  <c r="I128" i="44"/>
  <c r="K125" i="44"/>
  <c r="G123" i="44"/>
  <c r="I112" i="44"/>
  <c r="I137" i="44"/>
  <c r="T112" i="44" a="1"/>
  <c r="T112" i="44" s="1"/>
  <c r="K137" i="44"/>
  <c r="G129" i="44"/>
  <c r="I130" i="44"/>
  <c r="I135" i="44"/>
  <c r="J133" i="44"/>
  <c r="J127" i="44"/>
  <c r="K130" i="44"/>
  <c r="K135" i="44"/>
  <c r="H126" i="44"/>
  <c r="H132" i="44"/>
  <c r="G127" i="44"/>
  <c r="G115" i="44"/>
  <c r="G114" i="44"/>
  <c r="I126" i="44"/>
  <c r="I121" i="44"/>
  <c r="J120" i="44"/>
  <c r="J121" i="44"/>
  <c r="J115" i="44"/>
  <c r="K127" i="44"/>
  <c r="K133" i="44"/>
  <c r="H123" i="44"/>
  <c r="H137" i="44"/>
  <c r="G117" i="44"/>
  <c r="G131" i="44"/>
  <c r="I132" i="44"/>
  <c r="I124" i="44"/>
  <c r="I119" i="44"/>
  <c r="S112" i="44" a="1"/>
  <c r="S135" i="44" s="1"/>
  <c r="O112" i="44" a="1"/>
  <c r="O117" i="44" s="1"/>
  <c r="N112" i="44" a="1"/>
  <c r="N135" i="44" s="1"/>
  <c r="L112" i="44" a="1"/>
  <c r="L114" i="44" s="1"/>
  <c r="J130" i="44"/>
  <c r="J114" i="44"/>
  <c r="K115" i="44"/>
  <c r="K131" i="44"/>
  <c r="K120" i="44"/>
  <c r="H130" i="44"/>
  <c r="H118" i="44"/>
  <c r="G126" i="44"/>
  <c r="G134" i="44"/>
  <c r="I114" i="44"/>
  <c r="I116" i="44"/>
  <c r="Q112" i="44" a="1"/>
  <c r="Q130" i="44" s="1"/>
  <c r="J118" i="44"/>
  <c r="J136" i="44"/>
  <c r="J123" i="44"/>
  <c r="J122" i="44"/>
  <c r="P112" i="44" a="1"/>
  <c r="P137" i="44" s="1"/>
  <c r="R112" i="44" a="1"/>
  <c r="R127" i="44" s="1"/>
  <c r="J138" i="44"/>
  <c r="J116" i="44"/>
  <c r="J131" i="44"/>
  <c r="J135" i="44"/>
  <c r="K114" i="44"/>
  <c r="K138" i="44"/>
  <c r="H119" i="44"/>
  <c r="H116" i="44"/>
  <c r="H135" i="44"/>
  <c r="G112" i="44"/>
  <c r="G132" i="44"/>
  <c r="M112" i="44" a="1"/>
  <c r="M133" i="44" s="1"/>
  <c r="U112" i="44" a="1"/>
  <c r="U120" i="44" s="1"/>
  <c r="J128" i="44"/>
  <c r="J112" i="44"/>
  <c r="K116" i="44"/>
  <c r="K112" i="44"/>
  <c r="H121" i="44"/>
  <c r="H115" i="44"/>
  <c r="G135" i="44"/>
  <c r="G138" i="44"/>
  <c r="G136" i="44"/>
  <c r="I136" i="44"/>
  <c r="I133" i="44"/>
  <c r="J119" i="44"/>
  <c r="K136" i="44"/>
  <c r="H122" i="44"/>
  <c r="G122" i="44"/>
  <c r="G116" i="44"/>
  <c r="I123" i="44"/>
  <c r="T113" i="44" l="1"/>
  <c r="T137" i="44"/>
  <c r="T121" i="44"/>
  <c r="T115" i="44"/>
  <c r="T129" i="44"/>
  <c r="T135" i="44"/>
  <c r="S116" i="44"/>
  <c r="S138" i="44"/>
  <c r="T125" i="44"/>
  <c r="T128" i="44"/>
  <c r="T119" i="44"/>
  <c r="T126" i="44"/>
  <c r="T118" i="44"/>
  <c r="T136" i="44"/>
  <c r="S125" i="44"/>
  <c r="O129" i="44"/>
  <c r="P114" i="44"/>
  <c r="T122" i="44"/>
  <c r="P125" i="44"/>
  <c r="L126" i="44"/>
  <c r="L118" i="44"/>
  <c r="N126" i="44"/>
  <c r="O133" i="44"/>
  <c r="O122" i="44"/>
  <c r="O114" i="44"/>
  <c r="S128" i="44"/>
  <c r="Q138" i="44"/>
  <c r="L122" i="44"/>
  <c r="L120" i="44"/>
  <c r="N136" i="44"/>
  <c r="O126" i="44"/>
  <c r="O121" i="44"/>
  <c r="T124" i="44"/>
  <c r="T133" i="44"/>
  <c r="S119" i="44"/>
  <c r="Q127" i="44"/>
  <c r="L134" i="44"/>
  <c r="L130" i="44"/>
  <c r="N137" i="44"/>
  <c r="O113" i="44"/>
  <c r="O136" i="44"/>
  <c r="T130" i="44"/>
  <c r="T114" i="44"/>
  <c r="S122" i="44"/>
  <c r="Q131" i="44"/>
  <c r="L125" i="44"/>
  <c r="L113" i="44"/>
  <c r="N127" i="44"/>
  <c r="N133" i="44"/>
  <c r="O125" i="44"/>
  <c r="Q119" i="44"/>
  <c r="L117" i="44"/>
  <c r="O120" i="44"/>
  <c r="Q124" i="44"/>
  <c r="L112" i="44"/>
  <c r="Q128" i="44"/>
  <c r="O135" i="44"/>
  <c r="L132" i="44"/>
  <c r="O131" i="44"/>
  <c r="Q133" i="44"/>
  <c r="N122" i="44"/>
  <c r="N131" i="44"/>
  <c r="O112" i="44"/>
  <c r="Q125" i="44"/>
  <c r="Q117" i="44"/>
  <c r="L135" i="44"/>
  <c r="N116" i="44"/>
  <c r="O134" i="44"/>
  <c r="L127" i="44"/>
  <c r="Q126" i="44"/>
  <c r="L136" i="44"/>
  <c r="O118" i="44"/>
  <c r="T117" i="44"/>
  <c r="T134" i="44"/>
  <c r="T116" i="44"/>
  <c r="Q118" i="44"/>
  <c r="P122" i="44"/>
  <c r="L121" i="44"/>
  <c r="L115" i="44"/>
  <c r="N118" i="44"/>
  <c r="O123" i="44"/>
  <c r="T138" i="44"/>
  <c r="T120" i="44"/>
  <c r="T131" i="44"/>
  <c r="Q123" i="44"/>
  <c r="P136" i="44"/>
  <c r="L128" i="44"/>
  <c r="L123" i="44"/>
  <c r="N121" i="44"/>
  <c r="O130" i="44"/>
  <c r="T127" i="44"/>
  <c r="T123" i="44"/>
  <c r="S114" i="44"/>
  <c r="Q112" i="44"/>
  <c r="P135" i="44"/>
  <c r="L133" i="44"/>
  <c r="N117" i="44"/>
  <c r="N124" i="44"/>
  <c r="O115" i="44"/>
  <c r="T132" i="44"/>
  <c r="S113" i="44"/>
  <c r="Q129" i="44"/>
  <c r="P112" i="44"/>
  <c r="L131" i="44"/>
  <c r="N123" i="44"/>
  <c r="N115" i="44"/>
  <c r="O137" i="44"/>
  <c r="M137" i="44"/>
  <c r="U118" i="44"/>
  <c r="R137" i="44"/>
  <c r="U113" i="44"/>
  <c r="M123" i="44"/>
  <c r="M118" i="44"/>
  <c r="M117" i="44"/>
  <c r="U126" i="44"/>
  <c r="P138" i="44"/>
  <c r="P116" i="44"/>
  <c r="R120" i="44"/>
  <c r="R130" i="44"/>
  <c r="R131" i="44"/>
  <c r="S123" i="44"/>
  <c r="S133" i="44"/>
  <c r="M128" i="44"/>
  <c r="M125" i="44"/>
  <c r="M124" i="44"/>
  <c r="Q115" i="44"/>
  <c r="Q121" i="44"/>
  <c r="U127" i="44"/>
  <c r="U132" i="44"/>
  <c r="P113" i="44"/>
  <c r="P129" i="44"/>
  <c r="R117" i="44"/>
  <c r="R128" i="44"/>
  <c r="R121" i="44"/>
  <c r="N138" i="44"/>
  <c r="N113" i="44"/>
  <c r="M115" i="44"/>
  <c r="M135" i="44"/>
  <c r="U116" i="44"/>
  <c r="U137" i="44"/>
  <c r="R112" i="44"/>
  <c r="R118" i="44"/>
  <c r="O116" i="44"/>
  <c r="O132" i="44"/>
  <c r="O127" i="44"/>
  <c r="S134" i="44"/>
  <c r="S130" i="44"/>
  <c r="M120" i="44"/>
  <c r="M114" i="44"/>
  <c r="Q132" i="44"/>
  <c r="Q135" i="44"/>
  <c r="Q136" i="44"/>
  <c r="U115" i="44"/>
  <c r="U130" i="44"/>
  <c r="P120" i="44"/>
  <c r="P131" i="44"/>
  <c r="R135" i="44"/>
  <c r="R133" i="44"/>
  <c r="L138" i="44"/>
  <c r="L116" i="44"/>
  <c r="L137" i="44"/>
  <c r="N119" i="44"/>
  <c r="N128" i="44"/>
  <c r="M129" i="44"/>
  <c r="M132" i="44"/>
  <c r="U125" i="44"/>
  <c r="U114" i="44"/>
  <c r="R114" i="44"/>
  <c r="R132" i="44"/>
  <c r="R119" i="44"/>
  <c r="M126" i="44"/>
  <c r="U128" i="44"/>
  <c r="R138" i="44"/>
  <c r="O124" i="44"/>
  <c r="S132" i="44"/>
  <c r="S118" i="44"/>
  <c r="M112" i="44"/>
  <c r="M136" i="44"/>
  <c r="Q113" i="44"/>
  <c r="Q134" i="44"/>
  <c r="U133" i="44"/>
  <c r="U121" i="44"/>
  <c r="U122" i="44"/>
  <c r="P126" i="44"/>
  <c r="P134" i="44"/>
  <c r="R116" i="44"/>
  <c r="R115" i="44"/>
  <c r="N132" i="44"/>
  <c r="N112" i="44"/>
  <c r="N134" i="44"/>
  <c r="O128" i="44"/>
  <c r="O119" i="44"/>
  <c r="S136" i="44"/>
  <c r="S131" i="44"/>
  <c r="M116" i="44"/>
  <c r="M134" i="44"/>
  <c r="Q116" i="44"/>
  <c r="Q114" i="44"/>
  <c r="U123" i="44"/>
  <c r="U124" i="44"/>
  <c r="U119" i="44"/>
  <c r="P133" i="44"/>
  <c r="P124" i="44"/>
  <c r="R122" i="44"/>
  <c r="R125" i="44"/>
  <c r="L119" i="44"/>
  <c r="L129" i="44"/>
  <c r="N125" i="44"/>
  <c r="N120" i="44"/>
  <c r="N114" i="44"/>
  <c r="O138" i="44"/>
  <c r="S121" i="44"/>
  <c r="S117" i="44"/>
  <c r="M113" i="44"/>
  <c r="M127" i="44"/>
  <c r="Q137" i="44"/>
  <c r="Q120" i="44"/>
  <c r="U117" i="44"/>
  <c r="U138" i="44"/>
  <c r="U131" i="44"/>
  <c r="P127" i="44"/>
  <c r="P123" i="44"/>
  <c r="R136" i="44"/>
  <c r="R113" i="44"/>
  <c r="L124" i="44"/>
  <c r="N129" i="44"/>
  <c r="N130" i="44"/>
  <c r="M119" i="44"/>
  <c r="S126" i="44"/>
  <c r="S120" i="44"/>
  <c r="S127" i="44"/>
  <c r="M122" i="44"/>
  <c r="M138" i="44"/>
  <c r="U134" i="44"/>
  <c r="U112" i="44"/>
  <c r="P118" i="44"/>
  <c r="P121" i="44"/>
  <c r="P128" i="44"/>
  <c r="R129" i="44"/>
  <c r="R134" i="44"/>
  <c r="S124" i="44"/>
  <c r="S137" i="44"/>
  <c r="S112" i="44"/>
  <c r="M130" i="44"/>
  <c r="M121" i="44"/>
  <c r="Q122" i="44"/>
  <c r="U135" i="44"/>
  <c r="U136" i="44"/>
  <c r="P132" i="44"/>
  <c r="P115" i="44"/>
  <c r="P117" i="44"/>
  <c r="R126" i="44"/>
  <c r="R123" i="44"/>
  <c r="S115" i="44"/>
  <c r="S129" i="44"/>
  <c r="M131" i="44"/>
  <c r="U129" i="44"/>
  <c r="P130" i="44"/>
  <c r="P119" i="44"/>
  <c r="R124" i="4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C06186C-E803-4D9C-BF85-86514CD46A06}" name="BallPlateGen5_Fixture_P509-east-DC-1_1-20211207T040041" type="6" refreshedVersion="6" background="1" saveData="1">
    <textPr prompt="0" codePage="850" sourceFile="C:\Users\lgutkows\OneDrive - HP Inc\Laptop\D\CMM\Axiom\Gen 5 Inspection\Gen5 Inspection\P509_remount_20211207\Reports\BallPlateGen5_Fixture_P509-east-DC-1_1-20211207T040041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7BE799D1-75FA-4D6D-AE06-3875E815BEA8}" name="BallPlateGen5_Fixture_P509-east-DC-1_1-20211207T044500" type="6" refreshedVersion="6" background="1" saveData="1">
    <textPr prompt="0" codePage="850" sourceFile="C:\Users\lgutkows\OneDrive - HP Inc\Laptop\D\CMM\Axiom\Gen 5 Inspection\Gen5 Inspection\P509_remount_20211207\Reports\BallPlateGen5_Fixture_P509-east-DC-1_1-20211207T044500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F66A59C4-E1BA-4589-8960-06FCD35E1DD0}" name="BallPlateGen5_Fixture_P509-east-DC-1_1-20211207T052902" type="6" refreshedVersion="6" background="1" saveData="1">
    <textPr prompt="0" codePage="850" sourceFile="C:\Users\lgutkows\OneDrive - HP Inc\Laptop\D\CMM\Axiom\Gen 5 Inspection\Gen5 Inspection\P509_remount_20211207\Reports\BallPlateGen5_Fixture_P509-east-DC-1_1-20211207T052902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DD50DA0-D5F7-4FFE-88C0-2455F59974FF}" name="BallPlateGen5_Fixture_P509-east-DC-1_2-20211207T040408" type="6" refreshedVersion="6" background="1" saveData="1">
    <textPr prompt="0" codePage="850" sourceFile="C:\Users\lgutkows\OneDrive - HP Inc\Laptop\D\CMM\Axiom\Gen 5 Inspection\Gen5 Inspection\P509_remount_20211207\Reports\BallPlateGen5_Fixture_P509-east-DC-1_2-20211207T040408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37FABEDC-B944-4F0A-AA05-55E9285071E4}" name="BallPlateGen5_Fixture_P509-east-DC-1_2-20211207T044826" type="6" refreshedVersion="6" background="1" saveData="1">
    <textPr prompt="0" codePage="850" sourceFile="C:\Users\lgutkows\OneDrive - HP Inc\Laptop\D\CMM\Axiom\Gen 5 Inspection\Gen5 Inspection\P509_remount_20211207\Reports\BallPlateGen5_Fixture_P509-east-DC-1_2-20211207T044826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9C119F7B-28A2-44D5-809D-445817B80E10}" name="BallPlateGen5_Fixture_P509-east-DC-1_2-20211207T053228" type="6" refreshedVersion="6" background="1" saveData="1">
    <textPr prompt="0" codePage="850" sourceFile="C:\Users\lgutkows\OneDrive - HP Inc\Laptop\D\CMM\Axiom\Gen 5 Inspection\Gen5 Inspection\P509_remount_20211207\Reports\BallPlateGen5_Fixture_P509-east-DC-1_2-20211207T053228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xr16:uid="{AF437401-A6A9-438D-B0BC-0CBCC99511A2}" name="BallPlateGen5_Fixture_P509-east-DC-1_3-20211207T040734" type="6" refreshedVersion="6" background="1" saveData="1">
    <textPr prompt="0" codePage="850" sourceFile="C:\Users\lgutkows\OneDrive - HP Inc\Laptop\D\CMM\Axiom\Gen 5 Inspection\Gen5 Inspection\P509_remount_20211207\Reports\BallPlateGen5_Fixture_P509-east-DC-1_3-20211207T040734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xr16:uid="{162EB770-189B-4DC0-8DDC-0E683632B863}" name="BallPlateGen5_Fixture_P509-east-DC-1_3-20211207T045153" type="6" refreshedVersion="6" background="1" saveData="1">
    <textPr prompt="0" codePage="850" sourceFile="C:\Users\lgutkows\OneDrive - HP Inc\Laptop\D\CMM\Axiom\Gen 5 Inspection\Gen5 Inspection\P509_remount_20211207\Reports\BallPlateGen5_Fixture_P509-east-DC-1_3-20211207T045153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xr16:uid="{C60A52BF-54AA-4CA1-AEBB-CC603329B0A6}" name="BallPlateGen5_Fixture_P509-east-DC-1_3-20211207T053554" type="6" refreshedVersion="6" background="1" saveData="1">
    <textPr prompt="0" codePage="850" sourceFile="C:\Users\lgutkows\OneDrive - HP Inc\Laptop\D\CMM\Axiom\Gen 5 Inspection\Gen5 Inspection\P509_remount_20211207\Reports\BallPlateGen5_Fixture_P509-east-DC-1_3-20211207T053554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xr16:uid="{AB549CED-B33B-446B-88B8-9BDAA71BC002}" name="BallPlateGen5_Fixture_P509-east-DC-1_4-20211207T041100" type="6" refreshedVersion="6" background="1" saveData="1">
    <textPr prompt="0" codePage="850" sourceFile="C:\Users\lgutkows\OneDrive - HP Inc\Laptop\D\CMM\Axiom\Gen 5 Inspection\Gen5 Inspection\P509_remount_20211207\Reports\BallPlateGen5_Fixture_P509-east-DC-1_4-20211207T041100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xr16:uid="{C4A5E3EA-ECB3-4F8F-AFB6-149AE3D670B6}" name="BallPlateGen5_Fixture_P509-east-DC-1_4-20211207T045518" type="6" refreshedVersion="6" background="1" saveData="1">
    <textPr prompt="0" codePage="850" sourceFile="C:\Users\lgutkows\OneDrive - HP Inc\Laptop\D\CMM\Axiom\Gen 5 Inspection\Gen5 Inspection\P509_remount_20211207\Reports\BallPlateGen5_Fixture_P509-east-DC-1_4-20211207T045518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xr16:uid="{FE625A70-302A-4F01-B7C2-D1B560023DC8}" name="BallPlateGen5_Fixture_P509-east-DC-1_4-20211207T053919" type="6" refreshedVersion="6" background="1" saveData="1">
    <textPr prompt="0" codePage="850" sourceFile="C:\Users\lgutkows\OneDrive - HP Inc\Laptop\D\CMM\Axiom\Gen 5 Inspection\Gen5 Inspection\P509_remount_20211207\Reports\BallPlateGen5_Fixture_P509-east-DC-1_4-20211207T053919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xr16:uid="{BF090AAD-E1B0-4C5C-AED7-0C358F372CD3}" name="BallPlateGen5_Fixture_P509-east-DC-1_5-20211207T041427" type="6" refreshedVersion="6" background="1" saveData="1">
    <textPr prompt="0" codePage="850" sourceFile="C:\Users\lgutkows\OneDrive - HP Inc\Laptop\D\CMM\Axiom\Gen 5 Inspection\Gen5 Inspection\P509_remount_20211207\Reports\BallPlateGen5_Fixture_P509-east-DC-1_5-20211207T041427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xr16:uid="{63548418-B46B-4EFA-BC07-7B3209B50DF9}" name="BallPlateGen5_Fixture_P509-east-DC-1_5-20211207T045844" type="6" refreshedVersion="6" background="1" saveData="1">
    <textPr prompt="0" codePage="850" sourceFile="C:\Users\lgutkows\OneDrive - HP Inc\Laptop\D\CMM\Axiom\Gen 5 Inspection\Gen5 Inspection\P509_remount_20211207\Reports\BallPlateGen5_Fixture_P509-east-DC-1_5-20211207T045844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xr16:uid="{FFB49DCF-72B1-4E12-8399-35F1F76C2D9C}" name="BallPlateGen5_Fixture_P509-east-DC-1_5-20211207T054245" type="6" refreshedVersion="6" background="1" saveData="1">
    <textPr prompt="0" codePage="850" sourceFile="C:\Users\lgutkows\OneDrive - HP Inc\Laptop\D\CMM\Axiom\Gen 5 Inspection\Gen5 Inspection\P509_remount_20211207\Reports\BallPlateGen5_Fixture_P509-east-DC-1_5-20211207T054245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xr16:uid="{4D51711F-5F0D-421B-9679-EEF8C898C87F}" name="BallPlateGen5_Fixture_P509-east-DC-1_6-20211207T041753" type="6" refreshedVersion="6" background="1" saveData="1">
    <textPr prompt="0" codePage="850" sourceFile="C:\Users\lgutkows\OneDrive - HP Inc\Laptop\D\CMM\Axiom\Gen 5 Inspection\Gen5 Inspection\P509_remount_20211207\Reports\BallPlateGen5_Fixture_P509-east-DC-1_6-20211207T041753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xr16:uid="{0B19FD68-2EDA-4D0D-BDA8-D9FFDF588008}" name="BallPlateGen5_Fixture_P509-east-DC-1_6-20211207T050210" type="6" refreshedVersion="6" background="1" saveData="1">
    <textPr prompt="0" codePage="850" sourceFile="C:\Users\lgutkows\OneDrive - HP Inc\Laptop\D\CMM\Axiom\Gen 5 Inspection\Gen5 Inspection\P509_remount_20211207\Reports\BallPlateGen5_Fixture_P509-east-DC-1_6-20211207T050210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xr16:uid="{1A4BDB9A-0A77-49B3-9230-FC384EEBEB7D}" name="BallPlateGen5_Fixture_P509-east-DC-1_6-20211207T054610" type="6" refreshedVersion="6" background="1" saveData="1">
    <textPr prompt="0" codePage="850" sourceFile="C:\Users\lgutkows\OneDrive - HP Inc\Laptop\D\CMM\Axiom\Gen 5 Inspection\Gen5 Inspection\P509_remount_20211207\Reports\BallPlateGen5_Fixture_P509-east-DC-1_6-20211207T054610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xr16:uid="{6B0A0BED-CAA5-47E7-8C96-F4441A2AAACC}" name="BallPlateGen5_Fixture_P509-south-DC-1_1-20211207T033804" type="6" refreshedVersion="6" background="1" saveData="1">
    <textPr prompt="0" codePage="850" sourceFile="C:\Users\lgutkows\OneDrive - HP Inc\Laptop\D\CMM\Axiom\Gen 5 Inspection\Gen5 Inspection\P509_remount_20211207\Reports\BallPlateGen5_Fixture_P509-south-DC-1_1-20211207T033804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" xr16:uid="{23228ABC-6A61-448F-90EC-989C91BF9C52}" name="BallPlateGen5_Fixture_P509-south-DC-1_1-20211207T042306" type="6" refreshedVersion="6" background="1" saveData="1">
    <textPr prompt="0" codePage="850" sourceFile="C:\Users\lgutkows\OneDrive - HP Inc\Laptop\D\CMM\Axiom\Gen 5 Inspection\Gen5 Inspection\P509_remount_20211207\Reports\BallPlateGen5_Fixture_P509-south-DC-1_1-20211207T042306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xr16:uid="{2BC53937-A2CB-4036-B65B-940322691350}" name="BallPlateGen5_Fixture_P509-south-DC-1_1-20211207T050704" type="6" refreshedVersion="6" background="1" saveData="1">
    <textPr prompt="0" codePage="850" sourceFile="C:\Users\lgutkows\OneDrive - HP Inc\Laptop\D\CMM\Axiom\Gen 5 Inspection\Gen5 Inspection\P509_remount_20211207\Reports\BallPlateGen5_Fixture_P509-south-DC-1_1-20211207T050704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xr16:uid="{AEB8D509-DBE5-47D8-851C-70225EB1695E}" name="BallPlateGen5_Fixture_P509-south-DC-1_2-20211207T034130" type="6" refreshedVersion="6" background="1" saveData="1">
    <textPr prompt="0" codePage="850" sourceFile="C:\Users\lgutkows\OneDrive - HP Inc\Laptop\D\CMM\Axiom\Gen 5 Inspection\Gen5 Inspection\P509_remount_20211207\Reports\BallPlateGen5_Fixture_P509-south-DC-1_2-20211207T034130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xr16:uid="{BEFD6A60-E835-40DB-A009-FC2F446EC085}" name="BallPlateGen5_Fixture_P509-south-DC-1_2-20211207T042632" type="6" refreshedVersion="6" background="1" saveData="1">
    <textPr prompt="0" codePage="850" sourceFile="C:\Users\lgutkows\OneDrive - HP Inc\Laptop\D\CMM\Axiom\Gen 5 Inspection\Gen5 Inspection\P509_remount_20211207\Reports\BallPlateGen5_Fixture_P509-south-DC-1_2-20211207T042632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xr16:uid="{74EAF4AD-82F0-421B-9469-ECEAF95F24D1}" name="BallPlateGen5_Fixture_P509-south-DC-1_2-20211207T051030" type="6" refreshedVersion="6" background="1" saveData="1">
    <textPr prompt="0" codePage="850" sourceFile="C:\Users\lgutkows\OneDrive - HP Inc\Laptop\D\CMM\Axiom\Gen 5 Inspection\Gen5 Inspection\P509_remount_20211207\Reports\BallPlateGen5_Fixture_P509-south-DC-1_2-20211207T051030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" xr16:uid="{9AC3F051-31C8-4F02-81FE-20007CE7ACBC}" name="BallPlateGen5_Fixture_P509-south-DC-1_3-20211207T034457" type="6" refreshedVersion="6" background="1" saveData="1">
    <textPr prompt="0" codePage="850" sourceFile="C:\Users\lgutkows\OneDrive - HP Inc\Laptop\D\CMM\Axiom\Gen 5 Inspection\Gen5 Inspection\P509_remount_20211207\Reports\BallPlateGen5_Fixture_P509-south-DC-1_3-20211207T034457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xr16:uid="{08B3914D-AB31-40CE-A30B-730B4AFF411E}" name="BallPlateGen5_Fixture_P509-south-DC-1_3-20211207T042957" type="6" refreshedVersion="6" background="1" saveData="1">
    <textPr prompt="0" codePage="850" sourceFile="C:\Users\lgutkows\OneDrive - HP Inc\Laptop\D\CMM\Axiom\Gen 5 Inspection\Gen5 Inspection\P509_remount_20211207\Reports\BallPlateGen5_Fixture_P509-south-DC-1_3-20211207T042957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" xr16:uid="{83E4BAAD-F8EE-4DE1-8377-51DBE313B6C3}" name="BallPlateGen5_Fixture_P509-south-DC-1_3-20211207T051355" type="6" refreshedVersion="6" background="1" saveData="1">
    <textPr prompt="0" codePage="850" sourceFile="C:\Users\lgutkows\OneDrive - HP Inc\Laptop\D\CMM\Axiom\Gen 5 Inspection\Gen5 Inspection\P509_remount_20211207\Reports\BallPlateGen5_Fixture_P509-south-DC-1_3-20211207T051355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xr16:uid="{68B5997C-EE47-46C9-9346-6A4A6E02C3B0}" name="BallPlateGen5_Fixture_P509-south-DC-1_4-20211207T034823" type="6" refreshedVersion="6" background="1" saveData="1">
    <textPr prompt="0" codePage="850" sourceFile="C:\Users\lgutkows\OneDrive - HP Inc\Laptop\D\CMM\Axiom\Gen 5 Inspection\Gen5 Inspection\P509_remount_20211207\Reports\BallPlateGen5_Fixture_P509-south-DC-1_4-20211207T034823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" xr16:uid="{845FC1B9-ABE4-40A4-A3AF-2BB18663A60F}" name="BallPlateGen5_Fixture_P509-south-DC-1_4-20211207T043323" type="6" refreshedVersion="6" background="1" saveData="1">
    <textPr prompt="0" codePage="850" sourceFile="C:\Users\lgutkows\OneDrive - HP Inc\Laptop\D\CMM\Axiom\Gen 5 Inspection\Gen5 Inspection\P509_remount_20211207\Reports\BallPlateGen5_Fixture_P509-south-DC-1_4-20211207T043323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" xr16:uid="{AE13C875-9CB0-4FE6-9DBF-7E86FB7F8229}" name="BallPlateGen5_Fixture_P509-south-DC-1_4-20211207T051721" type="6" refreshedVersion="6" background="1" saveData="1">
    <textPr prompt="0" codePage="850" sourceFile="C:\Users\lgutkows\OneDrive - HP Inc\Laptop\D\CMM\Axiom\Gen 5 Inspection\Gen5 Inspection\P509_remount_20211207\Reports\BallPlateGen5_Fixture_P509-south-DC-1_4-20211207T051721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" xr16:uid="{39BECDBC-C63F-49C9-9F19-7F424EDC93D3}" name="BallPlateGen5_Fixture_P509-south-DC-1_5-20211207T035150" type="6" refreshedVersion="6" background="1" saveData="1">
    <textPr prompt="0" codePage="850" sourceFile="C:\Users\lgutkows\OneDrive - HP Inc\Laptop\D\CMM\Axiom\Gen 5 Inspection\Gen5 Inspection\P509_remount_20211207\Reports\BallPlateGen5_Fixture_P509-south-DC-1_5-20211207T035150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xr16:uid="{97CEFDE4-2924-452E-98D8-9B3EA4C81974}" name="BallPlateGen5_Fixture_P509-south-DC-1_5-20211207T043649" type="6" refreshedVersion="6" background="1" saveData="1">
    <textPr prompt="0" codePage="850" sourceFile="C:\Users\lgutkows\OneDrive - HP Inc\Laptop\D\CMM\Axiom\Gen 5 Inspection\Gen5 Inspection\P509_remount_20211207\Reports\BallPlateGen5_Fixture_P509-south-DC-1_5-20211207T043649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" xr16:uid="{8687C71B-1DF9-4FB1-BD1D-CE74BB3E5BDE}" name="BallPlateGen5_Fixture_P509-south-DC-1_5-20211207T052047" type="6" refreshedVersion="6" background="1" saveData="1">
    <textPr prompt="0" codePage="850" sourceFile="C:\Users\lgutkows\OneDrive - HP Inc\Laptop\D\CMM\Axiom\Gen 5 Inspection\Gen5 Inspection\P509_remount_20211207\Reports\BallPlateGen5_Fixture_P509-south-DC-1_5-20211207T052047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" xr16:uid="{D3E05322-AAB8-4D0D-9739-FB2E297BBD19}" name="BallPlateGen5_Fixture_P509-south-DC-1_6-20211207T035516" type="6" refreshedVersion="6" background="1" saveData="1">
    <textPr prompt="0" codePage="850" sourceFile="C:\Users\lgutkows\OneDrive - HP Inc\Laptop\D\CMM\Axiom\Gen 5 Inspection\Gen5 Inspection\P509_remount_20211207\Reports\BallPlateGen5_Fixture_P509-south-DC-1_6-20211207T035516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" xr16:uid="{464F1E4D-8EA7-4D03-A6C7-EEEA0C23E20E}" name="BallPlateGen5_Fixture_P509-south-DC-1_6-20211207T044014" type="6" refreshedVersion="6" background="1" saveData="1">
    <textPr prompt="0" codePage="850" sourceFile="C:\Users\lgutkows\OneDrive - HP Inc\Laptop\D\CMM\Axiom\Gen 5 Inspection\Gen5 Inspection\P509_remount_20211207\Reports\BallPlateGen5_Fixture_P509-south-DC-1_6-20211207T044014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xr16:uid="{9A910DD5-44FF-469C-A663-44D800E6F1FB}" name="BallPlateGen5_Fixture_P509-south-DC-1_6-20211207T052412" type="6" refreshedVersion="6" background="1" saveData="1">
    <textPr prompt="0" codePage="850" sourceFile="C:\Users\lgutkows\OneDrive - HP Inc\Laptop\D\CMM\Axiom\Gen 5 Inspection\Gen5 Inspection\P509_remount_20211207\Reports\BallPlateGen5_Fixture_P509-south-DC-1_6-20211207T052412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<sst xmlns="http://schemas.openxmlformats.org/spreadsheetml/2006/main" count="2958" uniqueCount="151">
  <si>
    <t>D0</t>
  </si>
  <si>
    <t>D1</t>
  </si>
  <si>
    <t>D2</t>
  </si>
  <si>
    <t>D3</t>
  </si>
  <si>
    <t>D4</t>
  </si>
  <si>
    <t>L01</t>
  </si>
  <si>
    <t>L02</t>
  </si>
  <si>
    <t>L03</t>
  </si>
  <si>
    <t>L04</t>
  </si>
  <si>
    <t>L14</t>
  </si>
  <si>
    <t>L23</t>
  </si>
  <si>
    <t>L12</t>
  </si>
  <si>
    <t>L34</t>
  </si>
  <si>
    <t>L13</t>
  </si>
  <si>
    <t>L24</t>
  </si>
  <si>
    <t>fetch csv data row:</t>
  </si>
  <si>
    <t>fetch csv data column:</t>
  </si>
  <si>
    <t>sheet</t>
  </si>
  <si>
    <t>plate</t>
  </si>
  <si>
    <t>orient</t>
  </si>
  <si>
    <t>time</t>
  </si>
  <si>
    <t>run</t>
  </si>
  <si>
    <t>temp</t>
  </si>
  <si>
    <t>x0</t>
  </si>
  <si>
    <t>y0</t>
  </si>
  <si>
    <t>z0</t>
  </si>
  <si>
    <t>x1</t>
  </si>
  <si>
    <t>y1</t>
  </si>
  <si>
    <t>z1</t>
  </si>
  <si>
    <t>x2</t>
  </si>
  <si>
    <t>y2</t>
  </si>
  <si>
    <t>z2</t>
  </si>
  <si>
    <t>x3</t>
  </si>
  <si>
    <t>y3</t>
  </si>
  <si>
    <t>z3</t>
  </si>
  <si>
    <t>x4</t>
  </si>
  <si>
    <t>y4</t>
  </si>
  <si>
    <t>z4</t>
  </si>
  <si>
    <t>°C</t>
  </si>
  <si>
    <t>mm</t>
  </si>
  <si>
    <t>n</t>
  </si>
  <si>
    <t>average</t>
  </si>
  <si>
    <t>stdev</t>
  </si>
  <si>
    <t>min</t>
  </si>
  <si>
    <t>max</t>
  </si>
  <si>
    <t>range</t>
  </si>
  <si>
    <t>East</t>
  </si>
  <si>
    <t>South</t>
  </si>
  <si>
    <t>South-East</t>
  </si>
  <si>
    <t>difference</t>
  </si>
  <si>
    <t>Image 1</t>
  </si>
  <si>
    <t>Image 2</t>
  </si>
  <si>
    <t>Image 3</t>
  </si>
  <si>
    <t>Image 4</t>
  </si>
  <si>
    <t>Image 5</t>
  </si>
  <si>
    <t>Image 6</t>
  </si>
  <si>
    <t>Image 7</t>
  </si>
  <si>
    <t>Image 8</t>
  </si>
  <si>
    <t>Image 9</t>
  </si>
  <si>
    <t>Image 10</t>
  </si>
  <si>
    <t>Image 11</t>
  </si>
  <si>
    <t>Image 12</t>
  </si>
  <si>
    <t>Image 13</t>
  </si>
  <si>
    <t>Image 14</t>
  </si>
  <si>
    <t>Image 15</t>
  </si>
  <si>
    <t>Image 16</t>
  </si>
  <si>
    <t>Image 17</t>
  </si>
  <si>
    <t>Image 18</t>
  </si>
  <si>
    <t>Image 19</t>
  </si>
  <si>
    <t>Image 20</t>
  </si>
  <si>
    <t>Image 21</t>
  </si>
  <si>
    <t>Image 22</t>
  </si>
  <si>
    <t>Image 23</t>
  </si>
  <si>
    <t>Image 24</t>
  </si>
  <si>
    <t>Image 25</t>
  </si>
  <si>
    <t>Image 26</t>
  </si>
  <si>
    <t>Image 27</t>
  </si>
  <si>
    <t>Image 28</t>
  </si>
  <si>
    <t>Image 29</t>
  </si>
  <si>
    <t>Image 30</t>
  </si>
  <si>
    <t>Image 31</t>
  </si>
  <si>
    <t>Image 32</t>
  </si>
  <si>
    <t>Image 33</t>
  </si>
  <si>
    <t>Image 34</t>
  </si>
  <si>
    <t>Image 35</t>
  </si>
  <si>
    <t>Image 36</t>
  </si>
  <si>
    <t>C0</t>
  </si>
  <si>
    <t>C1</t>
  </si>
  <si>
    <t>C2</t>
  </si>
  <si>
    <t>C3</t>
  </si>
  <si>
    <t>C4</t>
  </si>
  <si>
    <t>Ball Plate ID and Orientation</t>
  </si>
  <si>
    <t>P509-east</t>
  </si>
  <si>
    <t>Inspector</t>
  </si>
  <si>
    <t>Larry</t>
  </si>
  <si>
    <t>Inspection Time</t>
  </si>
  <si>
    <t>20211207T1557</t>
  </si>
  <si>
    <t>Temperature</t>
  </si>
  <si>
    <t>20.0┬░C</t>
  </si>
  <si>
    <t>Serial No</t>
  </si>
  <si>
    <t>Material Ref</t>
  </si>
  <si>
    <t>Date</t>
  </si>
  <si>
    <t>Notes</t>
  </si>
  <si>
    <t>Pos S0</t>
  </si>
  <si>
    <t>Position Cartesian</t>
  </si>
  <si>
    <t>PASS</t>
  </si>
  <si>
    <t>Pos S1</t>
  </si>
  <si>
    <t>FAIL</t>
  </si>
  <si>
    <t>Pos S2</t>
  </si>
  <si>
    <t>Pos S3</t>
  </si>
  <si>
    <t>Pos S4</t>
  </si>
  <si>
    <t>Diameter</t>
  </si>
  <si>
    <t>Point Point Distance</t>
  </si>
  <si>
    <t>20211207T1641</t>
  </si>
  <si>
    <t>20.1┬░C</t>
  </si>
  <si>
    <t>20211207T1725</t>
  </si>
  <si>
    <t>20211207T1600</t>
  </si>
  <si>
    <t>20211207T1645</t>
  </si>
  <si>
    <t>20211207T1729</t>
  </si>
  <si>
    <t>20211207T1604</t>
  </si>
  <si>
    <t>20211207T1648</t>
  </si>
  <si>
    <t>20211207T1732</t>
  </si>
  <si>
    <t>20211207T1607</t>
  </si>
  <si>
    <t>20211207T1651</t>
  </si>
  <si>
    <t>20211207T1735</t>
  </si>
  <si>
    <t>20211207T1611</t>
  </si>
  <si>
    <t>20211207T1655</t>
  </si>
  <si>
    <t>20211207T1739</t>
  </si>
  <si>
    <t>20211207T1614</t>
  </si>
  <si>
    <t>20211207T1658</t>
  </si>
  <si>
    <t>20211207T1742</t>
  </si>
  <si>
    <t>P509-south</t>
  </si>
  <si>
    <t>20211207T1534</t>
  </si>
  <si>
    <t>20211207T1619</t>
  </si>
  <si>
    <t>20211207T1703</t>
  </si>
  <si>
    <t>20211207T1538</t>
  </si>
  <si>
    <t>20211207T1623</t>
  </si>
  <si>
    <t>20211207T1707</t>
  </si>
  <si>
    <t>20211207T1541</t>
  </si>
  <si>
    <t>20211207T1626</t>
  </si>
  <si>
    <t>20211207T1710</t>
  </si>
  <si>
    <t>20211207T1544</t>
  </si>
  <si>
    <t>20211207T1629</t>
  </si>
  <si>
    <t>20211207T1713</t>
  </si>
  <si>
    <t>20211207T1548</t>
  </si>
  <si>
    <t>20211207T1633</t>
  </si>
  <si>
    <t>20211207T1717</t>
  </si>
  <si>
    <t>20211207T1551</t>
  </si>
  <si>
    <t>20211207T1636</t>
  </si>
  <si>
    <t>20211207T1720</t>
  </si>
  <si>
    <t>delta (um)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</si>
</sst>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\ hh:mm;@"/>
    <numFmt numFmtId="165" formatCode="0.0000"/>
    <numFmt numFmtId="166" formatCode="0.0"/>
    <numFmt numFmtId="167" formatCode="0.00\ \u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164" fontId="0" fillId="0" borderId="0" xfId="0" applyNumberFormat="1"/>
    <xf numFmtId="0" fontId="0" fillId="0" borderId="5" xfId="0" applyBorder="1"/>
    <xf numFmtId="0" fontId="0" fillId="0" borderId="6" xfId="0" applyBorder="1"/>
    <xf numFmtId="0" fontId="0" fillId="0" borderId="7" xfId="0" applyBorder="1"/>
    <xf numFmtId="165" fontId="0" fillId="0" borderId="6" xfId="0" applyNumberFormat="1" applyBorder="1"/>
    <xf numFmtId="165" fontId="0" fillId="0" borderId="0" xfId="0" applyNumberFormat="1"/>
    <xf numFmtId="165" fontId="0" fillId="0" borderId="7" xfId="0" applyNumberFormat="1" applyBorder="1"/>
    <xf numFmtId="166" fontId="2" fillId="0" borderId="5" xfId="0" applyNumberFormat="1" applyFont="1" applyBorder="1"/>
    <xf numFmtId="165" fontId="2" fillId="0" borderId="6" xfId="0" applyNumberFormat="1" applyFont="1" applyBorder="1"/>
    <xf numFmtId="165" fontId="2" fillId="0" borderId="0" xfId="0" applyNumberFormat="1" applyFont="1"/>
    <xf numFmtId="165" fontId="2" fillId="0" borderId="7" xfId="0" applyNumberFormat="1" applyFont="1" applyBorder="1"/>
    <xf numFmtId="2" fontId="0" fillId="0" borderId="5" xfId="0" applyNumberFormat="1" applyBorder="1"/>
    <xf numFmtId="167" fontId="0" fillId="0" borderId="6" xfId="0" applyNumberFormat="1" applyBorder="1"/>
    <xf numFmtId="167" fontId="0" fillId="0" borderId="0" xfId="0" applyNumberFormat="1"/>
    <xf numFmtId="167" fontId="0" fillId="0" borderId="7" xfId="0" applyNumberFormat="1" applyBorder="1"/>
    <xf numFmtId="167" fontId="0" fillId="0" borderId="9" xfId="0" applyNumberFormat="1" applyBorder="1"/>
    <xf numFmtId="167" fontId="0" fillId="0" borderId="10" xfId="0" applyNumberFormat="1" applyBorder="1"/>
    <xf numFmtId="167" fontId="0" fillId="0" borderId="11" xfId="0" applyNumberFormat="1" applyBorder="1"/>
    <xf numFmtId="166" fontId="0" fillId="0" borderId="5" xfId="0" applyNumberFormat="1" applyBorder="1"/>
    <xf numFmtId="166" fontId="0" fillId="0" borderId="8" xfId="0" applyNumberFormat="1" applyBorder="1"/>
    <xf numFmtId="0" fontId="2" fillId="0" borderId="0" xfId="0" applyFont="1"/>
    <xf numFmtId="0" fontId="0" fillId="0" borderId="0" xfId="0" applyNumberFormat="1"/>
    <xf numFmtId="1" fontId="0" fillId="0" borderId="0" xfId="0" applyNumberFormat="1"/>
    <xf numFmtId="16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connections" Target="connection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/larry_gutkowski_hp_com/Documents/Laptop/D/CMM/Axiom/Gen%205%20Inspection/Gen5%20Inspection/P509/Reports/P509_Inspection_2021030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Image 1"/>
      <sheetName val="Image 2"/>
      <sheetName val="Image 3"/>
      <sheetName val="Image 4"/>
      <sheetName val="Image 5"/>
      <sheetName val="Image 6"/>
      <sheetName val="Image 7"/>
      <sheetName val="Image 8"/>
      <sheetName val="Image 9"/>
      <sheetName val="Image 10"/>
      <sheetName val="Image 11"/>
      <sheetName val="Image 12"/>
      <sheetName val="Image 13"/>
      <sheetName val="Image 14"/>
      <sheetName val="Image 15"/>
      <sheetName val="Image 16"/>
      <sheetName val="Image 17"/>
      <sheetName val="Image 18"/>
      <sheetName val="Image 19"/>
      <sheetName val="Image 20"/>
      <sheetName val="Image 21"/>
      <sheetName val="Image 22"/>
      <sheetName val="Image 23"/>
      <sheetName val="Image 24"/>
      <sheetName val="Image 25"/>
      <sheetName val="Image 26"/>
      <sheetName val="Image 27"/>
      <sheetName val="Image 28"/>
      <sheetName val="Image 29"/>
      <sheetName val="Image 30"/>
      <sheetName val="Image 31"/>
      <sheetName val="Image 32"/>
      <sheetName val="Image 33"/>
      <sheetName val="Image 34"/>
      <sheetName val="Image 35"/>
      <sheetName val="Image 36"/>
      <sheetName val="Sheet1"/>
    </sheetNames>
    <sheetDataSet>
      <sheetData sheetId="0">
        <row r="51">
          <cell r="G51">
            <v>25.399630555555557</v>
          </cell>
          <cell r="H51">
            <v>25.402894444444449</v>
          </cell>
          <cell r="I51">
            <v>25.403133333333326</v>
          </cell>
          <cell r="J51">
            <v>25.40466111111111</v>
          </cell>
          <cell r="K51">
            <v>25.402883333333335</v>
          </cell>
          <cell r="L51">
            <v>72.880367244901365</v>
          </cell>
          <cell r="M51">
            <v>73.711881499234835</v>
          </cell>
          <cell r="N51">
            <v>72.342479483582167</v>
          </cell>
          <cell r="O51">
            <v>71.964465819160921</v>
          </cell>
          <cell r="P51">
            <v>125.9341890552224</v>
          </cell>
          <cell r="Q51">
            <v>145.21994383064535</v>
          </cell>
          <cell r="R51">
            <v>74.988938546795566</v>
          </cell>
          <cell r="S51">
            <v>73.984108173574867</v>
          </cell>
          <cell r="T51">
            <v>145.67290003180631</v>
          </cell>
          <cell r="U51">
            <v>123.92766963413484</v>
          </cell>
          <cell r="Y51">
            <v>62.483133333333321</v>
          </cell>
          <cell r="Z51">
            <v>37.515330555555558</v>
          </cell>
          <cell r="AA51">
            <v>7.7144444444444432E-2</v>
          </cell>
          <cell r="AB51">
            <v>-63.451055555555548</v>
          </cell>
          <cell r="AC51">
            <v>37.515330555555558</v>
          </cell>
          <cell r="AD51">
            <v>7.068055555555558E-2</v>
          </cell>
          <cell r="AE51">
            <v>-62.481358333333333</v>
          </cell>
          <cell r="AF51">
            <v>-36.462422222222223</v>
          </cell>
          <cell r="AG51">
            <v>7.7219444444444438E-2</v>
          </cell>
          <cell r="AH51">
            <v>61.442244444444455</v>
          </cell>
          <cell r="AI51">
            <v>-37.466383333333333</v>
          </cell>
          <cell r="AJ51">
            <v>7.1116666666666661E-2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east-DC-1_1-20211207T040041.csv" connectionId="1" xr16:uid="{0EB829DE-7625-431E-B5E3-8E4121F9AF5C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east-DC-1_1-20211207T044500.csv" connectionId="2" xr16:uid="{18FFE067-0E6C-4A26-BEE7-8BDB31D65A29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east-DC-1_1-20211207T052902.csv" connectionId="3" xr16:uid="{8A02B27F-327C-4DBA-B5E5-41273DCE0275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east-DC-1_2-20211207T040408.csv" connectionId="4" xr16:uid="{C07CF1CB-FF61-40C8-B79D-EBAE150BFEA7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east-DC-1_2-20211207T044826.csv" connectionId="5" xr16:uid="{9F62C901-08AB-4976-BAB3-6FE2F063F81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east-DC-1_2-20211207T053228.csv" connectionId="6" xr16:uid="{1C4A9CAB-6B87-4E25-9F3E-E10D906BE9CA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east-DC-1_3-20211207T040734.csv" connectionId="7" xr16:uid="{192A2447-9E2D-44CB-80DF-1D307481D5F2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east-DC-1_3-20211207T045153.csv" connectionId="8" xr16:uid="{9B3E101B-4450-4741-8517-71DBC17922DC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east-DC-1_3-20211207T053554.csv" connectionId="9" xr16:uid="{F2825EF5-57DD-4CA2-874D-25326ED757BF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east-DC-1_4-20211207T041100.csv" connectionId="10" xr16:uid="{F2A45E3A-D092-4BF5-ADA9-08D56C0D73A4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east-DC-1_4-20211207T045518.csv" connectionId="11" xr16:uid="{DBD8C95B-25F3-4F9E-BEA7-D599A28951D6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east-DC-1_4-20211207T053919.csv" connectionId="12" xr16:uid="{18C99EA8-C958-40B7-802C-F6E39F456CD6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east-DC-1_5-20211207T041427.csv" connectionId="13" xr16:uid="{8F0ED74B-E63F-488A-863D-8C79DD80ADAF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east-DC-1_5-20211207T045844.csv" connectionId="14" xr16:uid="{447DF96A-5EF7-4805-87D6-6B7EFF609C4A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east-DC-1_5-20211207T054245.csv" connectionId="15" xr16:uid="{25CDEF98-BC04-40C9-9C45-99AB95AAD82A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east-DC-1_6-20211207T041753.csv" connectionId="16" xr16:uid="{47EC8CEC-2B87-44F4-B92B-46ADA4DD0237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east-DC-1_6-20211207T050210.csv" connectionId="17" xr16:uid="{E83C338F-4A43-4FED-ACFC-170942B7D8DD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east-DC-1_6-20211207T054610.csv" connectionId="18" xr16:uid="{417A3869-2792-44F7-A040-247DDF77F89C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south-DC-1_1-20211207T033804.csv" connectionId="19" xr16:uid="{EAEDBBB6-BD0D-4E8F-8F91-E0D5F20087C1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south-DC-1_1-20211207T042306.csv" connectionId="20" xr16:uid="{BAF79044-61EE-414B-9A49-DDBDE7A670D5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south-DC-1_1-20211207T050704.csv" connectionId="21" xr16:uid="{DA0783A4-D90E-48CA-B40F-0BC506D427E7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south-DC-1_2-20211207T034130.csv" connectionId="22" xr16:uid="{7A0E993A-8F9C-42F0-961D-913D15C02503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south-DC-1_2-20211207T042632.csv" connectionId="23" xr16:uid="{FCEAE8A2-2D90-417C-A998-BB86E5A62F77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south-DC-1_2-20211207T051030.csv" connectionId="24" xr16:uid="{7D5E03A9-1ACD-4831-9C9F-437294CD9CB3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south-DC-1_3-20211207T034457.csv" connectionId="25" xr16:uid="{0C4D04EF-B479-450C-B98B-79A53DC5E60A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south-DC-1_3-20211207T042957.csv" connectionId="26" xr16:uid="{C7DE9072-7BBF-47CD-91FB-36A157D3BAB1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south-DC-1_3-20211207T051355.csv" connectionId="27" xr16:uid="{88273E46-A677-4DC0-8714-E9A37312A526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south-DC-1_4-20211207T034823.csv" connectionId="28" xr16:uid="{A99E6431-D845-4DC2-BF18-44AE28A8B292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south-DC-1_4-20211207T043323.csv" connectionId="29" xr16:uid="{80C61977-A473-42DB-8DFB-8FC6D5544CAA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south-DC-1_4-20211207T051721.csv" connectionId="30" xr16:uid="{59B5AE5F-0C6E-4560-A294-1FD4668D3426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south-DC-1_5-20211207T035150.csv" connectionId="31" xr16:uid="{366E86E9-1EF1-4B95-911B-9818C0506C66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south-DC-1_5-20211207T043649.csv" connectionId="32" xr16:uid="{50800E50-F957-466D-8335-5A714B25AE94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south-DC-1_5-20211207T052047.csv" connectionId="33" xr16:uid="{80B4EE9F-D7D4-4421-A046-58372EC7F64B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south-DC-1_6-20211207T035516.csv" connectionId="34" xr16:uid="{3E1E9515-5DA2-45F8-A7EC-F8470DDE6D70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south-DC-1_6-20211207T044014.csv" connectionId="35" xr16:uid="{1250F863-1FDC-401B-A341-BD40E2A1B74F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south-DC-1_6-20211207T052412.csv" connectionId="36" xr16:uid="{3E247883-A427-4268-8E9D-0E1980DEFEB5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DF99A-8A7D-4BF6-95FE-2A1B5C4B7105}">
  <sheetPr codeName="Sheet44"/>
  <dimension ref="A1:BN140"/>
  <sheetViews>
    <sheetView tabSelected="1" workbookViewId="0"/>
  </sheetViews>
  <sheetFormatPr defaultRowHeight="14.6" x14ac:dyDescent="0.4"/>
  <cols>
    <col min="1" max="1" width="20.84375" bestFit="1" customWidth="1"/>
    <col min="2" max="2" width="10.84375" bestFit="1" customWidth="1"/>
    <col min="4" max="4" width="13.84375" bestFit="1" customWidth="1"/>
    <col min="5" max="5" width="10.53515625" customWidth="1"/>
    <col min="66" max="66" width="13.84375" bestFit="1" customWidth="1"/>
  </cols>
  <sheetData>
    <row r="1" spans="1:66" x14ac:dyDescent="0.4">
      <c r="A1" s="1" t="s">
        <v>15</v>
      </c>
      <c r="B1">
        <v>1</v>
      </c>
      <c r="D1">
        <v>3</v>
      </c>
      <c r="E1">
        <v>5</v>
      </c>
      <c r="F1">
        <v>4</v>
      </c>
      <c r="G1">
        <v>15</v>
      </c>
      <c r="H1">
        <v>16</v>
      </c>
      <c r="I1">
        <v>17</v>
      </c>
      <c r="J1">
        <v>18</v>
      </c>
      <c r="K1">
        <v>19</v>
      </c>
      <c r="V1">
        <v>10</v>
      </c>
      <c r="W1">
        <v>10</v>
      </c>
      <c r="X1">
        <v>10</v>
      </c>
      <c r="Y1">
        <v>11</v>
      </c>
      <c r="Z1">
        <v>11</v>
      </c>
      <c r="AA1">
        <v>11</v>
      </c>
      <c r="AB1">
        <v>12</v>
      </c>
      <c r="AC1">
        <v>12</v>
      </c>
      <c r="AD1">
        <v>12</v>
      </c>
      <c r="AE1">
        <v>13</v>
      </c>
      <c r="AF1">
        <v>13</v>
      </c>
      <c r="AG1">
        <v>13</v>
      </c>
      <c r="AH1">
        <v>14</v>
      </c>
      <c r="AI1">
        <v>14</v>
      </c>
      <c r="AJ1">
        <v>14</v>
      </c>
      <c r="AK1">
        <v>20</v>
      </c>
      <c r="AL1">
        <v>21</v>
      </c>
      <c r="AM1">
        <v>22</v>
      </c>
      <c r="AN1">
        <v>23</v>
      </c>
      <c r="AO1">
        <v>26</v>
      </c>
      <c r="AP1">
        <v>28</v>
      </c>
      <c r="AQ1">
        <v>24</v>
      </c>
      <c r="AR1">
        <v>25</v>
      </c>
      <c r="AS1">
        <v>29</v>
      </c>
      <c r="AT1">
        <v>27</v>
      </c>
      <c r="BG1">
        <v>15</v>
      </c>
      <c r="BH1">
        <v>16</v>
      </c>
      <c r="BI1">
        <v>17</v>
      </c>
      <c r="BJ1">
        <v>18</v>
      </c>
      <c r="BK1">
        <v>19</v>
      </c>
    </row>
    <row r="2" spans="1:66" x14ac:dyDescent="0.4">
      <c r="A2" s="1" t="s">
        <v>16</v>
      </c>
      <c r="B2">
        <v>2</v>
      </c>
      <c r="D2">
        <v>2</v>
      </c>
      <c r="E2">
        <v>2</v>
      </c>
      <c r="F2">
        <v>2</v>
      </c>
      <c r="G2">
        <v>7</v>
      </c>
      <c r="H2">
        <v>7</v>
      </c>
      <c r="I2">
        <v>7</v>
      </c>
      <c r="J2">
        <v>7</v>
      </c>
      <c r="K2">
        <v>7</v>
      </c>
      <c r="V2">
        <v>7</v>
      </c>
      <c r="W2">
        <v>8</v>
      </c>
      <c r="X2">
        <v>9</v>
      </c>
      <c r="Y2">
        <v>7</v>
      </c>
      <c r="Z2">
        <v>8</v>
      </c>
      <c r="AA2">
        <v>9</v>
      </c>
      <c r="AB2">
        <v>7</v>
      </c>
      <c r="AC2">
        <v>8</v>
      </c>
      <c r="AD2">
        <v>9</v>
      </c>
      <c r="AE2">
        <v>7</v>
      </c>
      <c r="AF2">
        <v>8</v>
      </c>
      <c r="AG2">
        <v>9</v>
      </c>
      <c r="AH2">
        <v>7</v>
      </c>
      <c r="AI2">
        <v>8</v>
      </c>
      <c r="AJ2">
        <v>9</v>
      </c>
      <c r="AK2">
        <v>7</v>
      </c>
      <c r="AL2">
        <v>7</v>
      </c>
      <c r="AM2">
        <v>7</v>
      </c>
      <c r="AN2">
        <v>7</v>
      </c>
      <c r="AO2">
        <v>7</v>
      </c>
      <c r="AP2">
        <v>7</v>
      </c>
      <c r="AQ2">
        <v>7</v>
      </c>
      <c r="AR2">
        <v>7</v>
      </c>
      <c r="AS2">
        <v>7</v>
      </c>
      <c r="AT2">
        <v>7</v>
      </c>
      <c r="BG2">
        <v>16</v>
      </c>
      <c r="BH2">
        <v>16</v>
      </c>
      <c r="BI2">
        <v>16</v>
      </c>
      <c r="BJ2">
        <v>16</v>
      </c>
      <c r="BK2">
        <v>16</v>
      </c>
    </row>
    <row r="3" spans="1:66" x14ac:dyDescent="0.4">
      <c r="A3" s="1"/>
    </row>
    <row r="4" spans="1:66" ht="15" thickBot="1" x14ac:dyDescent="0.45"/>
    <row r="5" spans="1:66" x14ac:dyDescent="0.4">
      <c r="A5" s="2" t="s">
        <v>17</v>
      </c>
      <c r="B5" s="2" t="s">
        <v>18</v>
      </c>
      <c r="C5" s="2" t="s">
        <v>19</v>
      </c>
      <c r="D5" s="2" t="s">
        <v>20</v>
      </c>
      <c r="E5" s="2" t="s">
        <v>21</v>
      </c>
      <c r="F5" s="3" t="s">
        <v>22</v>
      </c>
      <c r="G5" s="4" t="s">
        <v>0</v>
      </c>
      <c r="H5" s="5" t="s">
        <v>1</v>
      </c>
      <c r="I5" s="5" t="s">
        <v>2</v>
      </c>
      <c r="J5" s="5" t="s">
        <v>3</v>
      </c>
      <c r="K5" s="6" t="s">
        <v>4</v>
      </c>
      <c r="L5" s="4" t="s">
        <v>5</v>
      </c>
      <c r="M5" s="5" t="s">
        <v>6</v>
      </c>
      <c r="N5" s="5" t="s">
        <v>7</v>
      </c>
      <c r="O5" s="5" t="s">
        <v>8</v>
      </c>
      <c r="P5" s="5" t="s">
        <v>11</v>
      </c>
      <c r="Q5" s="5" t="s">
        <v>13</v>
      </c>
      <c r="R5" s="5" t="s">
        <v>9</v>
      </c>
      <c r="S5" s="5" t="s">
        <v>10</v>
      </c>
      <c r="T5" s="5" t="s">
        <v>14</v>
      </c>
      <c r="U5" s="6" t="s">
        <v>12</v>
      </c>
      <c r="V5" s="2" t="s">
        <v>23</v>
      </c>
      <c r="W5" s="2" t="s">
        <v>24</v>
      </c>
      <c r="X5" s="2" t="s">
        <v>25</v>
      </c>
      <c r="Y5" s="2" t="s">
        <v>26</v>
      </c>
      <c r="Z5" s="2" t="s">
        <v>27</v>
      </c>
      <c r="AA5" s="2" t="s">
        <v>28</v>
      </c>
      <c r="AB5" s="2" t="s">
        <v>29</v>
      </c>
      <c r="AC5" s="2" t="s">
        <v>30</v>
      </c>
      <c r="AD5" s="2" t="s">
        <v>31</v>
      </c>
      <c r="AE5" s="2" t="s">
        <v>32</v>
      </c>
      <c r="AF5" s="2" t="s">
        <v>33</v>
      </c>
      <c r="AG5" s="2" t="s">
        <v>34</v>
      </c>
      <c r="AH5" s="2" t="s">
        <v>35</v>
      </c>
      <c r="AI5" s="2" t="s">
        <v>36</v>
      </c>
      <c r="AJ5" s="2" t="s">
        <v>37</v>
      </c>
      <c r="AK5" s="2" t="s">
        <v>5</v>
      </c>
      <c r="AL5" s="2" t="s">
        <v>6</v>
      </c>
      <c r="AM5" s="2" t="s">
        <v>7</v>
      </c>
      <c r="AN5" s="2" t="s">
        <v>8</v>
      </c>
      <c r="AO5" s="2" t="s">
        <v>11</v>
      </c>
      <c r="AP5" s="2" t="s">
        <v>13</v>
      </c>
      <c r="AQ5" s="2" t="s">
        <v>9</v>
      </c>
      <c r="AR5" s="2" t="s">
        <v>10</v>
      </c>
      <c r="AS5" s="2" t="s">
        <v>14</v>
      </c>
      <c r="AT5" s="2" t="s">
        <v>12</v>
      </c>
      <c r="BG5" s="2" t="s">
        <v>86</v>
      </c>
      <c r="BH5" s="2" t="s">
        <v>87</v>
      </c>
      <c r="BI5" s="2" t="s">
        <v>88</v>
      </c>
      <c r="BJ5" s="2" t="s">
        <v>89</v>
      </c>
      <c r="BK5" s="2" t="s">
        <v>90</v>
      </c>
    </row>
    <row r="6" spans="1:66" x14ac:dyDescent="0.4">
      <c r="A6" s="2"/>
      <c r="B6" s="2"/>
      <c r="C6" s="2"/>
      <c r="D6" s="2"/>
      <c r="E6" s="2"/>
      <c r="F6" s="7" t="s">
        <v>38</v>
      </c>
      <c r="G6" s="8" t="s">
        <v>39</v>
      </c>
      <c r="H6" s="2" t="s">
        <v>39</v>
      </c>
      <c r="I6" s="2" t="s">
        <v>39</v>
      </c>
      <c r="J6" s="2" t="s">
        <v>39</v>
      </c>
      <c r="K6" s="9" t="s">
        <v>39</v>
      </c>
      <c r="L6" s="8" t="s">
        <v>39</v>
      </c>
      <c r="M6" s="2" t="s">
        <v>39</v>
      </c>
      <c r="N6" s="2" t="s">
        <v>39</v>
      </c>
      <c r="O6" s="2" t="s">
        <v>39</v>
      </c>
      <c r="P6" s="2" t="s">
        <v>39</v>
      </c>
      <c r="Q6" s="2" t="s">
        <v>39</v>
      </c>
      <c r="R6" s="2" t="s">
        <v>39</v>
      </c>
      <c r="S6" s="2" t="s">
        <v>39</v>
      </c>
      <c r="T6" s="2" t="s">
        <v>39</v>
      </c>
      <c r="U6" s="9" t="s">
        <v>39</v>
      </c>
      <c r="V6" s="2" t="s">
        <v>39</v>
      </c>
      <c r="W6" s="2" t="s">
        <v>39</v>
      </c>
      <c r="X6" s="2" t="s">
        <v>39</v>
      </c>
      <c r="Y6" s="2" t="s">
        <v>39</v>
      </c>
      <c r="Z6" s="2" t="s">
        <v>39</v>
      </c>
      <c r="AA6" s="2" t="s">
        <v>39</v>
      </c>
      <c r="AB6" s="2" t="s">
        <v>39</v>
      </c>
      <c r="AC6" s="2" t="s">
        <v>39</v>
      </c>
      <c r="AD6" s="2" t="s">
        <v>39</v>
      </c>
      <c r="AE6" s="2" t="s">
        <v>39</v>
      </c>
      <c r="AF6" s="2" t="s">
        <v>39</v>
      </c>
      <c r="AG6" s="2" t="s">
        <v>39</v>
      </c>
      <c r="AH6" s="2" t="s">
        <v>39</v>
      </c>
      <c r="AI6" s="2" t="s">
        <v>39</v>
      </c>
      <c r="AJ6" s="2" t="s">
        <v>39</v>
      </c>
      <c r="AK6" s="2" t="s">
        <v>39</v>
      </c>
      <c r="AL6" s="2" t="s">
        <v>39</v>
      </c>
      <c r="AM6" s="2" t="s">
        <v>39</v>
      </c>
      <c r="AN6" s="2" t="s">
        <v>39</v>
      </c>
      <c r="AO6" s="2" t="s">
        <v>39</v>
      </c>
      <c r="AP6" s="2" t="s">
        <v>39</v>
      </c>
      <c r="AQ6" s="2" t="s">
        <v>39</v>
      </c>
      <c r="AR6" s="2" t="s">
        <v>39</v>
      </c>
      <c r="AS6" s="2" t="s">
        <v>39</v>
      </c>
      <c r="AT6" s="2" t="s">
        <v>39</v>
      </c>
      <c r="BG6" s="2" t="s">
        <v>39</v>
      </c>
      <c r="BH6" s="2" t="s">
        <v>39</v>
      </c>
      <c r="BI6" s="2" t="s">
        <v>39</v>
      </c>
      <c r="BJ6" s="2" t="s">
        <v>39</v>
      </c>
      <c r="BK6" s="2" t="s">
        <v>39</v>
      </c>
    </row>
    <row r="7" spans="1:66" x14ac:dyDescent="0.4">
      <c r="A7" t="s">
        <v>68</v>
      </c>
      <c r="B7" t="str" cm="1">
        <f t="array" aca="1" ref="B7" ca="1">LEFT(INDIRECT(ADDRESS(B$1,B$2,1,1,$A7)),FIND("-",INDIRECT(ADDRESS(B$1,B$2,1,1,$A7)))-1)</f>
        <v>P509</v>
      </c>
      <c r="C7" t="str" cm="1">
        <f t="array" aca="1" ref="C7" ca="1">RIGHT(INDIRECT(ADDRESS(B$1,B$2,1,1,$A7)),LEN(INDIRECT(ADDRESS(B$1,B$2,1,1,$A7)))-FIND("-",INDIRECT(ADDRESS(B$1,B$2,1,1,$A7))))</f>
        <v>south</v>
      </c>
      <c r="D7" s="10" cm="1">
        <f t="array" aca="1" ref="D7" ca="1">DATE(MID(INDIRECT(ADDRESS(D$1,D$2,1,1,$A7)),1,4),MID(INDIRECT(ADDRESS(D$1,D$2,1,1,$A7)),5,2),MID(INDIRECT(ADDRESS(D$1,D$2,1,1,$A7)),7,2))+TIME(MID(INDIRECT(ADDRESS(D$1,D$2,1,1,$A7)),10,2),MID(INDIRECT(ADDRESS(D$1,D$2,1,1,$A7)),12,2),0)</f>
        <v>44537.648611111108</v>
      </c>
      <c r="E7" cm="1">
        <f t="array" aca="1" ref="E7" ca="1">INDIRECT(ADDRESS(E$1,E$2,1,1,$A7))</f>
        <v>0</v>
      </c>
      <c r="F7" s="11" cm="1">
        <f t="array" aca="1" ref="F7" ca="1">VALUE(SUBSTITUTE(INDIRECT(ADDRESS(F$1,F$2,1,1,$A7)),"┬░C",""))</f>
        <v>20</v>
      </c>
      <c r="G7" s="12" cm="1">
        <f t="array" aca="1" ref="G7" ca="1">INDIRECT(ADDRESS(G$1,G$2,1,1,$A7))</f>
        <v>25.398099999999999</v>
      </c>
      <c r="H7" cm="1">
        <f t="array" aca="1" ref="H7" ca="1">INDIRECT(ADDRESS(H$1,H$2,1,1,$A7))</f>
        <v>25.4026</v>
      </c>
      <c r="I7" cm="1">
        <f t="array" aca="1" ref="I7" ca="1">INDIRECT(ADDRESS(I$1,I$2,1,1,$A7))</f>
        <v>25.403500000000001</v>
      </c>
      <c r="J7" cm="1">
        <f t="array" aca="1" ref="J7" ca="1">INDIRECT(ADDRESS(J$1,J$2,1,1,$A7))</f>
        <v>25.405100000000001</v>
      </c>
      <c r="K7" s="13" cm="1">
        <f t="array" aca="1" ref="K7" ca="1">INDIRECT(ADDRESS(K$1,K$2,1,1,$A7))</f>
        <v>25.402799999999999</v>
      </c>
      <c r="L7" s="14" cm="1">
        <f t="array" aca="1" ref="L7" ca="1">SQRT(SUMSQ(Y7:AA7-V7:X7))</f>
        <v>72.87950597225533</v>
      </c>
      <c r="M7" s="15" cm="1">
        <f t="array" aca="1" ref="M7" ca="1">SQRT(SUMSQ(AB7:AD7-V7:X7))</f>
        <v>73.712273747660234</v>
      </c>
      <c r="N7" s="15" cm="1">
        <f t="array" aca="1" ref="N7" ca="1">SQRT(SUMSQ(AE7:AG7-V7:X7))</f>
        <v>72.340070366360578</v>
      </c>
      <c r="O7" s="15" cm="1">
        <f t="array" aca="1" ref="O7" ca="1">SQRT(SUMSQ(AH7:AJ7-V7:X7))</f>
        <v>71.963444935953433</v>
      </c>
      <c r="P7" s="15" cm="1">
        <f t="array" aca="1" ref="P7" ca="1">SQRT(SUMSQ(AB7:AD7-Y7:AA7))</f>
        <v>125.93260081190256</v>
      </c>
      <c r="Q7" s="15" cm="1">
        <f t="array" aca="1" ref="Q7" ca="1">SQRT(SUMSQ(AE7:AG7-Y7:AA7))</f>
        <v>145.21666311153828</v>
      </c>
      <c r="R7" s="15" cm="1">
        <f t="array" aca="1" ref="R7" ca="1">SQRT(SUMSQ(AH7:AJ7-Y7:AA7))</f>
        <v>74.98790512669359</v>
      </c>
      <c r="S7" s="15" cm="1">
        <f t="array" aca="1" ref="S7" ca="1">SQRT(SUMSQ(AE7:AG7-AB7:AD7))</f>
        <v>73.985294526817967</v>
      </c>
      <c r="T7" s="15" cm="1">
        <f t="array" aca="1" ref="T7" ca="1">SQRT(SUMSQ(AH7:AJ7-AB7:AD7))</f>
        <v>145.67229242028151</v>
      </c>
      <c r="U7" s="16" cm="1">
        <f t="array" aca="1" ref="U7" ca="1">SQRT(SUMSQ(AH7:AJ7-AE7:AG7))</f>
        <v>123.92465010481168</v>
      </c>
      <c r="V7" cm="1">
        <f t="array" aca="1" ref="V7" ca="1">INDIRECT(ADDRESS(V$1,V$2,1,1,$A7))</f>
        <v>0</v>
      </c>
      <c r="W7" cm="1">
        <f t="array" aca="1" ref="W7" ca="1">INDIRECT(ADDRESS(W$1,W$2,1,1,$A7))</f>
        <v>0</v>
      </c>
      <c r="X7" cm="1">
        <f t="array" aca="1" ref="X7" ca="1">INDIRECT(ADDRESS(X$1,X$2,1,1,$A7))</f>
        <v>0</v>
      </c>
      <c r="Y7" cm="1">
        <f t="array" aca="1" ref="Y7" ca="1">INDIRECT(ADDRESS(Y$1,Y$2,1,1,$A7))</f>
        <v>62.4816</v>
      </c>
      <c r="Z7" cm="1">
        <f t="array" aca="1" ref="Z7" ca="1">INDIRECT(ADDRESS(Z$1,Z$2,1,1,$A7))</f>
        <v>37.516199999999998</v>
      </c>
      <c r="AA7" cm="1">
        <f t="array" aca="1" ref="AA7" ca="1">INDIRECT(ADDRESS(AA$1,AA$2,1,1,$A7))</f>
        <v>8.2400000000000001E-2</v>
      </c>
      <c r="AB7" cm="1">
        <f t="array" aca="1" ref="AB7" ca="1">INDIRECT(ADDRESS(AB$1,AB$2,1,1,$A7))</f>
        <v>-63.451000000000001</v>
      </c>
      <c r="AC7" cm="1">
        <f t="array" aca="1" ref="AC7" ca="1">INDIRECT(ADDRESS(AC$1,AC$2,1,1,$A7))</f>
        <v>37.516199999999998</v>
      </c>
      <c r="AD7" cm="1">
        <f t="array" aca="1" ref="AD7" ca="1">INDIRECT(ADDRESS(AD$1,AD$2,1,1,$A7))</f>
        <v>6.8099999999999994E-2</v>
      </c>
      <c r="AE7" cm="1">
        <f t="array" aca="1" ref="AE7" ca="1">INDIRECT(ADDRESS(AE$1,AE$2,1,1,$A7))</f>
        <v>-62.478400000000001</v>
      </c>
      <c r="AF7" cm="1">
        <f t="array" aca="1" ref="AF7" ca="1">INDIRECT(ADDRESS(AF$1,AF$2,1,1,$A7))</f>
        <v>-36.462699999999998</v>
      </c>
      <c r="AG7" cm="1">
        <f t="array" aca="1" ref="AG7" ca="1">INDIRECT(ADDRESS(AG$1,AG$2,1,1,$A7))</f>
        <v>8.2600000000000007E-2</v>
      </c>
      <c r="AH7" cm="1">
        <f t="array" aca="1" ref="AH7" ca="1">INDIRECT(ADDRESS(AH$1,AH$2,1,1,$A7))</f>
        <v>61.4422</v>
      </c>
      <c r="AI7" cm="1">
        <f t="array" aca="1" ref="AI7" ca="1">INDIRECT(ADDRESS(AI$1,AI$2,1,1,$A7))</f>
        <v>-37.464500000000001</v>
      </c>
      <c r="AJ7" cm="1">
        <f t="array" aca="1" ref="AJ7" ca="1">INDIRECT(ADDRESS(AJ$1,AJ$2,1,1,$A7))</f>
        <v>6.8599999999999994E-2</v>
      </c>
      <c r="AK7" s="15" cm="1">
        <f t="array" aca="1" ref="AK7" ca="1">INDIRECT(ADDRESS(AK$1,AK$2,1,1,$A7))</f>
        <v>72.879499999999993</v>
      </c>
      <c r="AL7" s="15" cm="1">
        <f t="array" aca="1" ref="AL7" ca="1">INDIRECT(ADDRESS(AL$1,AL$2,1,1,$A7))</f>
        <v>73.712299999999999</v>
      </c>
      <c r="AM7" s="15" cm="1">
        <f t="array" aca="1" ref="AM7" ca="1">INDIRECT(ADDRESS(AM$1,AM$2,1,1,$A7))</f>
        <v>72.340100000000007</v>
      </c>
      <c r="AN7" s="15" cm="1">
        <f t="array" aca="1" ref="AN7" ca="1">INDIRECT(ADDRESS(AN$1,AN$2,1,1,$A7))</f>
        <v>71.963499999999996</v>
      </c>
      <c r="AO7" s="15" cm="1">
        <f t="array" aca="1" ref="AO7" ca="1">INDIRECT(ADDRESS(AO$1,AO$2,1,1,$A7))</f>
        <v>125.93259999999999</v>
      </c>
      <c r="AP7" s="15" cm="1">
        <f t="array" aca="1" ref="AP7" ca="1">INDIRECT(ADDRESS(AP$1,AP$2,1,1,$A7))</f>
        <v>145.2167</v>
      </c>
      <c r="AQ7" s="15" cm="1">
        <f t="array" aca="1" ref="AQ7" ca="1">INDIRECT(ADDRESS(AQ$1,AQ$2,1,1,$A7))</f>
        <v>74.987899999999996</v>
      </c>
      <c r="AR7" s="15" cm="1">
        <f t="array" aca="1" ref="AR7" ca="1">INDIRECT(ADDRESS(AR$1,AR$2,1,1,$A7))</f>
        <v>73.985299999999995</v>
      </c>
      <c r="AS7" s="15" cm="1">
        <f t="array" aca="1" ref="AS7" ca="1">INDIRECT(ADDRESS(AS$1,AS$2,1,1,$A7))</f>
        <v>145.67230000000001</v>
      </c>
      <c r="AT7" s="15" cm="1">
        <f t="array" aca="1" ref="AT7" ca="1">INDIRECT(ADDRESS(AT$1,AT$2,1,1,$A7))</f>
        <v>123.9247</v>
      </c>
      <c r="AV7" s="15">
        <f t="shared" ref="AV7:AV42" ca="1" si="0">AK7-L7</f>
        <v>-5.9722553373831033E-6</v>
      </c>
      <c r="AW7" s="15">
        <f t="shared" ref="AW7:AW42" ca="1" si="1">AL7-M7</f>
        <v>2.6252339765164834E-5</v>
      </c>
      <c r="AX7" s="15">
        <f t="shared" ref="AX7:AX42" ca="1" si="2">AM7-N7</f>
        <v>2.9633639428539027E-5</v>
      </c>
      <c r="AY7" s="15">
        <f t="shared" ref="AY7:AY42" ca="1" si="3">AN7-O7</f>
        <v>5.5064046563302327E-5</v>
      </c>
      <c r="AZ7" s="15">
        <f t="shared" ref="AZ7:AZ42" ca="1" si="4">AO7-P7</f>
        <v>-8.1190256651098025E-7</v>
      </c>
      <c r="BA7" s="15">
        <f t="shared" ref="BA7:BA42" ca="1" si="5">AP7-Q7</f>
        <v>3.6888461721673593E-5</v>
      </c>
      <c r="BB7" s="15">
        <f t="shared" ref="BB7:BB42" ca="1" si="6">AQ7-R7</f>
        <v>-5.1266935940930125E-6</v>
      </c>
      <c r="BC7" s="15">
        <f t="shared" ref="BC7:BC42" ca="1" si="7">AR7-S7</f>
        <v>5.4731820284814603E-6</v>
      </c>
      <c r="BD7" s="15">
        <f t="shared" ref="BD7:BD42" ca="1" si="8">AS7-T7</f>
        <v>7.5797184990733513E-6</v>
      </c>
      <c r="BE7" s="15">
        <f t="shared" ref="BE7:BE42" ca="1" si="9">AT7-U7</f>
        <v>4.9895188325876916E-5</v>
      </c>
      <c r="BG7" s="15" cm="1">
        <f t="array" aca="1" ref="BG7" ca="1">INDIRECT(ADDRESS(BG$1,BG$2,1,1,$A7))</f>
        <v>5.1999999999999998E-3</v>
      </c>
      <c r="BH7" s="15" cm="1">
        <f t="array" aca="1" ref="BH7" ca="1">INDIRECT(ADDRESS(BH$1,BH$2,1,1,$A7))</f>
        <v>7.0000000000000001E-3</v>
      </c>
      <c r="BI7" s="15" cm="1">
        <f t="array" aca="1" ref="BI7" ca="1">INDIRECT(ADDRESS(BI$1,BI$2,1,1,$A7))</f>
        <v>6.4999999999999997E-3</v>
      </c>
      <c r="BJ7" s="15" cm="1">
        <f t="array" aca="1" ref="BJ7" ca="1">INDIRECT(ADDRESS(BJ$1,BJ$2,1,1,$A7))</f>
        <v>5.4000000000000003E-3</v>
      </c>
      <c r="BK7" s="15" cm="1">
        <f t="array" aca="1" ref="BK7" ca="1">INDIRECT(ADDRESS(BK$1,BK$2,1,1,$A7))</f>
        <v>1.06E-2</v>
      </c>
      <c r="BN7" s="31"/>
    </row>
    <row r="8" spans="1:66" x14ac:dyDescent="0.4">
      <c r="A8" t="s">
        <v>71</v>
      </c>
      <c r="B8" t="str" cm="1">
        <f t="array" aca="1" ref="B8" ca="1">LEFT(INDIRECT(ADDRESS(B$1,B$2,1,1,$A8)),FIND("-",INDIRECT(ADDRESS(B$1,B$2,1,1,$A8)))-1)</f>
        <v>P509</v>
      </c>
      <c r="C8" t="str" cm="1">
        <f t="array" aca="1" ref="C8" ca="1">RIGHT(INDIRECT(ADDRESS(B$1,B$2,1,1,$A8)),LEN(INDIRECT(ADDRESS(B$1,B$2,1,1,$A8)))-FIND("-",INDIRECT(ADDRESS(B$1,B$2,1,1,$A8))))</f>
        <v>south</v>
      </c>
      <c r="D8" s="10" cm="1">
        <f t="array" aca="1" ref="D8" ca="1">DATE(MID(INDIRECT(ADDRESS(D$1,D$2,1,1,$A8)),1,4),MID(INDIRECT(ADDRESS(D$1,D$2,1,1,$A8)),5,2),MID(INDIRECT(ADDRESS(D$1,D$2,1,1,$A8)),7,2))+TIME(MID(INDIRECT(ADDRESS(D$1,D$2,1,1,$A8)),10,2),MID(INDIRECT(ADDRESS(D$1,D$2,1,1,$A8)),12,2),0)</f>
        <v>44537.651388888888</v>
      </c>
      <c r="E8" cm="1">
        <f t="array" aca="1" ref="E8" ca="1">INDIRECT(ADDRESS(E$1,E$2,1,1,$A8))</f>
        <v>0</v>
      </c>
      <c r="F8" s="11" cm="1">
        <f t="array" aca="1" ref="F8" ca="1">VALUE(SUBSTITUTE(INDIRECT(ADDRESS(F$1,F$2,1,1,$A8)),"┬░C",""))</f>
        <v>20</v>
      </c>
      <c r="G8" s="12" cm="1">
        <f t="array" aca="1" ref="G8" ca="1">INDIRECT(ADDRESS(G$1,G$2,1,1,$A8))</f>
        <v>25.398299999999999</v>
      </c>
      <c r="H8" cm="1">
        <f t="array" aca="1" ref="H8" ca="1">INDIRECT(ADDRESS(H$1,H$2,1,1,$A8))</f>
        <v>25.402100000000001</v>
      </c>
      <c r="I8" cm="1">
        <f t="array" aca="1" ref="I8" ca="1">INDIRECT(ADDRESS(I$1,I$2,1,1,$A8))</f>
        <v>25.403199999999998</v>
      </c>
      <c r="J8" cm="1">
        <f t="array" aca="1" ref="J8" ca="1">INDIRECT(ADDRESS(J$1,J$2,1,1,$A8))</f>
        <v>25.405200000000001</v>
      </c>
      <c r="K8" s="13" cm="1">
        <f t="array" aca="1" ref="K8" ca="1">INDIRECT(ADDRESS(K$1,K$2,1,1,$A8))</f>
        <v>25.403099999999998</v>
      </c>
      <c r="L8" s="14" cm="1">
        <f t="array" aca="1" ref="L8" ca="1">SQRT(SUMSQ(Y8:AA8-V8:X8))</f>
        <v>72.87952312069558</v>
      </c>
      <c r="M8" s="15" cm="1">
        <f t="array" aca="1" ref="M8" ca="1">SQRT(SUMSQ(AB8:AD8-V8:X8))</f>
        <v>73.712207697979025</v>
      </c>
      <c r="N8" s="15" cm="1">
        <f t="array" aca="1" ref="N8" ca="1">SQRT(SUMSQ(AE8:AG8-V8:X8))</f>
        <v>72.339681687093432</v>
      </c>
      <c r="O8" s="15" cm="1">
        <f t="array" aca="1" ref="O8" ca="1">SQRT(SUMSQ(AH8:AJ8-V8:X8))</f>
        <v>71.963857831066832</v>
      </c>
      <c r="P8" s="15" cm="1">
        <f t="array" aca="1" ref="P8" ca="1">SQRT(SUMSQ(AB8:AD8-Y8:AA8))</f>
        <v>125.93290075611694</v>
      </c>
      <c r="Q8" s="15" cm="1">
        <f t="array" aca="1" ref="Q8" ca="1">SQRT(SUMSQ(AE8:AG8-Y8:AA8))</f>
        <v>145.21629067033078</v>
      </c>
      <c r="R8" s="15" cm="1">
        <f t="array" aca="1" ref="R8" ca="1">SQRT(SUMSQ(AH8:AJ8-Y8:AA8))</f>
        <v>74.987903650322167</v>
      </c>
      <c r="S8" s="15" cm="1">
        <f t="array" aca="1" ref="S8" ca="1">SQRT(SUMSQ(AE8:AG8-AB8:AD8))</f>
        <v>73.984397137774948</v>
      </c>
      <c r="T8" s="15" cm="1">
        <f t="array" aca="1" ref="T8" ca="1">SQRT(SUMSQ(AH8:AJ8-AB8:AD8))</f>
        <v>145.67263536333786</v>
      </c>
      <c r="U8" s="16" cm="1">
        <f t="array" aca="1" ref="U8" ca="1">SQRT(SUMSQ(AH8:AJ8-AE8:AG8))</f>
        <v>123.92485732160436</v>
      </c>
      <c r="V8" cm="1">
        <f t="array" aca="1" ref="V8" ca="1">INDIRECT(ADDRESS(V$1,V$2,1,1,$A8))</f>
        <v>0</v>
      </c>
      <c r="W8" cm="1">
        <f t="array" aca="1" ref="W8" ca="1">INDIRECT(ADDRESS(W$1,W$2,1,1,$A8))</f>
        <v>0</v>
      </c>
      <c r="X8" cm="1">
        <f t="array" aca="1" ref="X8" ca="1">INDIRECT(ADDRESS(X$1,X$2,1,1,$A8))</f>
        <v>0</v>
      </c>
      <c r="Y8" cm="1">
        <f t="array" aca="1" ref="Y8" ca="1">INDIRECT(ADDRESS(Y$1,Y$2,1,1,$A8))</f>
        <v>62.4818</v>
      </c>
      <c r="Z8" cm="1">
        <f t="array" aca="1" ref="Z8" ca="1">INDIRECT(ADDRESS(Z$1,Z$2,1,1,$A8))</f>
        <v>37.515900000000002</v>
      </c>
      <c r="AA8" cm="1">
        <f t="array" aca="1" ref="AA8" ca="1">INDIRECT(ADDRESS(AA$1,AA$2,1,1,$A8))</f>
        <v>8.2500000000000004E-2</v>
      </c>
      <c r="AB8" cm="1">
        <f t="array" aca="1" ref="AB8" ca="1">INDIRECT(ADDRESS(AB$1,AB$2,1,1,$A8))</f>
        <v>-63.451099999999997</v>
      </c>
      <c r="AC8" cm="1">
        <f t="array" aca="1" ref="AC8" ca="1">INDIRECT(ADDRESS(AC$1,AC$2,1,1,$A8))</f>
        <v>37.515900000000002</v>
      </c>
      <c r="AD8" cm="1">
        <f t="array" aca="1" ref="AD8" ca="1">INDIRECT(ADDRESS(AD$1,AD$2,1,1,$A8))</f>
        <v>6.8699999999999997E-2</v>
      </c>
      <c r="AE8" cm="1">
        <f t="array" aca="1" ref="AE8" ca="1">INDIRECT(ADDRESS(AE$1,AE$2,1,1,$A8))</f>
        <v>-62.478299999999997</v>
      </c>
      <c r="AF8" cm="1">
        <f t="array" aca="1" ref="AF8" ca="1">INDIRECT(ADDRESS(AF$1,AF$2,1,1,$A8))</f>
        <v>-36.4621</v>
      </c>
      <c r="AG8" cm="1">
        <f t="array" aca="1" ref="AG8" ca="1">INDIRECT(ADDRESS(AG$1,AG$2,1,1,$A8))</f>
        <v>8.2699999999999996E-2</v>
      </c>
      <c r="AH8" cm="1">
        <f t="array" aca="1" ref="AH8" ca="1">INDIRECT(ADDRESS(AH$1,AH$2,1,1,$A8))</f>
        <v>61.442500000000003</v>
      </c>
      <c r="AI8" cm="1">
        <f t="array" aca="1" ref="AI8" ca="1">INDIRECT(ADDRESS(AI$1,AI$2,1,1,$A8))</f>
        <v>-37.464799999999997</v>
      </c>
      <c r="AJ8" cm="1">
        <f t="array" aca="1" ref="AJ8" ca="1">INDIRECT(ADDRESS(AJ$1,AJ$2,1,1,$A8))</f>
        <v>6.9199999999999998E-2</v>
      </c>
      <c r="AK8" s="15" cm="1">
        <f t="array" aca="1" ref="AK8" ca="1">INDIRECT(ADDRESS(AK$1,AK$2,1,1,$A8))</f>
        <v>72.879499999999993</v>
      </c>
      <c r="AL8" s="15" cm="1">
        <f t="array" aca="1" ref="AL8" ca="1">INDIRECT(ADDRESS(AL$1,AL$2,1,1,$A8))</f>
        <v>73.712299999999999</v>
      </c>
      <c r="AM8" s="15" cm="1">
        <f t="array" aca="1" ref="AM8" ca="1">INDIRECT(ADDRESS(AM$1,AM$2,1,1,$A8))</f>
        <v>72.339699999999993</v>
      </c>
      <c r="AN8" s="15" cm="1">
        <f t="array" aca="1" ref="AN8" ca="1">INDIRECT(ADDRESS(AN$1,AN$2,1,1,$A8))</f>
        <v>71.963899999999995</v>
      </c>
      <c r="AO8" s="15" cm="1">
        <f t="array" aca="1" ref="AO8" ca="1">INDIRECT(ADDRESS(AO$1,AO$2,1,1,$A8))</f>
        <v>125.9329</v>
      </c>
      <c r="AP8" s="15" cm="1">
        <f t="array" aca="1" ref="AP8" ca="1">INDIRECT(ADDRESS(AP$1,AP$2,1,1,$A8))</f>
        <v>145.21629999999999</v>
      </c>
      <c r="AQ8" s="15" cm="1">
        <f t="array" aca="1" ref="AQ8" ca="1">INDIRECT(ADDRESS(AQ$1,AQ$2,1,1,$A8))</f>
        <v>74.987899999999996</v>
      </c>
      <c r="AR8" s="15" cm="1">
        <f t="array" aca="1" ref="AR8" ca="1">INDIRECT(ADDRESS(AR$1,AR$2,1,1,$A8))</f>
        <v>73.984499999999997</v>
      </c>
      <c r="AS8" s="15" cm="1">
        <f t="array" aca="1" ref="AS8" ca="1">INDIRECT(ADDRESS(AS$1,AS$2,1,1,$A8))</f>
        <v>145.67269999999999</v>
      </c>
      <c r="AT8" s="15" cm="1">
        <f t="array" aca="1" ref="AT8" ca="1">INDIRECT(ADDRESS(AT$1,AT$2,1,1,$A8))</f>
        <v>123.92489999999999</v>
      </c>
      <c r="AV8" s="15">
        <f t="shared" ca="1" si="0"/>
        <v>-2.3120695587408591E-5</v>
      </c>
      <c r="AW8" s="15">
        <f t="shared" ca="1" si="1"/>
        <v>9.2302020973988874E-5</v>
      </c>
      <c r="AX8" s="15">
        <f t="shared" ca="1" si="2"/>
        <v>1.8312906561845921E-5</v>
      </c>
      <c r="AY8" s="15">
        <f t="shared" ca="1" si="3"/>
        <v>4.2168933163111433E-5</v>
      </c>
      <c r="AZ8" s="15">
        <f t="shared" ca="1" si="4"/>
        <v>-7.561169326208983E-7</v>
      </c>
      <c r="BA8" s="15">
        <f t="shared" ca="1" si="5"/>
        <v>9.3296692114108737E-6</v>
      </c>
      <c r="BB8" s="15">
        <f t="shared" ca="1" si="6"/>
        <v>-3.6503221707562261E-6</v>
      </c>
      <c r="BC8" s="15">
        <f t="shared" ca="1" si="7"/>
        <v>1.0286222504873876E-4</v>
      </c>
      <c r="BD8" s="15">
        <f t="shared" ca="1" si="8"/>
        <v>6.4636662131078992E-5</v>
      </c>
      <c r="BE8" s="15">
        <f t="shared" ca="1" si="9"/>
        <v>4.2678395629991428E-5</v>
      </c>
      <c r="BG8" s="15" cm="1">
        <f t="array" aca="1" ref="BG8" ca="1">INDIRECT(ADDRESS(BG$1,BG$2,1,1,$A8))</f>
        <v>5.1999999999999998E-3</v>
      </c>
      <c r="BH8" s="15" cm="1">
        <f t="array" aca="1" ref="BH8" ca="1">INDIRECT(ADDRESS(BH$1,BH$2,1,1,$A8))</f>
        <v>6.3E-3</v>
      </c>
      <c r="BI8" s="15" cm="1">
        <f t="array" aca="1" ref="BI8" ca="1">INDIRECT(ADDRESS(BI$1,BI$2,1,1,$A8))</f>
        <v>4.8999999999999998E-3</v>
      </c>
      <c r="BJ8" s="15" cm="1">
        <f t="array" aca="1" ref="BJ8" ca="1">INDIRECT(ADDRESS(BJ$1,BJ$2,1,1,$A8))</f>
        <v>6.6E-3</v>
      </c>
      <c r="BK8" s="15" cm="1">
        <f t="array" aca="1" ref="BK8" ca="1">INDIRECT(ADDRESS(BK$1,BK$2,1,1,$A8))</f>
        <v>8.3999999999999995E-3</v>
      </c>
      <c r="BN8" s="32"/>
    </row>
    <row r="9" spans="1:66" x14ac:dyDescent="0.4">
      <c r="A9" t="s">
        <v>74</v>
      </c>
      <c r="B9" t="str" cm="1">
        <f t="array" aca="1" ref="B9" ca="1">LEFT(INDIRECT(ADDRESS(B$1,B$2,1,1,$A9)),FIND("-",INDIRECT(ADDRESS(B$1,B$2,1,1,$A9)))-1)</f>
        <v>P509</v>
      </c>
      <c r="C9" t="str" cm="1">
        <f t="array" aca="1" ref="C9" ca="1">RIGHT(INDIRECT(ADDRESS(B$1,B$2,1,1,$A9)),LEN(INDIRECT(ADDRESS(B$1,B$2,1,1,$A9)))-FIND("-",INDIRECT(ADDRESS(B$1,B$2,1,1,$A9))))</f>
        <v>south</v>
      </c>
      <c r="D9" s="10" cm="1">
        <f t="array" aca="1" ref="D9" ca="1">DATE(MID(INDIRECT(ADDRESS(D$1,D$2,1,1,$A9)),1,4),MID(INDIRECT(ADDRESS(D$1,D$2,1,1,$A9)),5,2),MID(INDIRECT(ADDRESS(D$1,D$2,1,1,$A9)),7,2))+TIME(MID(INDIRECT(ADDRESS(D$1,D$2,1,1,$A9)),10,2),MID(INDIRECT(ADDRESS(D$1,D$2,1,1,$A9)),12,2),0)</f>
        <v>44537.65347222222</v>
      </c>
      <c r="E9" cm="1">
        <f t="array" aca="1" ref="E9" ca="1">INDIRECT(ADDRESS(E$1,E$2,1,1,$A9))</f>
        <v>0</v>
      </c>
      <c r="F9" s="11" cm="1">
        <f t="array" aca="1" ref="F9" ca="1">VALUE(SUBSTITUTE(INDIRECT(ADDRESS(F$1,F$2,1,1,$A9)),"┬░C",""))</f>
        <v>20</v>
      </c>
      <c r="G9" s="12" cm="1">
        <f t="array" aca="1" ref="G9" ca="1">INDIRECT(ADDRESS(G$1,G$2,1,1,$A9))</f>
        <v>25.3978</v>
      </c>
      <c r="H9" cm="1">
        <f t="array" aca="1" ref="H9" ca="1">INDIRECT(ADDRESS(H$1,H$2,1,1,$A9))</f>
        <v>25.4023</v>
      </c>
      <c r="I9" cm="1">
        <f t="array" aca="1" ref="I9" ca="1">INDIRECT(ADDRESS(I$1,I$2,1,1,$A9))</f>
        <v>25.402699999999999</v>
      </c>
      <c r="J9" cm="1">
        <f t="array" aca="1" ref="J9" ca="1">INDIRECT(ADDRESS(J$1,J$2,1,1,$A9))</f>
        <v>25.405000000000001</v>
      </c>
      <c r="K9" s="13" cm="1">
        <f t="array" aca="1" ref="K9" ca="1">INDIRECT(ADDRESS(K$1,K$2,1,1,$A9))</f>
        <v>25.402999999999999</v>
      </c>
      <c r="L9" s="14" cm="1">
        <f t="array" aca="1" ref="L9" ca="1">SQRT(SUMSQ(Y9:AA9-V9:X9))</f>
        <v>72.879832022995231</v>
      </c>
      <c r="M9" s="15" cm="1">
        <f t="array" aca="1" ref="M9" ca="1">SQRT(SUMSQ(AB9:AD9-V9:X9))</f>
        <v>73.711741745396296</v>
      </c>
      <c r="N9" s="15" cm="1">
        <f t="array" aca="1" ref="N9" ca="1">SQRT(SUMSQ(AE9:AG9-V9:X9))</f>
        <v>72.340135556273324</v>
      </c>
      <c r="O9" s="15" cm="1">
        <f t="array" aca="1" ref="O9" ca="1">SQRT(SUMSQ(AH9:AJ9-V9:X9))</f>
        <v>71.964763306079178</v>
      </c>
      <c r="P9" s="15" cm="1">
        <f t="array" aca="1" ref="P9" ca="1">SQRT(SUMSQ(AB9:AD9-Y9:AA9))</f>
        <v>125.93260082329755</v>
      </c>
      <c r="Q9" s="15" cm="1">
        <f t="array" aca="1" ref="Q9" ca="1">SQRT(SUMSQ(AE9:AG9-Y9:AA9))</f>
        <v>145.21705825831896</v>
      </c>
      <c r="R9" s="15" cm="1">
        <f t="array" aca="1" ref="R9" ca="1">SQRT(SUMSQ(AH9:AJ9-Y9:AA9))</f>
        <v>74.988094041521009</v>
      </c>
      <c r="S9" s="15" cm="1">
        <f t="array" aca="1" ref="S9" ca="1">SQRT(SUMSQ(AE9:AG9-AB9:AD9))</f>
        <v>73.985389280587015</v>
      </c>
      <c r="T9" s="15" cm="1">
        <f t="array" aca="1" ref="T9" ca="1">SQRT(SUMSQ(AH9:AJ9-AB9:AD9))</f>
        <v>145.67308125065523</v>
      </c>
      <c r="U9" s="16" cm="1">
        <f t="array" aca="1" ref="U9" ca="1">SQRT(SUMSQ(AH9:AJ9-AE9:AG9))</f>
        <v>123.92585088535805</v>
      </c>
      <c r="V9" cm="1">
        <f t="array" aca="1" ref="V9" ca="1">INDIRECT(ADDRESS(V$1,V$2,1,1,$A9))</f>
        <v>0</v>
      </c>
      <c r="W9" cm="1">
        <f t="array" aca="1" ref="W9" ca="1">INDIRECT(ADDRESS(W$1,W$2,1,1,$A9))</f>
        <v>0</v>
      </c>
      <c r="X9" cm="1">
        <f t="array" aca="1" ref="X9" ca="1">INDIRECT(ADDRESS(X$1,X$2,1,1,$A9))</f>
        <v>0</v>
      </c>
      <c r="Y9" cm="1">
        <f t="array" aca="1" ref="Y9" ca="1">INDIRECT(ADDRESS(Y$1,Y$2,1,1,$A9))</f>
        <v>62.482100000000003</v>
      </c>
      <c r="Z9" cm="1">
        <f t="array" aca="1" ref="Z9" ca="1">INDIRECT(ADDRESS(Z$1,Z$2,1,1,$A9))</f>
        <v>37.515999999999998</v>
      </c>
      <c r="AA9" cm="1">
        <f t="array" aca="1" ref="AA9" ca="1">INDIRECT(ADDRESS(AA$1,AA$2,1,1,$A9))</f>
        <v>8.2699999999999996E-2</v>
      </c>
      <c r="AB9" cm="1">
        <f t="array" aca="1" ref="AB9" ca="1">INDIRECT(ADDRESS(AB$1,AB$2,1,1,$A9))</f>
        <v>-63.450499999999998</v>
      </c>
      <c r="AC9" cm="1">
        <f t="array" aca="1" ref="AC9" ca="1">INDIRECT(ADDRESS(AC$1,AC$2,1,1,$A9))</f>
        <v>37.515999999999998</v>
      </c>
      <c r="AD9" cm="1">
        <f t="array" aca="1" ref="AD9" ca="1">INDIRECT(ADDRESS(AD$1,AD$2,1,1,$A9))</f>
        <v>6.83E-2</v>
      </c>
      <c r="AE9" cm="1">
        <f t="array" aca="1" ref="AE9" ca="1">INDIRECT(ADDRESS(AE$1,AE$2,1,1,$A9))</f>
        <v>-62.478299999999997</v>
      </c>
      <c r="AF9" cm="1">
        <f t="array" aca="1" ref="AF9" ca="1">INDIRECT(ADDRESS(AF$1,AF$2,1,1,$A9))</f>
        <v>-36.463000000000001</v>
      </c>
      <c r="AG9" cm="1">
        <f t="array" aca="1" ref="AG9" ca="1">INDIRECT(ADDRESS(AG$1,AG$2,1,1,$A9))</f>
        <v>8.2900000000000001E-2</v>
      </c>
      <c r="AH9" cm="1">
        <f t="array" aca="1" ref="AH9" ca="1">INDIRECT(ADDRESS(AH$1,AH$2,1,1,$A9))</f>
        <v>61.4435</v>
      </c>
      <c r="AI9" cm="1">
        <f t="array" aca="1" ref="AI9" ca="1">INDIRECT(ADDRESS(AI$1,AI$2,1,1,$A9))</f>
        <v>-37.4649</v>
      </c>
      <c r="AJ9" cm="1">
        <f t="array" aca="1" ref="AJ9" ca="1">INDIRECT(ADDRESS(AJ$1,AJ$2,1,1,$A9))</f>
        <v>6.88E-2</v>
      </c>
      <c r="AK9" s="15" cm="1">
        <f t="array" aca="1" ref="AK9" ca="1">INDIRECT(ADDRESS(AK$1,AK$2,1,1,$A9))</f>
        <v>72.879800000000003</v>
      </c>
      <c r="AL9" s="15" cm="1">
        <f t="array" aca="1" ref="AL9" ca="1">INDIRECT(ADDRESS(AL$1,AL$2,1,1,$A9))</f>
        <v>73.711699999999993</v>
      </c>
      <c r="AM9" s="15" cm="1">
        <f t="array" aca="1" ref="AM9" ca="1">INDIRECT(ADDRESS(AM$1,AM$2,1,1,$A9))</f>
        <v>72.340199999999996</v>
      </c>
      <c r="AN9" s="15" cm="1">
        <f t="array" aca="1" ref="AN9" ca="1">INDIRECT(ADDRESS(AN$1,AN$2,1,1,$A9))</f>
        <v>71.964699999999993</v>
      </c>
      <c r="AO9" s="15" cm="1">
        <f t="array" aca="1" ref="AO9" ca="1">INDIRECT(ADDRESS(AO$1,AO$2,1,1,$A9))</f>
        <v>125.93259999999999</v>
      </c>
      <c r="AP9" s="15" cm="1">
        <f t="array" aca="1" ref="AP9" ca="1">INDIRECT(ADDRESS(AP$1,AP$2,1,1,$A9))</f>
        <v>145.21709999999999</v>
      </c>
      <c r="AQ9" s="15" cm="1">
        <f t="array" aca="1" ref="AQ9" ca="1">INDIRECT(ADDRESS(AQ$1,AQ$2,1,1,$A9))</f>
        <v>74.988100000000003</v>
      </c>
      <c r="AR9" s="15" cm="1">
        <f t="array" aca="1" ref="AR9" ca="1">INDIRECT(ADDRESS(AR$1,AR$2,1,1,$A9))</f>
        <v>73.985399999999998</v>
      </c>
      <c r="AS9" s="15" cm="1">
        <f t="array" aca="1" ref="AS9" ca="1">INDIRECT(ADDRESS(AS$1,AS$2,1,1,$A9))</f>
        <v>145.673</v>
      </c>
      <c r="AT9" s="15" cm="1">
        <f t="array" aca="1" ref="AT9" ca="1">INDIRECT(ADDRESS(AT$1,AT$2,1,1,$A9))</f>
        <v>123.9258</v>
      </c>
      <c r="AV9" s="15">
        <f t="shared" ca="1" si="0"/>
        <v>-3.2022995227976025E-5</v>
      </c>
      <c r="AW9" s="15">
        <f t="shared" ca="1" si="1"/>
        <v>-4.1745396302417248E-5</v>
      </c>
      <c r="AX9" s="15">
        <f t="shared" ca="1" si="2"/>
        <v>6.4443726671470358E-5</v>
      </c>
      <c r="AY9" s="15">
        <f t="shared" ca="1" si="3"/>
        <v>-6.3306079184144437E-5</v>
      </c>
      <c r="AZ9" s="15">
        <f t="shared" ca="1" si="4"/>
        <v>-8.2329755457521969E-7</v>
      </c>
      <c r="BA9" s="15">
        <f t="shared" ca="1" si="5"/>
        <v>4.174168103077136E-5</v>
      </c>
      <c r="BB9" s="15">
        <f t="shared" ca="1" si="6"/>
        <v>5.9584789937616733E-6</v>
      </c>
      <c r="BC9" s="15">
        <f t="shared" ca="1" si="7"/>
        <v>1.0719412983917209E-5</v>
      </c>
      <c r="BD9" s="15">
        <f t="shared" ca="1" si="8"/>
        <v>-8.1250655227904645E-5</v>
      </c>
      <c r="BE9" s="15">
        <f t="shared" ca="1" si="9"/>
        <v>-5.0885358049868046E-5</v>
      </c>
      <c r="BG9" s="15" cm="1">
        <f t="array" aca="1" ref="BG9" ca="1">INDIRECT(ADDRESS(BG$1,BG$2,1,1,$A9))</f>
        <v>7.0000000000000001E-3</v>
      </c>
      <c r="BH9" s="15" cm="1">
        <f t="array" aca="1" ref="BH9" ca="1">INDIRECT(ADDRESS(BH$1,BH$2,1,1,$A9))</f>
        <v>5.7999999999999996E-3</v>
      </c>
      <c r="BI9" s="15" cm="1">
        <f t="array" aca="1" ref="BI9" ca="1">INDIRECT(ADDRESS(BI$1,BI$2,1,1,$A9))</f>
        <v>5.4999999999999997E-3</v>
      </c>
      <c r="BJ9" s="15" cm="1">
        <f t="array" aca="1" ref="BJ9" ca="1">INDIRECT(ADDRESS(BJ$1,BJ$2,1,1,$A9))</f>
        <v>6.4999999999999997E-3</v>
      </c>
      <c r="BK9" s="15" cm="1">
        <f t="array" aca="1" ref="BK9" ca="1">INDIRECT(ADDRESS(BK$1,BK$2,1,1,$A9))</f>
        <v>9.5999999999999992E-3</v>
      </c>
      <c r="BN9" s="32"/>
    </row>
    <row r="10" spans="1:66" x14ac:dyDescent="0.4">
      <c r="A10" t="s">
        <v>77</v>
      </c>
      <c r="B10" t="str" cm="1">
        <f t="array" aca="1" ref="B10" ca="1">LEFT(INDIRECT(ADDRESS(B$1,B$2,1,1,$A10)),FIND("-",INDIRECT(ADDRESS(B$1,B$2,1,1,$A10)))-1)</f>
        <v>P509</v>
      </c>
      <c r="C10" t="str" cm="1">
        <f t="array" aca="1" ref="C10" ca="1">RIGHT(INDIRECT(ADDRESS(B$1,B$2,1,1,$A10)),LEN(INDIRECT(ADDRESS(B$1,B$2,1,1,$A10)))-FIND("-",INDIRECT(ADDRESS(B$1,B$2,1,1,$A10))))</f>
        <v>south</v>
      </c>
      <c r="D10" s="10" cm="1">
        <f t="array" aca="1" ref="D10" ca="1">DATE(MID(INDIRECT(ADDRESS(D$1,D$2,1,1,$A10)),1,4),MID(INDIRECT(ADDRESS(D$1,D$2,1,1,$A10)),5,2),MID(INDIRECT(ADDRESS(D$1,D$2,1,1,$A10)),7,2))+TIME(MID(INDIRECT(ADDRESS(D$1,D$2,1,1,$A10)),10,2),MID(INDIRECT(ADDRESS(D$1,D$2,1,1,$A10)),12,2),0)</f>
        <v>44537.655555555553</v>
      </c>
      <c r="E10" cm="1">
        <f t="array" aca="1" ref="E10" ca="1">INDIRECT(ADDRESS(E$1,E$2,1,1,$A10))</f>
        <v>0</v>
      </c>
      <c r="F10" s="11" cm="1">
        <f t="array" aca="1" ref="F10" ca="1">VALUE(SUBSTITUTE(INDIRECT(ADDRESS(F$1,F$2,1,1,$A10)),"┬░C",""))</f>
        <v>20</v>
      </c>
      <c r="G10" s="12" cm="1">
        <f t="array" aca="1" ref="G10" ca="1">INDIRECT(ADDRESS(G$1,G$2,1,1,$A10))</f>
        <v>25.399000000000001</v>
      </c>
      <c r="H10" cm="1">
        <f t="array" aca="1" ref="H10" ca="1">INDIRECT(ADDRESS(H$1,H$2,1,1,$A10))</f>
        <v>25.402100000000001</v>
      </c>
      <c r="I10" cm="1">
        <f t="array" aca="1" ref="I10" ca="1">INDIRECT(ADDRESS(I$1,I$2,1,1,$A10))</f>
        <v>25.4026</v>
      </c>
      <c r="J10" cm="1">
        <f t="array" aca="1" ref="J10" ca="1">INDIRECT(ADDRESS(J$1,J$2,1,1,$A10))</f>
        <v>25.404800000000002</v>
      </c>
      <c r="K10" s="13" cm="1">
        <f t="array" aca="1" ref="K10" ca="1">INDIRECT(ADDRESS(K$1,K$2,1,1,$A10))</f>
        <v>25.402899999999999</v>
      </c>
      <c r="L10" s="14" cm="1">
        <f t="array" aca="1" ref="L10" ca="1">SQRT(SUMSQ(Y10:AA10-V10:X10))</f>
        <v>72.87993520345637</v>
      </c>
      <c r="M10" s="15" cm="1">
        <f t="array" aca="1" ref="M10" ca="1">SQRT(SUMSQ(AB10:AD10-V10:X10))</f>
        <v>73.711757550339286</v>
      </c>
      <c r="N10" s="15" cm="1">
        <f t="array" aca="1" ref="N10" ca="1">SQRT(SUMSQ(AE10:AG10-V10:X10))</f>
        <v>72.339228784456921</v>
      </c>
      <c r="O10" s="15" cm="1">
        <f t="array" aca="1" ref="O10" ca="1">SQRT(SUMSQ(AH10:AJ10-V10:X10))</f>
        <v>71.964530073085314</v>
      </c>
      <c r="P10" s="15" cm="1">
        <f t="array" aca="1" ref="P10" ca="1">SQRT(SUMSQ(AB10:AD10-Y10:AA10))</f>
        <v>125.9325008347726</v>
      </c>
      <c r="Q10" s="15" cm="1">
        <f t="array" aca="1" ref="Q10" ca="1">SQRT(SUMSQ(AE10:AG10-Y10:AA10))</f>
        <v>145.2162521279557</v>
      </c>
      <c r="R10" s="15" cm="1">
        <f t="array" aca="1" ref="R10" ca="1">SQRT(SUMSQ(AH10:AJ10-Y10:AA10))</f>
        <v>74.989003690807891</v>
      </c>
      <c r="S10" s="15" cm="1">
        <f t="array" aca="1" ref="S10" ca="1">SQRT(SUMSQ(AE10:AG10-AB10:AD10))</f>
        <v>73.984997221666504</v>
      </c>
      <c r="T10" s="15" cm="1">
        <f t="array" aca="1" ref="T10" ca="1">SQRT(SUMSQ(AH10:AJ10-AB10:AD10))</f>
        <v>145.67285861697093</v>
      </c>
      <c r="U10" s="16" cm="1">
        <f t="array" aca="1" ref="U10" ca="1">SQRT(SUMSQ(AH10:AJ10-AE10:AG10))</f>
        <v>123.92446147105099</v>
      </c>
      <c r="V10" cm="1">
        <f t="array" aca="1" ref="V10" ca="1">INDIRECT(ADDRESS(V$1,V$2,1,1,$A10))</f>
        <v>0</v>
      </c>
      <c r="W10" cm="1">
        <f t="array" aca="1" ref="W10" ca="1">INDIRECT(ADDRESS(W$1,W$2,1,1,$A10))</f>
        <v>0</v>
      </c>
      <c r="X10" cm="1">
        <f t="array" aca="1" ref="X10" ca="1">INDIRECT(ADDRESS(X$1,X$2,1,1,$A10))</f>
        <v>0</v>
      </c>
      <c r="Y10" cm="1">
        <f t="array" aca="1" ref="Y10" ca="1">INDIRECT(ADDRESS(Y$1,Y$2,1,1,$A10))</f>
        <v>62.482100000000003</v>
      </c>
      <c r="Z10" cm="1">
        <f t="array" aca="1" ref="Z10" ca="1">INDIRECT(ADDRESS(Z$1,Z$2,1,1,$A10))</f>
        <v>37.516199999999998</v>
      </c>
      <c r="AA10" cm="1">
        <f t="array" aca="1" ref="AA10" ca="1">INDIRECT(ADDRESS(AA$1,AA$2,1,1,$A10))</f>
        <v>8.2900000000000001E-2</v>
      </c>
      <c r="AB10" cm="1">
        <f t="array" aca="1" ref="AB10" ca="1">INDIRECT(ADDRESS(AB$1,AB$2,1,1,$A10))</f>
        <v>-63.450400000000002</v>
      </c>
      <c r="AC10" cm="1">
        <f t="array" aca="1" ref="AC10" ca="1">INDIRECT(ADDRESS(AC$1,AC$2,1,1,$A10))</f>
        <v>37.516199999999998</v>
      </c>
      <c r="AD10" cm="1">
        <f t="array" aca="1" ref="AD10" ca="1">INDIRECT(ADDRESS(AD$1,AD$2,1,1,$A10))</f>
        <v>6.8400000000000002E-2</v>
      </c>
      <c r="AE10" cm="1">
        <f t="array" aca="1" ref="AE10" ca="1">INDIRECT(ADDRESS(AE$1,AE$2,1,1,$A10))</f>
        <v>-62.477600000000002</v>
      </c>
      <c r="AF10" cm="1">
        <f t="array" aca="1" ref="AF10" ca="1">INDIRECT(ADDRESS(AF$1,AF$2,1,1,$A10))</f>
        <v>-36.462400000000002</v>
      </c>
      <c r="AG10" cm="1">
        <f t="array" aca="1" ref="AG10" ca="1">INDIRECT(ADDRESS(AG$1,AG$2,1,1,$A10))</f>
        <v>8.3099999999999993E-2</v>
      </c>
      <c r="AH10" cm="1">
        <f t="array" aca="1" ref="AH10" ca="1">INDIRECT(ADDRESS(AH$1,AH$2,1,1,$A10))</f>
        <v>61.442799999999998</v>
      </c>
      <c r="AI10" cm="1">
        <f t="array" aca="1" ref="AI10" ca="1">INDIRECT(ADDRESS(AI$1,AI$2,1,1,$A10))</f>
        <v>-37.465600000000002</v>
      </c>
      <c r="AJ10" cm="1">
        <f t="array" aca="1" ref="AJ10" ca="1">INDIRECT(ADDRESS(AJ$1,AJ$2,1,1,$A10))</f>
        <v>6.88E-2</v>
      </c>
      <c r="AK10" s="15" cm="1">
        <f t="array" aca="1" ref="AK10" ca="1">INDIRECT(ADDRESS(AK$1,AK$2,1,1,$A10))</f>
        <v>72.879900000000006</v>
      </c>
      <c r="AL10" s="15" cm="1">
        <f t="array" aca="1" ref="AL10" ca="1">INDIRECT(ADDRESS(AL$1,AL$2,1,1,$A10))</f>
        <v>73.711799999999997</v>
      </c>
      <c r="AM10" s="15" cm="1">
        <f t="array" aca="1" ref="AM10" ca="1">INDIRECT(ADDRESS(AM$1,AM$2,1,1,$A10))</f>
        <v>72.339200000000005</v>
      </c>
      <c r="AN10" s="15" cm="1">
        <f t="array" aca="1" ref="AN10" ca="1">INDIRECT(ADDRESS(AN$1,AN$2,1,1,$A10))</f>
        <v>71.964600000000004</v>
      </c>
      <c r="AO10" s="15" cm="1">
        <f t="array" aca="1" ref="AO10" ca="1">INDIRECT(ADDRESS(AO$1,AO$2,1,1,$A10))</f>
        <v>125.9325</v>
      </c>
      <c r="AP10" s="15" cm="1">
        <f t="array" aca="1" ref="AP10" ca="1">INDIRECT(ADDRESS(AP$1,AP$2,1,1,$A10))</f>
        <v>145.21619999999999</v>
      </c>
      <c r="AQ10" s="15" cm="1">
        <f t="array" aca="1" ref="AQ10" ca="1">INDIRECT(ADDRESS(AQ$1,AQ$2,1,1,$A10))</f>
        <v>74.989000000000004</v>
      </c>
      <c r="AR10" s="15" cm="1">
        <f t="array" aca="1" ref="AR10" ca="1">INDIRECT(ADDRESS(AR$1,AR$2,1,1,$A10))</f>
        <v>73.984899999999996</v>
      </c>
      <c r="AS10" s="15" cm="1">
        <f t="array" aca="1" ref="AS10" ca="1">INDIRECT(ADDRESS(AS$1,AS$2,1,1,$A10))</f>
        <v>145.6729</v>
      </c>
      <c r="AT10" s="15" cm="1">
        <f t="array" aca="1" ref="AT10" ca="1">INDIRECT(ADDRESS(AT$1,AT$2,1,1,$A10))</f>
        <v>123.9246</v>
      </c>
      <c r="AV10" s="15">
        <f t="shared" ca="1" si="0"/>
        <v>-3.5203456363319674E-5</v>
      </c>
      <c r="AW10" s="15">
        <f t="shared" ca="1" si="1"/>
        <v>4.2449660710985881E-5</v>
      </c>
      <c r="AX10" s="15">
        <f t="shared" ca="1" si="2"/>
        <v>-2.8784456915786905E-5</v>
      </c>
      <c r="AY10" s="15">
        <f t="shared" ca="1" si="3"/>
        <v>6.9926914690654485E-5</v>
      </c>
      <c r="AZ10" s="15">
        <f t="shared" ca="1" si="4"/>
        <v>-8.3477259238406987E-7</v>
      </c>
      <c r="BA10" s="15">
        <f t="shared" ca="1" si="5"/>
        <v>-5.2127955711966933E-5</v>
      </c>
      <c r="BB10" s="15">
        <f t="shared" ca="1" si="6"/>
        <v>-3.6908078868691518E-6</v>
      </c>
      <c r="BC10" s="15">
        <f t="shared" ca="1" si="7"/>
        <v>-9.7221666507607551E-5</v>
      </c>
      <c r="BD10" s="15">
        <f t="shared" ca="1" si="8"/>
        <v>4.138302907108482E-5</v>
      </c>
      <c r="BE10" s="15">
        <f t="shared" ca="1" si="9"/>
        <v>1.3852894900878709E-4</v>
      </c>
      <c r="BG10" s="15" cm="1">
        <f t="array" aca="1" ref="BG10" ca="1">INDIRECT(ADDRESS(BG$1,BG$2,1,1,$A10))</f>
        <v>9.1999999999999998E-3</v>
      </c>
      <c r="BH10" s="15" cm="1">
        <f t="array" aca="1" ref="BH10" ca="1">INDIRECT(ADDRESS(BH$1,BH$2,1,1,$A10))</f>
        <v>6.1000000000000004E-3</v>
      </c>
      <c r="BI10" s="15" cm="1">
        <f t="array" aca="1" ref="BI10" ca="1">INDIRECT(ADDRESS(BI$1,BI$2,1,1,$A10))</f>
        <v>6.7000000000000002E-3</v>
      </c>
      <c r="BJ10" s="15" cm="1">
        <f t="array" aca="1" ref="BJ10" ca="1">INDIRECT(ADDRESS(BJ$1,BJ$2,1,1,$A10))</f>
        <v>7.4999999999999997E-3</v>
      </c>
      <c r="BK10" s="15" cm="1">
        <f t="array" aca="1" ref="BK10" ca="1">INDIRECT(ADDRESS(BK$1,BK$2,1,1,$A10))</f>
        <v>8.0000000000000002E-3</v>
      </c>
      <c r="BN10" s="32"/>
    </row>
    <row r="11" spans="1:66" x14ac:dyDescent="0.4">
      <c r="A11" t="s">
        <v>80</v>
      </c>
      <c r="B11" t="str" cm="1">
        <f t="array" aca="1" ref="B11" ca="1">LEFT(INDIRECT(ADDRESS(B$1,B$2,1,1,$A11)),FIND("-",INDIRECT(ADDRESS(B$1,B$2,1,1,$A11)))-1)</f>
        <v>P509</v>
      </c>
      <c r="C11" t="str" cm="1">
        <f t="array" aca="1" ref="C11" ca="1">RIGHT(INDIRECT(ADDRESS(B$1,B$2,1,1,$A11)),LEN(INDIRECT(ADDRESS(B$1,B$2,1,1,$A11)))-FIND("-",INDIRECT(ADDRESS(B$1,B$2,1,1,$A11))))</f>
        <v>south</v>
      </c>
      <c r="D11" s="10" cm="1">
        <f t="array" aca="1" ref="D11" ca="1">DATE(MID(INDIRECT(ADDRESS(D$1,D$2,1,1,$A11)),1,4),MID(INDIRECT(ADDRESS(D$1,D$2,1,1,$A11)),5,2),MID(INDIRECT(ADDRESS(D$1,D$2,1,1,$A11)),7,2))+TIME(MID(INDIRECT(ADDRESS(D$1,D$2,1,1,$A11)),10,2),MID(INDIRECT(ADDRESS(D$1,D$2,1,1,$A11)),12,2),0)</f>
        <v>44537.658333333333</v>
      </c>
      <c r="E11" cm="1">
        <f t="array" aca="1" ref="E11" ca="1">INDIRECT(ADDRESS(E$1,E$2,1,1,$A11))</f>
        <v>0</v>
      </c>
      <c r="F11" s="11" cm="1">
        <f t="array" aca="1" ref="F11" ca="1">VALUE(SUBSTITUTE(INDIRECT(ADDRESS(F$1,F$2,1,1,$A11)),"┬░C",""))</f>
        <v>20</v>
      </c>
      <c r="G11" s="12" cm="1">
        <f t="array" aca="1" ref="G11" ca="1">INDIRECT(ADDRESS(G$1,G$2,1,1,$A11))</f>
        <v>25.398800000000001</v>
      </c>
      <c r="H11" cm="1">
        <f t="array" aca="1" ref="H11" ca="1">INDIRECT(ADDRESS(H$1,H$2,1,1,$A11))</f>
        <v>25.401900000000001</v>
      </c>
      <c r="I11" cm="1">
        <f t="array" aca="1" ref="I11" ca="1">INDIRECT(ADDRESS(I$1,I$2,1,1,$A11))</f>
        <v>25.4024</v>
      </c>
      <c r="J11" cm="1">
        <f t="array" aca="1" ref="J11" ca="1">INDIRECT(ADDRESS(J$1,J$2,1,1,$A11))</f>
        <v>25.404599999999999</v>
      </c>
      <c r="K11" s="13" cm="1">
        <f t="array" aca="1" ref="K11" ca="1">INDIRECT(ADDRESS(K$1,K$2,1,1,$A11))</f>
        <v>25.402899999999999</v>
      </c>
      <c r="L11" s="14" cm="1">
        <f t="array" aca="1" ref="L11" ca="1">SQRT(SUMSQ(Y11:AA11-V11:X11))</f>
        <v>72.879643976833478</v>
      </c>
      <c r="M11" s="15" cm="1">
        <f t="array" aca="1" ref="M11" ca="1">SQRT(SUMSQ(AB11:AD11-V11:X11))</f>
        <v>73.712411279173324</v>
      </c>
      <c r="N11" s="15" cm="1">
        <f t="array" aca="1" ref="N11" ca="1">SQRT(SUMSQ(AE11:AG11-V11:X11))</f>
        <v>72.339912876018857</v>
      </c>
      <c r="O11" s="15" cm="1">
        <f t="array" aca="1" ref="O11" ca="1">SQRT(SUMSQ(AH11:AJ11-V11:X11))</f>
        <v>71.964370013639382</v>
      </c>
      <c r="P11" s="15" cm="1">
        <f t="array" aca="1" ref="P11" ca="1">SQRT(SUMSQ(AB11:AD11-Y11:AA11))</f>
        <v>125.93280082329622</v>
      </c>
      <c r="Q11" s="15" cm="1">
        <f t="array" aca="1" ref="Q11" ca="1">SQRT(SUMSQ(AE11:AG11-Y11:AA11))</f>
        <v>145.21664384195083</v>
      </c>
      <c r="R11" s="15" cm="1">
        <f t="array" aca="1" ref="R11" ca="1">SQRT(SUMSQ(AH11:AJ11-Y11:AA11))</f>
        <v>74.988294040936808</v>
      </c>
      <c r="S11" s="15" cm="1">
        <f t="array" aca="1" ref="S11" ca="1">SQRT(SUMSQ(AE11:AG11-AB11:AD11))</f>
        <v>73.985599779957184</v>
      </c>
      <c r="T11" s="15" cm="1">
        <f t="array" aca="1" ref="T11" ca="1">SQRT(SUMSQ(AH11:AJ11-AB11:AD11))</f>
        <v>145.67335566605857</v>
      </c>
      <c r="U11" s="16" cm="1">
        <f t="array" aca="1" ref="U11" ca="1">SQRT(SUMSQ(AH11:AJ11-AE11:AG11))</f>
        <v>123.9252509163891</v>
      </c>
      <c r="V11" cm="1">
        <f t="array" aca="1" ref="V11" ca="1">INDIRECT(ADDRESS(V$1,V$2,1,1,$A11))</f>
        <v>0</v>
      </c>
      <c r="W11" cm="1">
        <f t="array" aca="1" ref="W11" ca="1">INDIRECT(ADDRESS(W$1,W$2,1,1,$A11))</f>
        <v>0</v>
      </c>
      <c r="X11" cm="1">
        <f t="array" aca="1" ref="X11" ca="1">INDIRECT(ADDRESS(X$1,X$2,1,1,$A11))</f>
        <v>0</v>
      </c>
      <c r="Y11" cm="1">
        <f t="array" aca="1" ref="Y11" ca="1">INDIRECT(ADDRESS(Y$1,Y$2,1,1,$A11))</f>
        <v>62.481699999999996</v>
      </c>
      <c r="Z11" cm="1">
        <f t="array" aca="1" ref="Z11" ca="1">INDIRECT(ADDRESS(Z$1,Z$2,1,1,$A11))</f>
        <v>37.516300000000001</v>
      </c>
      <c r="AA11" cm="1">
        <f t="array" aca="1" ref="AA11" ca="1">INDIRECT(ADDRESS(AA$1,AA$2,1,1,$A11))</f>
        <v>8.3099999999999993E-2</v>
      </c>
      <c r="AB11" cm="1">
        <f t="array" aca="1" ref="AB11" ca="1">INDIRECT(ADDRESS(AB$1,AB$2,1,1,$A11))</f>
        <v>-63.451099999999997</v>
      </c>
      <c r="AC11" cm="1">
        <f t="array" aca="1" ref="AC11" ca="1">INDIRECT(ADDRESS(AC$1,AC$2,1,1,$A11))</f>
        <v>37.516300000000001</v>
      </c>
      <c r="AD11" cm="1">
        <f t="array" aca="1" ref="AD11" ca="1">INDIRECT(ADDRESS(AD$1,AD$2,1,1,$A11))</f>
        <v>6.8699999999999997E-2</v>
      </c>
      <c r="AE11" cm="1">
        <f t="array" aca="1" ref="AE11" ca="1">INDIRECT(ADDRESS(AE$1,AE$2,1,1,$A11))</f>
        <v>-62.478099999999998</v>
      </c>
      <c r="AF11" cm="1">
        <f t="array" aca="1" ref="AF11" ca="1">INDIRECT(ADDRESS(AF$1,AF$2,1,1,$A11))</f>
        <v>-36.462899999999998</v>
      </c>
      <c r="AG11" cm="1">
        <f t="array" aca="1" ref="AG11" ca="1">INDIRECT(ADDRESS(AG$1,AG$2,1,1,$A11))</f>
        <v>8.3299999999999999E-2</v>
      </c>
      <c r="AH11" cm="1">
        <f t="array" aca="1" ref="AH11" ca="1">INDIRECT(ADDRESS(AH$1,AH$2,1,1,$A11))</f>
        <v>61.443100000000001</v>
      </c>
      <c r="AI11" cm="1">
        <f t="array" aca="1" ref="AI11" ca="1">INDIRECT(ADDRESS(AI$1,AI$2,1,1,$A11))</f>
        <v>-37.464799999999997</v>
      </c>
      <c r="AJ11" cm="1">
        <f t="array" aca="1" ref="AJ11" ca="1">INDIRECT(ADDRESS(AJ$1,AJ$2,1,1,$A11))</f>
        <v>6.9099999999999995E-2</v>
      </c>
      <c r="AK11" s="15" cm="1">
        <f t="array" aca="1" ref="AK11" ca="1">INDIRECT(ADDRESS(AK$1,AK$2,1,1,$A11))</f>
        <v>72.879599999999996</v>
      </c>
      <c r="AL11" s="15" cm="1">
        <f t="array" aca="1" ref="AL11" ca="1">INDIRECT(ADDRESS(AL$1,AL$2,1,1,$A11))</f>
        <v>73.712400000000002</v>
      </c>
      <c r="AM11" s="15" cm="1">
        <f t="array" aca="1" ref="AM11" ca="1">INDIRECT(ADDRESS(AM$1,AM$2,1,1,$A11))</f>
        <v>72.3399</v>
      </c>
      <c r="AN11" s="15" cm="1">
        <f t="array" aca="1" ref="AN11" ca="1">INDIRECT(ADDRESS(AN$1,AN$2,1,1,$A11))</f>
        <v>71.964399999999998</v>
      </c>
      <c r="AO11" s="15" cm="1">
        <f t="array" aca="1" ref="AO11" ca="1">INDIRECT(ADDRESS(AO$1,AO$2,1,1,$A11))</f>
        <v>125.9327</v>
      </c>
      <c r="AP11" s="15" cm="1">
        <f t="array" aca="1" ref="AP11" ca="1">INDIRECT(ADDRESS(AP$1,AP$2,1,1,$A11))</f>
        <v>145.2167</v>
      </c>
      <c r="AQ11" s="15" cm="1">
        <f t="array" aca="1" ref="AQ11" ca="1">INDIRECT(ADDRESS(AQ$1,AQ$2,1,1,$A11))</f>
        <v>74.988299999999995</v>
      </c>
      <c r="AR11" s="15" cm="1">
        <f t="array" aca="1" ref="AR11" ca="1">INDIRECT(ADDRESS(AR$1,AR$2,1,1,$A11))</f>
        <v>73.985600000000005</v>
      </c>
      <c r="AS11" s="15" cm="1">
        <f t="array" aca="1" ref="AS11" ca="1">INDIRECT(ADDRESS(AS$1,AS$2,1,1,$A11))</f>
        <v>145.67330000000001</v>
      </c>
      <c r="AT11" s="15" cm="1">
        <f t="array" aca="1" ref="AT11" ca="1">INDIRECT(ADDRESS(AT$1,AT$2,1,1,$A11))</f>
        <v>123.92529999999999</v>
      </c>
      <c r="AV11" s="15">
        <f t="shared" ca="1" si="0"/>
        <v>-4.3976833481451649E-5</v>
      </c>
      <c r="AW11" s="15">
        <f t="shared" ca="1" si="1"/>
        <v>-1.1279173321554481E-5</v>
      </c>
      <c r="AX11" s="15">
        <f t="shared" ca="1" si="2"/>
        <v>-1.287601885735512E-5</v>
      </c>
      <c r="AY11" s="15">
        <f t="shared" ca="1" si="3"/>
        <v>2.998636061590787E-5</v>
      </c>
      <c r="AZ11" s="15">
        <f t="shared" ca="1" si="4"/>
        <v>-1.0082329622207453E-4</v>
      </c>
      <c r="BA11" s="15">
        <f t="shared" ca="1" si="5"/>
        <v>5.6158049176247005E-5</v>
      </c>
      <c r="BB11" s="15">
        <f t="shared" ca="1" si="6"/>
        <v>5.9590631877881606E-6</v>
      </c>
      <c r="BC11" s="15">
        <f t="shared" ca="1" si="7"/>
        <v>2.2004282129728381E-7</v>
      </c>
      <c r="BD11" s="15">
        <f t="shared" ca="1" si="8"/>
        <v>-5.5666058557335418E-5</v>
      </c>
      <c r="BE11" s="15">
        <f t="shared" ca="1" si="9"/>
        <v>4.9083610889510965E-5</v>
      </c>
      <c r="BG11" s="15" cm="1">
        <f t="array" aca="1" ref="BG11" ca="1">INDIRECT(ADDRESS(BG$1,BG$2,1,1,$A11))</f>
        <v>7.4999999999999997E-3</v>
      </c>
      <c r="BH11" s="15" cm="1">
        <f t="array" aca="1" ref="BH11" ca="1">INDIRECT(ADDRESS(BH$1,BH$2,1,1,$A11))</f>
        <v>7.1000000000000004E-3</v>
      </c>
      <c r="BI11" s="15" cm="1">
        <f t="array" aca="1" ref="BI11" ca="1">INDIRECT(ADDRESS(BI$1,BI$2,1,1,$A11))</f>
        <v>5.0000000000000001E-3</v>
      </c>
      <c r="BJ11" s="15" cm="1">
        <f t="array" aca="1" ref="BJ11" ca="1">INDIRECT(ADDRESS(BJ$1,BJ$2,1,1,$A11))</f>
        <v>5.4000000000000003E-3</v>
      </c>
      <c r="BK11" s="15" cm="1">
        <f t="array" aca="1" ref="BK11" ca="1">INDIRECT(ADDRESS(BK$1,BK$2,1,1,$A11))</f>
        <v>8.6999999999999994E-3</v>
      </c>
      <c r="BN11" s="32"/>
    </row>
    <row r="12" spans="1:66" x14ac:dyDescent="0.4">
      <c r="A12" t="s">
        <v>83</v>
      </c>
      <c r="B12" t="str" cm="1">
        <f t="array" aca="1" ref="B12" ca="1">LEFT(INDIRECT(ADDRESS(B$1,B$2,1,1,$A12)),FIND("-",INDIRECT(ADDRESS(B$1,B$2,1,1,$A12)))-1)</f>
        <v>P509</v>
      </c>
      <c r="C12" t="str" cm="1">
        <f t="array" aca="1" ref="C12" ca="1">RIGHT(INDIRECT(ADDRESS(B$1,B$2,1,1,$A12)),LEN(INDIRECT(ADDRESS(B$1,B$2,1,1,$A12)))-FIND("-",INDIRECT(ADDRESS(B$1,B$2,1,1,$A12))))</f>
        <v>south</v>
      </c>
      <c r="D12" s="10" cm="1">
        <f t="array" aca="1" ref="D12" ca="1">DATE(MID(INDIRECT(ADDRESS(D$1,D$2,1,1,$A12)),1,4),MID(INDIRECT(ADDRESS(D$1,D$2,1,1,$A12)),5,2),MID(INDIRECT(ADDRESS(D$1,D$2,1,1,$A12)),7,2))+TIME(MID(INDIRECT(ADDRESS(D$1,D$2,1,1,$A12)),10,2),MID(INDIRECT(ADDRESS(D$1,D$2,1,1,$A12)),12,2),0)</f>
        <v>44537.660416666666</v>
      </c>
      <c r="E12" cm="1">
        <f t="array" aca="1" ref="E12" ca="1">INDIRECT(ADDRESS(E$1,E$2,1,1,$A12))</f>
        <v>0</v>
      </c>
      <c r="F12" s="11" cm="1">
        <f t="array" aca="1" ref="F12" ca="1">VALUE(SUBSTITUTE(INDIRECT(ADDRESS(F$1,F$2,1,1,$A12)),"┬░C",""))</f>
        <v>20</v>
      </c>
      <c r="G12" s="12" cm="1">
        <f t="array" aca="1" ref="G12" ca="1">INDIRECT(ADDRESS(G$1,G$2,1,1,$A12))</f>
        <v>25.398</v>
      </c>
      <c r="H12" cm="1">
        <f t="array" aca="1" ref="H12" ca="1">INDIRECT(ADDRESS(H$1,H$2,1,1,$A12))</f>
        <v>25.401900000000001</v>
      </c>
      <c r="I12" cm="1">
        <f t="array" aca="1" ref="I12" ca="1">INDIRECT(ADDRESS(I$1,I$2,1,1,$A12))</f>
        <v>25.403300000000002</v>
      </c>
      <c r="J12" cm="1">
        <f t="array" aca="1" ref="J12" ca="1">INDIRECT(ADDRESS(J$1,J$2,1,1,$A12))</f>
        <v>25.404800000000002</v>
      </c>
      <c r="K12" s="13" cm="1">
        <f t="array" aca="1" ref="K12" ca="1">INDIRECT(ADDRESS(K$1,K$2,1,1,$A12))</f>
        <v>25.402999999999999</v>
      </c>
      <c r="L12" s="14" cm="1">
        <f t="array" aca="1" ref="L12" ca="1">SQRT(SUMSQ(Y12:AA12-V12:X12))</f>
        <v>72.880312918441831</v>
      </c>
      <c r="M12" s="15" cm="1">
        <f t="array" aca="1" ref="M12" ca="1">SQRT(SUMSQ(AB12:AD12-V12:X12))</f>
        <v>73.712477700929298</v>
      </c>
      <c r="N12" s="15" cm="1">
        <f t="array" aca="1" ref="N12" ca="1">SQRT(SUMSQ(AE12:AG12-V12:X12))</f>
        <v>72.338998913518282</v>
      </c>
      <c r="O12" s="15" cm="1">
        <f t="array" aca="1" ref="O12" ca="1">SQRT(SUMSQ(AH12:AJ12-V12:X12))</f>
        <v>71.964730081964447</v>
      </c>
      <c r="P12" s="15" cm="1">
        <f t="array" aca="1" ref="P12" ca="1">SQRT(SUMSQ(AB12:AD12-Y12:AA12))</f>
        <v>125.93330085795417</v>
      </c>
      <c r="Q12" s="15" cm="1">
        <f t="array" aca="1" ref="Q12" ca="1">SQRT(SUMSQ(AE12:AG12-Y12:AA12))</f>
        <v>145.21640152806432</v>
      </c>
      <c r="R12" s="15" cm="1">
        <f t="array" aca="1" ref="R12" ca="1">SQRT(SUMSQ(AH12:AJ12-Y12:AA12))</f>
        <v>74.98879820519862</v>
      </c>
      <c r="S12" s="15" cm="1">
        <f t="array" aca="1" ref="S12" ca="1">SQRT(SUMSQ(AE12:AG12-AB12:AD12))</f>
        <v>73.985811663994056</v>
      </c>
      <c r="T12" s="15" cm="1">
        <f t="array" aca="1" ref="T12" ca="1">SQRT(SUMSQ(AH12:AJ12-AB12:AD12))</f>
        <v>145.67378449837841</v>
      </c>
      <c r="U12" s="16" cm="1">
        <f t="array" aca="1" ref="U12" ca="1">SQRT(SUMSQ(AH12:AJ12-AE12:AG12))</f>
        <v>123.92455339980047</v>
      </c>
      <c r="V12" cm="1">
        <f t="array" aca="1" ref="V12" ca="1">INDIRECT(ADDRESS(V$1,V$2,1,1,$A12))</f>
        <v>0</v>
      </c>
      <c r="W12" cm="1">
        <f t="array" aca="1" ref="W12" ca="1">INDIRECT(ADDRESS(W$1,W$2,1,1,$A12))</f>
        <v>0</v>
      </c>
      <c r="X12" cm="1">
        <f t="array" aca="1" ref="X12" ca="1">INDIRECT(ADDRESS(X$1,X$2,1,1,$A12))</f>
        <v>0</v>
      </c>
      <c r="Y12" cm="1">
        <f t="array" aca="1" ref="Y12" ca="1">INDIRECT(ADDRESS(Y$1,Y$2,1,1,$A12))</f>
        <v>62.482300000000002</v>
      </c>
      <c r="Z12" cm="1">
        <f t="array" aca="1" ref="Z12" ca="1">INDIRECT(ADDRESS(Z$1,Z$2,1,1,$A12))</f>
        <v>37.516599999999997</v>
      </c>
      <c r="AA12" cm="1">
        <f t="array" aca="1" ref="AA12" ca="1">INDIRECT(ADDRESS(AA$1,AA$2,1,1,$A12))</f>
        <v>8.3199999999999996E-2</v>
      </c>
      <c r="AB12" cm="1">
        <f t="array" aca="1" ref="AB12" ca="1">INDIRECT(ADDRESS(AB$1,AB$2,1,1,$A12))</f>
        <v>-63.451000000000001</v>
      </c>
      <c r="AC12" cm="1">
        <f t="array" aca="1" ref="AC12" ca="1">INDIRECT(ADDRESS(AC$1,AC$2,1,1,$A12))</f>
        <v>37.516599999999997</v>
      </c>
      <c r="AD12" cm="1">
        <f t="array" aca="1" ref="AD12" ca="1">INDIRECT(ADDRESS(AD$1,AD$2,1,1,$A12))</f>
        <v>6.8500000000000005E-2</v>
      </c>
      <c r="AE12" cm="1">
        <f t="array" aca="1" ref="AE12" ca="1">INDIRECT(ADDRESS(AE$1,AE$2,1,1,$A12))</f>
        <v>-62.4771</v>
      </c>
      <c r="AF12" cm="1">
        <f t="array" aca="1" ref="AF12" ca="1">INDIRECT(ADDRESS(AF$1,AF$2,1,1,$A12))</f>
        <v>-36.462800000000001</v>
      </c>
      <c r="AG12" cm="1">
        <f t="array" aca="1" ref="AG12" ca="1">INDIRECT(ADDRESS(AG$1,AG$2,1,1,$A12))</f>
        <v>8.3400000000000002E-2</v>
      </c>
      <c r="AH12" cm="1">
        <f t="array" aca="1" ref="AH12" ca="1">INDIRECT(ADDRESS(AH$1,AH$2,1,1,$A12))</f>
        <v>61.443399999999997</v>
      </c>
      <c r="AI12" cm="1">
        <f t="array" aca="1" ref="AI12" ca="1">INDIRECT(ADDRESS(AI$1,AI$2,1,1,$A12))</f>
        <v>-37.465000000000003</v>
      </c>
      <c r="AJ12" cm="1">
        <f t="array" aca="1" ref="AJ12" ca="1">INDIRECT(ADDRESS(AJ$1,AJ$2,1,1,$A12))</f>
        <v>6.8900000000000003E-2</v>
      </c>
      <c r="AK12" s="15" cm="1">
        <f t="array" aca="1" ref="AK12" ca="1">INDIRECT(ADDRESS(AK$1,AK$2,1,1,$A12))</f>
        <v>72.880399999999995</v>
      </c>
      <c r="AL12" s="15" cm="1">
        <f t="array" aca="1" ref="AL12" ca="1">INDIRECT(ADDRESS(AL$1,AL$2,1,1,$A12))</f>
        <v>73.712500000000006</v>
      </c>
      <c r="AM12" s="15" cm="1">
        <f t="array" aca="1" ref="AM12" ca="1">INDIRECT(ADDRESS(AM$1,AM$2,1,1,$A12))</f>
        <v>72.338999999999999</v>
      </c>
      <c r="AN12" s="15" cm="1">
        <f t="array" aca="1" ref="AN12" ca="1">INDIRECT(ADDRESS(AN$1,AN$2,1,1,$A12))</f>
        <v>71.964699999999993</v>
      </c>
      <c r="AO12" s="15" cm="1">
        <f t="array" aca="1" ref="AO12" ca="1">INDIRECT(ADDRESS(AO$1,AO$2,1,1,$A12))</f>
        <v>125.9333</v>
      </c>
      <c r="AP12" s="15" cm="1">
        <f t="array" aca="1" ref="AP12" ca="1">INDIRECT(ADDRESS(AP$1,AP$2,1,1,$A12))</f>
        <v>145.2165</v>
      </c>
      <c r="AQ12" s="15" cm="1">
        <f t="array" aca="1" ref="AQ12" ca="1">INDIRECT(ADDRESS(AQ$1,AQ$2,1,1,$A12))</f>
        <v>74.988799999999998</v>
      </c>
      <c r="AR12" s="15" cm="1">
        <f t="array" aca="1" ref="AR12" ca="1">INDIRECT(ADDRESS(AR$1,AR$2,1,1,$A12))</f>
        <v>73.985900000000001</v>
      </c>
      <c r="AS12" s="15" cm="1">
        <f t="array" aca="1" ref="AS12" ca="1">INDIRECT(ADDRESS(AS$1,AS$2,1,1,$A12))</f>
        <v>145.6737</v>
      </c>
      <c r="AT12" s="15" cm="1">
        <f t="array" aca="1" ref="AT12" ca="1">INDIRECT(ADDRESS(AT$1,AT$2,1,1,$A12))</f>
        <v>123.9246</v>
      </c>
      <c r="AV12" s="15">
        <f t="shared" ca="1" si="0"/>
        <v>8.7081558163504269E-5</v>
      </c>
      <c r="AW12" s="15">
        <f t="shared" ca="1" si="1"/>
        <v>2.2299070707276769E-5</v>
      </c>
      <c r="AX12" s="15">
        <f t="shared" ca="1" si="2"/>
        <v>1.0864817170386232E-6</v>
      </c>
      <c r="AY12" s="15">
        <f t="shared" ca="1" si="3"/>
        <v>-3.0081964453643195E-5</v>
      </c>
      <c r="AZ12" s="15">
        <f t="shared" ca="1" si="4"/>
        <v>-8.5795416282508086E-7</v>
      </c>
      <c r="BA12" s="15">
        <f t="shared" ca="1" si="5"/>
        <v>9.8471935672250765E-5</v>
      </c>
      <c r="BB12" s="15">
        <f t="shared" ca="1" si="6"/>
        <v>1.7948013777413507E-6</v>
      </c>
      <c r="BC12" s="15">
        <f t="shared" ca="1" si="7"/>
        <v>8.833600594471136E-5</v>
      </c>
      <c r="BD12" s="15">
        <f t="shared" ca="1" si="8"/>
        <v>-8.4498378413400133E-5</v>
      </c>
      <c r="BE12" s="15">
        <f t="shared" ca="1" si="9"/>
        <v>4.6600199524959862E-5</v>
      </c>
      <c r="BG12" s="15" cm="1">
        <f t="array" aca="1" ref="BG12" ca="1">INDIRECT(ADDRESS(BG$1,BG$2,1,1,$A12))</f>
        <v>8.6999999999999994E-3</v>
      </c>
      <c r="BH12" s="15" cm="1">
        <f t="array" aca="1" ref="BH12" ca="1">INDIRECT(ADDRESS(BH$1,BH$2,1,1,$A12))</f>
        <v>9.7999999999999997E-3</v>
      </c>
      <c r="BI12" s="15" cm="1">
        <f t="array" aca="1" ref="BI12" ca="1">INDIRECT(ADDRESS(BI$1,BI$2,1,1,$A12))</f>
        <v>8.0000000000000002E-3</v>
      </c>
      <c r="BJ12" s="15" cm="1">
        <f t="array" aca="1" ref="BJ12" ca="1">INDIRECT(ADDRESS(BJ$1,BJ$2,1,1,$A12))</f>
        <v>9.5999999999999992E-3</v>
      </c>
      <c r="BK12" s="15" cm="1">
        <f t="array" aca="1" ref="BK12" ca="1">INDIRECT(ADDRESS(BK$1,BK$2,1,1,$A12))</f>
        <v>6.4000000000000003E-3</v>
      </c>
      <c r="BN12" s="32"/>
    </row>
    <row r="13" spans="1:66" x14ac:dyDescent="0.4">
      <c r="A13" t="s">
        <v>50</v>
      </c>
      <c r="B13" t="str" cm="1">
        <f t="array" aca="1" ref="B13" ca="1">LEFT(INDIRECT(ADDRESS(B$1,B$2,1,1,$A13)),FIND("-",INDIRECT(ADDRESS(B$1,B$2,1,1,$A13)))-1)</f>
        <v>P509</v>
      </c>
      <c r="C13" t="str" cm="1">
        <f t="array" aca="1" ref="C13" ca="1">RIGHT(INDIRECT(ADDRESS(B$1,B$2,1,1,$A13)),LEN(INDIRECT(ADDRESS(B$1,B$2,1,1,$A13)))-FIND("-",INDIRECT(ADDRESS(B$1,B$2,1,1,$A13))))</f>
        <v>east</v>
      </c>
      <c r="D13" s="10" cm="1">
        <f t="array" aca="1" ref="D13" ca="1">DATE(MID(INDIRECT(ADDRESS(D$1,D$2,1,1,$A13)),1,4),MID(INDIRECT(ADDRESS(D$1,D$2,1,1,$A13)),5,2),MID(INDIRECT(ADDRESS(D$1,D$2,1,1,$A13)),7,2))+TIME(MID(INDIRECT(ADDRESS(D$1,D$2,1,1,$A13)),10,2),MID(INDIRECT(ADDRESS(D$1,D$2,1,1,$A13)),12,2),0)</f>
        <v>44537.664583333331</v>
      </c>
      <c r="E13" cm="1">
        <f t="array" aca="1" ref="E13" ca="1">INDIRECT(ADDRESS(E$1,E$2,1,1,$A13))</f>
        <v>0</v>
      </c>
      <c r="F13" s="11" cm="1">
        <f t="array" aca="1" ref="F13" ca="1">VALUE(SUBSTITUTE(INDIRECT(ADDRESS(F$1,F$2,1,1,$A13)),"┬░C",""))</f>
        <v>20</v>
      </c>
      <c r="G13" s="12" cm="1">
        <f t="array" aca="1" ref="G13" ca="1">INDIRECT(ADDRESS(G$1,G$2,1,1,$A13))</f>
        <v>25.398599999999998</v>
      </c>
      <c r="H13" cm="1">
        <f t="array" aca="1" ref="H13" ca="1">INDIRECT(ADDRESS(H$1,H$2,1,1,$A13))</f>
        <v>25.403300000000002</v>
      </c>
      <c r="I13" cm="1">
        <f t="array" aca="1" ref="I13" ca="1">INDIRECT(ADDRESS(I$1,I$2,1,1,$A13))</f>
        <v>25.4024</v>
      </c>
      <c r="J13" cm="1">
        <f t="array" aca="1" ref="J13" ca="1">INDIRECT(ADDRESS(J$1,J$2,1,1,$A13))</f>
        <v>25.404499999999999</v>
      </c>
      <c r="K13" s="13" cm="1">
        <f t="array" aca="1" ref="K13" ca="1">INDIRECT(ADDRESS(K$1,K$2,1,1,$A13))</f>
        <v>25.4026</v>
      </c>
      <c r="L13" s="14" cm="1">
        <f t="array" aca="1" ref="L13" ca="1">SQRT(SUMSQ(Y13:AA13-V13:X13))</f>
        <v>72.880174889540442</v>
      </c>
      <c r="M13" s="15" cm="1">
        <f t="array" aca="1" ref="M13" ca="1">SQRT(SUMSQ(AB13:AD13-V13:X13))</f>
        <v>73.712778744326272</v>
      </c>
      <c r="N13" s="15" cm="1">
        <f t="array" aca="1" ref="N13" ca="1">SQRT(SUMSQ(AE13:AG13-V13:X13))</f>
        <v>72.340077906579566</v>
      </c>
      <c r="O13" s="15" cm="1">
        <f t="array" aca="1" ref="O13" ca="1">SQRT(SUMSQ(AH13:AJ13-V13:X13))</f>
        <v>71.965100957408509</v>
      </c>
      <c r="P13" s="15" cm="1">
        <f t="array" aca="1" ref="P13" ca="1">SQRT(SUMSQ(AB13:AD13-Y13:AA13))</f>
        <v>125.93480080057299</v>
      </c>
      <c r="Q13" s="15" cm="1">
        <f t="array" aca="1" ref="Q13" ca="1">SQRT(SUMSQ(AE13:AG13-Y13:AA13))</f>
        <v>145.21734255790525</v>
      </c>
      <c r="R13" s="15" cm="1">
        <f t="array" aca="1" ref="R13" ca="1">SQRT(SUMSQ(AH13:AJ13-Y13:AA13))</f>
        <v>74.987094100651746</v>
      </c>
      <c r="S13" s="15" cm="1">
        <f t="array" aca="1" ref="S13" ca="1">SQRT(SUMSQ(AE13:AG13-AB13:AD13))</f>
        <v>73.984103816563191</v>
      </c>
      <c r="T13" s="15" cm="1">
        <f t="array" aca="1" ref="T13" ca="1">SQRT(SUMSQ(AH13:AJ13-AB13:AD13))</f>
        <v>145.67445273176762</v>
      </c>
      <c r="U13" s="16" cm="1">
        <f t="array" aca="1" ref="U13" ca="1">SQRT(SUMSQ(AH13:AJ13-AE13:AG13))</f>
        <v>123.92695325255116</v>
      </c>
      <c r="V13" cm="1">
        <f t="array" aca="1" ref="V13" ca="1">INDIRECT(ADDRESS(V$1,V$2,1,1,$A13))</f>
        <v>0</v>
      </c>
      <c r="W13" cm="1">
        <f t="array" aca="1" ref="W13" ca="1">INDIRECT(ADDRESS(W$1,W$2,1,1,$A13))</f>
        <v>0</v>
      </c>
      <c r="X13" cm="1">
        <f t="array" aca="1" ref="X13" ca="1">INDIRECT(ADDRESS(X$1,X$2,1,1,$A13))</f>
        <v>0</v>
      </c>
      <c r="Y13" cm="1">
        <f t="array" aca="1" ref="Y13" ca="1">INDIRECT(ADDRESS(Y$1,Y$2,1,1,$A13))</f>
        <v>62.482799999999997</v>
      </c>
      <c r="Z13" cm="1">
        <f t="array" aca="1" ref="Z13" ca="1">INDIRECT(ADDRESS(Z$1,Z$2,1,1,$A13))</f>
        <v>37.515500000000003</v>
      </c>
      <c r="AA13" cm="1">
        <f t="array" aca="1" ref="AA13" ca="1">INDIRECT(ADDRESS(AA$1,AA$2,1,1,$A13))</f>
        <v>8.2799999999999999E-2</v>
      </c>
      <c r="AB13" cm="1">
        <f t="array" aca="1" ref="AB13" ca="1">INDIRECT(ADDRESS(AB$1,AB$2,1,1,$A13))</f>
        <v>-63.451999999999998</v>
      </c>
      <c r="AC13" cm="1">
        <f t="array" aca="1" ref="AC13" ca="1">INDIRECT(ADDRESS(AC$1,AC$2,1,1,$A13))</f>
        <v>37.515500000000003</v>
      </c>
      <c r="AD13" cm="1">
        <f t="array" aca="1" ref="AD13" ca="1">INDIRECT(ADDRESS(AD$1,AD$2,1,1,$A13))</f>
        <v>6.8599999999999994E-2</v>
      </c>
      <c r="AE13" cm="1">
        <f t="array" aca="1" ref="AE13" ca="1">INDIRECT(ADDRESS(AE$1,AE$2,1,1,$A13))</f>
        <v>-62.478700000000003</v>
      </c>
      <c r="AF13" cm="1">
        <f t="array" aca="1" ref="AF13" ca="1">INDIRECT(ADDRESS(AF$1,AF$2,1,1,$A13))</f>
        <v>-36.462200000000003</v>
      </c>
      <c r="AG13" cm="1">
        <f t="array" aca="1" ref="AG13" ca="1">INDIRECT(ADDRESS(AG$1,AG$2,1,1,$A13))</f>
        <v>8.3000000000000004E-2</v>
      </c>
      <c r="AH13" cm="1">
        <f t="array" aca="1" ref="AH13" ca="1">INDIRECT(ADDRESS(AH$1,AH$2,1,1,$A13))</f>
        <v>61.444200000000002</v>
      </c>
      <c r="AI13" cm="1">
        <f t="array" aca="1" ref="AI13" ca="1">INDIRECT(ADDRESS(AI$1,AI$2,1,1,$A13))</f>
        <v>-37.464399999999998</v>
      </c>
      <c r="AJ13" cm="1">
        <f t="array" aca="1" ref="AJ13" ca="1">INDIRECT(ADDRESS(AJ$1,AJ$2,1,1,$A13))</f>
        <v>6.9099999999999995E-2</v>
      </c>
      <c r="AK13" s="15" cm="1">
        <f t="array" aca="1" ref="AK13" ca="1">INDIRECT(ADDRESS(AK$1,AK$2,1,1,$A13))</f>
        <v>72.880099999999999</v>
      </c>
      <c r="AL13" s="15" cm="1">
        <f t="array" aca="1" ref="AL13" ca="1">INDIRECT(ADDRESS(AL$1,AL$2,1,1,$A13))</f>
        <v>73.712800000000001</v>
      </c>
      <c r="AM13" s="15" cm="1">
        <f t="array" aca="1" ref="AM13" ca="1">INDIRECT(ADDRESS(AM$1,AM$2,1,1,$A13))</f>
        <v>72.34</v>
      </c>
      <c r="AN13" s="15" cm="1">
        <f t="array" aca="1" ref="AN13" ca="1">INDIRECT(ADDRESS(AN$1,AN$2,1,1,$A13))</f>
        <v>71.965100000000007</v>
      </c>
      <c r="AO13" s="15" cm="1">
        <f t="array" aca="1" ref="AO13" ca="1">INDIRECT(ADDRESS(AO$1,AO$2,1,1,$A13))</f>
        <v>125.9348</v>
      </c>
      <c r="AP13" s="15" cm="1">
        <f t="array" aca="1" ref="AP13" ca="1">INDIRECT(ADDRESS(AP$1,AP$2,1,1,$A13))</f>
        <v>145.21729999999999</v>
      </c>
      <c r="AQ13" s="15" cm="1">
        <f t="array" aca="1" ref="AQ13" ca="1">INDIRECT(ADDRESS(AQ$1,AQ$2,1,1,$A13))</f>
        <v>74.987099999999998</v>
      </c>
      <c r="AR13" s="15" cm="1">
        <f t="array" aca="1" ref="AR13" ca="1">INDIRECT(ADDRESS(AR$1,AR$2,1,1,$A13))</f>
        <v>73.984099999999998</v>
      </c>
      <c r="AS13" s="15" cm="1">
        <f t="array" aca="1" ref="AS13" ca="1">INDIRECT(ADDRESS(AS$1,AS$2,1,1,$A13))</f>
        <v>145.67439999999999</v>
      </c>
      <c r="AT13" s="15" cm="1">
        <f t="array" aca="1" ref="AT13" ca="1">INDIRECT(ADDRESS(AT$1,AT$2,1,1,$A13))</f>
        <v>123.9269</v>
      </c>
      <c r="AV13" s="15">
        <f t="shared" ca="1" si="0"/>
        <v>-7.4889540442768521E-5</v>
      </c>
      <c r="AW13" s="15">
        <f t="shared" ca="1" si="1"/>
        <v>2.1255673729569935E-5</v>
      </c>
      <c r="AX13" s="15">
        <f t="shared" ca="1" si="2"/>
        <v>-7.790657956263658E-5</v>
      </c>
      <c r="AY13" s="15">
        <f t="shared" ca="1" si="3"/>
        <v>-9.5740850269976363E-7</v>
      </c>
      <c r="AZ13" s="15">
        <f t="shared" ca="1" si="4"/>
        <v>-8.0057299101099488E-7</v>
      </c>
      <c r="BA13" s="15">
        <f t="shared" ca="1" si="5"/>
        <v>-4.2557905260309781E-5</v>
      </c>
      <c r="BB13" s="15">
        <f t="shared" ca="1" si="6"/>
        <v>5.8993482525693253E-6</v>
      </c>
      <c r="BC13" s="15">
        <f t="shared" ca="1" si="7"/>
        <v>-3.8165631934816702E-6</v>
      </c>
      <c r="BD13" s="15">
        <f t="shared" ca="1" si="8"/>
        <v>-5.2731767624436543E-5</v>
      </c>
      <c r="BE13" s="15">
        <f t="shared" ca="1" si="9"/>
        <v>-5.3252551154514549E-5</v>
      </c>
      <c r="BG13" s="15" cm="1">
        <f t="array" aca="1" ref="BG13" ca="1">INDIRECT(ADDRESS(BG$1,BG$2,1,1,$A13))</f>
        <v>6.1000000000000004E-3</v>
      </c>
      <c r="BH13" s="15" cm="1">
        <f t="array" aca="1" ref="BH13" ca="1">INDIRECT(ADDRESS(BH$1,BH$2,1,1,$A13))</f>
        <v>4.7000000000000002E-3</v>
      </c>
      <c r="BI13" s="15" cm="1">
        <f t="array" aca="1" ref="BI13" ca="1">INDIRECT(ADDRESS(BI$1,BI$2,1,1,$A13))</f>
        <v>4.8999999999999998E-3</v>
      </c>
      <c r="BJ13" s="15" cm="1">
        <f t="array" aca="1" ref="BJ13" ca="1">INDIRECT(ADDRESS(BJ$1,BJ$2,1,1,$A13))</f>
        <v>6.1000000000000004E-3</v>
      </c>
      <c r="BK13" s="15" cm="1">
        <f t="array" aca="1" ref="BK13" ca="1">INDIRECT(ADDRESS(BK$1,BK$2,1,1,$A13))</f>
        <v>5.1000000000000004E-3</v>
      </c>
      <c r="BN13" s="32"/>
    </row>
    <row r="14" spans="1:66" x14ac:dyDescent="0.4">
      <c r="A14" t="s">
        <v>53</v>
      </c>
      <c r="B14" t="str" cm="1">
        <f t="array" aca="1" ref="B14" ca="1">LEFT(INDIRECT(ADDRESS(B$1,B$2,1,1,$A14)),FIND("-",INDIRECT(ADDRESS(B$1,B$2,1,1,$A14)))-1)</f>
        <v>P509</v>
      </c>
      <c r="C14" t="str" cm="1">
        <f t="array" aca="1" ref="C14" ca="1">RIGHT(INDIRECT(ADDRESS(B$1,B$2,1,1,$A14)),LEN(INDIRECT(ADDRESS(B$1,B$2,1,1,$A14)))-FIND("-",INDIRECT(ADDRESS(B$1,B$2,1,1,$A14))))</f>
        <v>east</v>
      </c>
      <c r="D14" s="10" cm="1">
        <f t="array" aca="1" ref="D14" ca="1">DATE(MID(INDIRECT(ADDRESS(D$1,D$2,1,1,$A14)),1,4),MID(INDIRECT(ADDRESS(D$1,D$2,1,1,$A14)),5,2),MID(INDIRECT(ADDRESS(D$1,D$2,1,1,$A14)),7,2))+TIME(MID(INDIRECT(ADDRESS(D$1,D$2,1,1,$A14)),10,2),MID(INDIRECT(ADDRESS(D$1,D$2,1,1,$A14)),12,2),0)</f>
        <v>44537.666666666664</v>
      </c>
      <c r="E14" cm="1">
        <f t="array" aca="1" ref="E14" ca="1">INDIRECT(ADDRESS(E$1,E$2,1,1,$A14))</f>
        <v>0</v>
      </c>
      <c r="F14" s="11" cm="1">
        <f t="array" aca="1" ref="F14" ca="1">VALUE(SUBSTITUTE(INDIRECT(ADDRESS(F$1,F$2,1,1,$A14)),"┬░C",""))</f>
        <v>20</v>
      </c>
      <c r="G14" s="12" cm="1">
        <f t="array" aca="1" ref="G14" ca="1">INDIRECT(ADDRESS(G$1,G$2,1,1,$A14))</f>
        <v>25.398800000000001</v>
      </c>
      <c r="H14" cm="1">
        <f t="array" aca="1" ref="H14" ca="1">INDIRECT(ADDRESS(H$1,H$2,1,1,$A14))</f>
        <v>25.402699999999999</v>
      </c>
      <c r="I14" cm="1">
        <f t="array" aca="1" ref="I14" ca="1">INDIRECT(ADDRESS(I$1,I$2,1,1,$A14))</f>
        <v>25.4024</v>
      </c>
      <c r="J14" cm="1">
        <f t="array" aca="1" ref="J14" ca="1">INDIRECT(ADDRESS(J$1,J$2,1,1,$A14))</f>
        <v>25.4057</v>
      </c>
      <c r="K14" s="13" cm="1">
        <f t="array" aca="1" ref="K14" ca="1">INDIRECT(ADDRESS(K$1,K$2,1,1,$A14))</f>
        <v>25.402200000000001</v>
      </c>
      <c r="L14" s="14" cm="1">
        <f t="array" aca="1" ref="L14" ca="1">SQRT(SUMSQ(Y14:AA14-V14:X14))</f>
        <v>72.881341079112971</v>
      </c>
      <c r="M14" s="15" cm="1">
        <f t="array" aca="1" ref="M14" ca="1">SQRT(SUMSQ(AB14:AD14-V14:X14))</f>
        <v>73.712223782897766</v>
      </c>
      <c r="N14" s="15" cm="1">
        <f t="array" aca="1" ref="N14" ca="1">SQRT(SUMSQ(AE14:AG14-V14:X14))</f>
        <v>72.339588310412722</v>
      </c>
      <c r="O14" s="15" cm="1">
        <f t="array" aca="1" ref="O14" ca="1">SQRT(SUMSQ(AH14:AJ14-V14:X14))</f>
        <v>71.965761505732715</v>
      </c>
      <c r="P14" s="15" cm="1">
        <f t="array" aca="1" ref="P14" ca="1">SQRT(SUMSQ(AB14:AD14-Y14:AA14))</f>
        <v>125.93480074518719</v>
      </c>
      <c r="Q14" s="15" cm="1">
        <f t="array" aca="1" ref="Q14" ca="1">SQRT(SUMSQ(AE14:AG14-Y14:AA14))</f>
        <v>145.21801513603606</v>
      </c>
      <c r="R14" s="15" cm="1">
        <f t="array" aca="1" ref="R14" ca="1">SQRT(SUMSQ(AH14:AJ14-Y14:AA14))</f>
        <v>74.986991268419359</v>
      </c>
      <c r="S14" s="15" cm="1">
        <f t="array" aca="1" ref="S14" ca="1">SQRT(SUMSQ(AE14:AG14-AB14:AD14))</f>
        <v>73.983891903711026</v>
      </c>
      <c r="T14" s="15" cm="1">
        <f t="array" aca="1" ref="T14" ca="1">SQRT(SUMSQ(AH14:AJ14-AB14:AD14))</f>
        <v>145.67457273374788</v>
      </c>
      <c r="U14" s="16" cm="1">
        <f t="array" aca="1" ref="U14" ca="1">SQRT(SUMSQ(AH14:AJ14-AE14:AG14))</f>
        <v>123.92805398109017</v>
      </c>
      <c r="V14" cm="1">
        <f t="array" aca="1" ref="V14" ca="1">INDIRECT(ADDRESS(V$1,V$2,1,1,$A14))</f>
        <v>0</v>
      </c>
      <c r="W14" cm="1">
        <f t="array" aca="1" ref="W14" ca="1">INDIRECT(ADDRESS(W$1,W$2,1,1,$A14))</f>
        <v>0</v>
      </c>
      <c r="X14" cm="1">
        <f t="array" aca="1" ref="X14" ca="1">INDIRECT(ADDRESS(X$1,X$2,1,1,$A14))</f>
        <v>0</v>
      </c>
      <c r="Y14" cm="1">
        <f t="array" aca="1" ref="Y14" ca="1">INDIRECT(ADDRESS(Y$1,Y$2,1,1,$A14))</f>
        <v>62.483800000000002</v>
      </c>
      <c r="Z14" cm="1">
        <f t="array" aca="1" ref="Z14" ca="1">INDIRECT(ADDRESS(Z$1,Z$2,1,1,$A14))</f>
        <v>37.516100000000002</v>
      </c>
      <c r="AA14" cm="1">
        <f t="array" aca="1" ref="AA14" ca="1">INDIRECT(ADDRESS(AA$1,AA$2,1,1,$A14))</f>
        <v>8.2799999999999999E-2</v>
      </c>
      <c r="AB14" cm="1">
        <f t="array" aca="1" ref="AB14" ca="1">INDIRECT(ADDRESS(AB$1,AB$2,1,1,$A14))</f>
        <v>-63.451000000000001</v>
      </c>
      <c r="AC14" cm="1">
        <f t="array" aca="1" ref="AC14" ca="1">INDIRECT(ADDRESS(AC$1,AC$2,1,1,$A14))</f>
        <v>37.516100000000002</v>
      </c>
      <c r="AD14" cm="1">
        <f t="array" aca="1" ref="AD14" ca="1">INDIRECT(ADDRESS(AD$1,AD$2,1,1,$A14))</f>
        <v>6.9099999999999995E-2</v>
      </c>
      <c r="AE14" cm="1">
        <f t="array" aca="1" ref="AE14" ca="1">INDIRECT(ADDRESS(AE$1,AE$2,1,1,$A14))</f>
        <v>-62.4786</v>
      </c>
      <c r="AF14" cm="1">
        <f t="array" aca="1" ref="AF14" ca="1">INDIRECT(ADDRESS(AF$1,AF$2,1,1,$A14))</f>
        <v>-36.461399999999998</v>
      </c>
      <c r="AG14" cm="1">
        <f t="array" aca="1" ref="AG14" ca="1">INDIRECT(ADDRESS(AG$1,AG$2,1,1,$A14))</f>
        <v>8.3000000000000004E-2</v>
      </c>
      <c r="AH14" cm="1">
        <f t="array" aca="1" ref="AH14" ca="1">INDIRECT(ADDRESS(AH$1,AH$2,1,1,$A14))</f>
        <v>61.445399999999999</v>
      </c>
      <c r="AI14" cm="1">
        <f t="array" aca="1" ref="AI14" ca="1">INDIRECT(ADDRESS(AI$1,AI$2,1,1,$A14))</f>
        <v>-37.463700000000003</v>
      </c>
      <c r="AJ14" cm="1">
        <f t="array" aca="1" ref="AJ14" ca="1">INDIRECT(ADDRESS(AJ$1,AJ$2,1,1,$A14))</f>
        <v>6.9500000000000006E-2</v>
      </c>
      <c r="AK14" s="15" cm="1">
        <f t="array" aca="1" ref="AK14" ca="1">INDIRECT(ADDRESS(AK$1,AK$2,1,1,$A14))</f>
        <v>72.881299999999996</v>
      </c>
      <c r="AL14" s="15" cm="1">
        <f t="array" aca="1" ref="AL14" ca="1">INDIRECT(ADDRESS(AL$1,AL$2,1,1,$A14))</f>
        <v>73.712199999999996</v>
      </c>
      <c r="AM14" s="15" cm="1">
        <f t="array" aca="1" ref="AM14" ca="1">INDIRECT(ADDRESS(AM$1,AM$2,1,1,$A14))</f>
        <v>72.339600000000004</v>
      </c>
      <c r="AN14" s="15" cm="1">
        <f t="array" aca="1" ref="AN14" ca="1">INDIRECT(ADDRESS(AN$1,AN$2,1,1,$A14))</f>
        <v>71.965800000000002</v>
      </c>
      <c r="AO14" s="15" cm="1">
        <f t="array" aca="1" ref="AO14" ca="1">INDIRECT(ADDRESS(AO$1,AO$2,1,1,$A14))</f>
        <v>125.93470000000001</v>
      </c>
      <c r="AP14" s="15" cm="1">
        <f t="array" aca="1" ref="AP14" ca="1">INDIRECT(ADDRESS(AP$1,AP$2,1,1,$A14))</f>
        <v>145.21799999999999</v>
      </c>
      <c r="AQ14" s="15" cm="1">
        <f t="array" aca="1" ref="AQ14" ca="1">INDIRECT(ADDRESS(AQ$1,AQ$2,1,1,$A14))</f>
        <v>74.986999999999995</v>
      </c>
      <c r="AR14" s="15" cm="1">
        <f t="array" aca="1" ref="AR14" ca="1">INDIRECT(ADDRESS(AR$1,AR$2,1,1,$A14))</f>
        <v>73.983800000000002</v>
      </c>
      <c r="AS14" s="15" cm="1">
        <f t="array" aca="1" ref="AS14" ca="1">INDIRECT(ADDRESS(AS$1,AS$2,1,1,$A14))</f>
        <v>145.6746</v>
      </c>
      <c r="AT14" s="15" cm="1">
        <f t="array" aca="1" ref="AT14" ca="1">INDIRECT(ADDRESS(AT$1,AT$2,1,1,$A14))</f>
        <v>123.9281</v>
      </c>
      <c r="AV14" s="15">
        <f t="shared" ca="1" si="0"/>
        <v>-4.1079112975239696E-5</v>
      </c>
      <c r="AW14" s="15">
        <f t="shared" ca="1" si="1"/>
        <v>-2.3782897770274758E-5</v>
      </c>
      <c r="AX14" s="15">
        <f t="shared" ca="1" si="2"/>
        <v>1.168958728214875E-5</v>
      </c>
      <c r="AY14" s="15">
        <f t="shared" ca="1" si="3"/>
        <v>3.8494267286637296E-5</v>
      </c>
      <c r="AZ14" s="15">
        <f t="shared" ca="1" si="4"/>
        <v>-1.0074518718283798E-4</v>
      </c>
      <c r="BA14" s="15">
        <f t="shared" ca="1" si="5"/>
        <v>-1.5136036068952308E-5</v>
      </c>
      <c r="BB14" s="15">
        <f t="shared" ca="1" si="6"/>
        <v>8.7315806354126835E-6</v>
      </c>
      <c r="BC14" s="15">
        <f t="shared" ca="1" si="7"/>
        <v>-9.190371102363315E-5</v>
      </c>
      <c r="BD14" s="15">
        <f t="shared" ca="1" si="8"/>
        <v>2.7266252118351986E-5</v>
      </c>
      <c r="BE14" s="15">
        <f t="shared" ca="1" si="9"/>
        <v>4.6018909827694188E-5</v>
      </c>
      <c r="BG14" s="15" cm="1">
        <f t="array" aca="1" ref="BG14" ca="1">INDIRECT(ADDRESS(BG$1,BG$2,1,1,$A14))</f>
        <v>4.8999999999999998E-3</v>
      </c>
      <c r="BH14" s="15" cm="1">
        <f t="array" aca="1" ref="BH14" ca="1">INDIRECT(ADDRESS(BH$1,BH$2,1,1,$A14))</f>
        <v>5.4999999999999997E-3</v>
      </c>
      <c r="BI14" s="15" cm="1">
        <f t="array" aca="1" ref="BI14" ca="1">INDIRECT(ADDRESS(BI$1,BI$2,1,1,$A14))</f>
        <v>4.4999999999999997E-3</v>
      </c>
      <c r="BJ14" s="15" cm="1">
        <f t="array" aca="1" ref="BJ14" ca="1">INDIRECT(ADDRESS(BJ$1,BJ$2,1,1,$A14))</f>
        <v>4.8999999999999998E-3</v>
      </c>
      <c r="BK14" s="15" cm="1">
        <f t="array" aca="1" ref="BK14" ca="1">INDIRECT(ADDRESS(BK$1,BK$2,1,1,$A14))</f>
        <v>4.7000000000000002E-3</v>
      </c>
      <c r="BN14" s="32"/>
    </row>
    <row r="15" spans="1:66" x14ac:dyDescent="0.4">
      <c r="A15" t="s">
        <v>56</v>
      </c>
      <c r="B15" t="str" cm="1">
        <f t="array" aca="1" ref="B15" ca="1">LEFT(INDIRECT(ADDRESS(B$1,B$2,1,1,$A15)),FIND("-",INDIRECT(ADDRESS(B$1,B$2,1,1,$A15)))-1)</f>
        <v>P509</v>
      </c>
      <c r="C15" t="str" cm="1">
        <f t="array" aca="1" ref="C15" ca="1">RIGHT(INDIRECT(ADDRESS(B$1,B$2,1,1,$A15)),LEN(INDIRECT(ADDRESS(B$1,B$2,1,1,$A15)))-FIND("-",INDIRECT(ADDRESS(B$1,B$2,1,1,$A15))))</f>
        <v>east</v>
      </c>
      <c r="D15" s="10" cm="1">
        <f t="array" aca="1" ref="D15" ca="1">DATE(MID(INDIRECT(ADDRESS(D$1,D$2,1,1,$A15)),1,4),MID(INDIRECT(ADDRESS(D$1,D$2,1,1,$A15)),5,2),MID(INDIRECT(ADDRESS(D$1,D$2,1,1,$A15)),7,2))+TIME(MID(INDIRECT(ADDRESS(D$1,D$2,1,1,$A15)),10,2),MID(INDIRECT(ADDRESS(D$1,D$2,1,1,$A15)),12,2),0)</f>
        <v>44537.669444444444</v>
      </c>
      <c r="E15" cm="1">
        <f t="array" aca="1" ref="E15" ca="1">INDIRECT(ADDRESS(E$1,E$2,1,1,$A15))</f>
        <v>0</v>
      </c>
      <c r="F15" s="11" cm="1">
        <f t="array" aca="1" ref="F15" ca="1">VALUE(SUBSTITUTE(INDIRECT(ADDRESS(F$1,F$2,1,1,$A15)),"┬░C",""))</f>
        <v>20</v>
      </c>
      <c r="G15" s="12" cm="1">
        <f t="array" aca="1" ref="G15" ca="1">INDIRECT(ADDRESS(G$1,G$2,1,1,$A15))</f>
        <v>25.398900000000001</v>
      </c>
      <c r="H15" cm="1">
        <f t="array" aca="1" ref="H15" ca="1">INDIRECT(ADDRESS(H$1,H$2,1,1,$A15))</f>
        <v>25.403300000000002</v>
      </c>
      <c r="I15" cm="1">
        <f t="array" aca="1" ref="I15" ca="1">INDIRECT(ADDRESS(I$1,I$2,1,1,$A15))</f>
        <v>25.403500000000001</v>
      </c>
      <c r="J15" cm="1">
        <f t="array" aca="1" ref="J15" ca="1">INDIRECT(ADDRESS(J$1,J$2,1,1,$A15))</f>
        <v>25.404599999999999</v>
      </c>
      <c r="K15" s="13" cm="1">
        <f t="array" aca="1" ref="K15" ca="1">INDIRECT(ADDRESS(K$1,K$2,1,1,$A15))</f>
        <v>25.4026</v>
      </c>
      <c r="L15" s="14" cm="1">
        <f t="array" aca="1" ref="L15" ca="1">SQRT(SUMSQ(Y15:AA15-V15:X15))</f>
        <v>72.881152394429108</v>
      </c>
      <c r="M15" s="15" cm="1">
        <f t="array" aca="1" ref="M15" ca="1">SQRT(SUMSQ(AB15:AD15-V15:X15))</f>
        <v>73.712551737271994</v>
      </c>
      <c r="N15" s="15" cm="1">
        <f t="array" aca="1" ref="N15" ca="1">SQRT(SUMSQ(AE15:AG15-V15:X15))</f>
        <v>72.339264364313252</v>
      </c>
      <c r="O15" s="15" cm="1">
        <f t="array" aca="1" ref="O15" ca="1">SQRT(SUMSQ(AH15:AJ15-V15:X15))</f>
        <v>71.965115254614858</v>
      </c>
      <c r="P15" s="15" cm="1">
        <f t="array" aca="1" ref="P15" ca="1">SQRT(SUMSQ(AB15:AD15-Y15:AA15))</f>
        <v>125.93520082328055</v>
      </c>
      <c r="Q15" s="15" cm="1">
        <f t="array" aca="1" ref="Q15" ca="1">SQRT(SUMSQ(AE15:AG15-Y15:AA15))</f>
        <v>145.21750226969888</v>
      </c>
      <c r="R15" s="15" cm="1">
        <f t="array" aca="1" ref="R15" ca="1">SQRT(SUMSQ(AH15:AJ15-Y15:AA15))</f>
        <v>74.987203844989452</v>
      </c>
      <c r="S15" s="15" cm="1">
        <f t="array" aca="1" ref="S15" ca="1">SQRT(SUMSQ(AE15:AG15-AB15:AD15))</f>
        <v>73.98340128549107</v>
      </c>
      <c r="T15" s="15" cm="1">
        <f t="array" aca="1" ref="T15" ca="1">SQRT(SUMSQ(AH15:AJ15-AB15:AD15))</f>
        <v>145.67424699297402</v>
      </c>
      <c r="U15" s="16" cm="1">
        <f t="array" aca="1" ref="U15" ca="1">SQRT(SUMSQ(AH15:AJ15-AE15:AG15))</f>
        <v>123.92685976203867</v>
      </c>
      <c r="V15" cm="1">
        <f t="array" aca="1" ref="V15" ca="1">INDIRECT(ADDRESS(V$1,V$2,1,1,$A15))</f>
        <v>0</v>
      </c>
      <c r="W15" cm="1">
        <f t="array" aca="1" ref="W15" ca="1">INDIRECT(ADDRESS(W$1,W$2,1,1,$A15))</f>
        <v>0</v>
      </c>
      <c r="X15" cm="1">
        <f t="array" aca="1" ref="X15" ca="1">INDIRECT(ADDRESS(X$1,X$2,1,1,$A15))</f>
        <v>0</v>
      </c>
      <c r="Y15" cm="1">
        <f t="array" aca="1" ref="Y15" ca="1">INDIRECT(ADDRESS(Y$1,Y$2,1,1,$A15))</f>
        <v>62.483699999999999</v>
      </c>
      <c r="Z15" cm="1">
        <f t="array" aca="1" ref="Z15" ca="1">INDIRECT(ADDRESS(Z$1,Z$2,1,1,$A15))</f>
        <v>37.515900000000002</v>
      </c>
      <c r="AA15" cm="1">
        <f t="array" aca="1" ref="AA15" ca="1">INDIRECT(ADDRESS(AA$1,AA$2,1,1,$A15))</f>
        <v>8.2799999999999999E-2</v>
      </c>
      <c r="AB15" cm="1">
        <f t="array" aca="1" ref="AB15" ca="1">INDIRECT(ADDRESS(AB$1,AB$2,1,1,$A15))</f>
        <v>-63.451500000000003</v>
      </c>
      <c r="AC15" cm="1">
        <f t="array" aca="1" ref="AC15" ca="1">INDIRECT(ADDRESS(AC$1,AC$2,1,1,$A15))</f>
        <v>37.515900000000002</v>
      </c>
      <c r="AD15" cm="1">
        <f t="array" aca="1" ref="AD15" ca="1">INDIRECT(ADDRESS(AD$1,AD$2,1,1,$A15))</f>
        <v>6.8400000000000002E-2</v>
      </c>
      <c r="AE15" cm="1">
        <f t="array" aca="1" ref="AE15" ca="1">INDIRECT(ADDRESS(AE$1,AE$2,1,1,$A15))</f>
        <v>-62.478400000000001</v>
      </c>
      <c r="AF15" cm="1">
        <f t="array" aca="1" ref="AF15" ca="1">INDIRECT(ADDRESS(AF$1,AF$2,1,1,$A15))</f>
        <v>-36.461100000000002</v>
      </c>
      <c r="AG15" cm="1">
        <f t="array" aca="1" ref="AG15" ca="1">INDIRECT(ADDRESS(AG$1,AG$2,1,1,$A15))</f>
        <v>8.3000000000000004E-2</v>
      </c>
      <c r="AH15" cm="1">
        <f t="array" aca="1" ref="AH15" ca="1">INDIRECT(ADDRESS(AH$1,AH$2,1,1,$A15))</f>
        <v>61.444400000000002</v>
      </c>
      <c r="AI15" cm="1">
        <f t="array" aca="1" ref="AI15" ca="1">INDIRECT(ADDRESS(AI$1,AI$2,1,1,$A15))</f>
        <v>-37.464100000000002</v>
      </c>
      <c r="AJ15" cm="1">
        <f t="array" aca="1" ref="AJ15" ca="1">INDIRECT(ADDRESS(AJ$1,AJ$2,1,1,$A15))</f>
        <v>6.88E-2</v>
      </c>
      <c r="AK15" s="15" cm="1">
        <f t="array" aca="1" ref="AK15" ca="1">INDIRECT(ADDRESS(AK$1,AK$2,1,1,$A15))</f>
        <v>72.881100000000004</v>
      </c>
      <c r="AL15" s="15" cm="1">
        <f t="array" aca="1" ref="AL15" ca="1">INDIRECT(ADDRESS(AL$1,AL$2,1,1,$A15))</f>
        <v>73.712500000000006</v>
      </c>
      <c r="AM15" s="15" cm="1">
        <f t="array" aca="1" ref="AM15" ca="1">INDIRECT(ADDRESS(AM$1,AM$2,1,1,$A15))</f>
        <v>72.339299999999994</v>
      </c>
      <c r="AN15" s="15" cm="1">
        <f t="array" aca="1" ref="AN15" ca="1">INDIRECT(ADDRESS(AN$1,AN$2,1,1,$A15))</f>
        <v>71.965100000000007</v>
      </c>
      <c r="AO15" s="15" cm="1">
        <f t="array" aca="1" ref="AO15" ca="1">INDIRECT(ADDRESS(AO$1,AO$2,1,1,$A15))</f>
        <v>125.93510000000001</v>
      </c>
      <c r="AP15" s="15" cm="1">
        <f t="array" aca="1" ref="AP15" ca="1">INDIRECT(ADDRESS(AP$1,AP$2,1,1,$A15))</f>
        <v>145.2175</v>
      </c>
      <c r="AQ15" s="15" cm="1">
        <f t="array" aca="1" ref="AQ15" ca="1">INDIRECT(ADDRESS(AQ$1,AQ$2,1,1,$A15))</f>
        <v>74.987200000000001</v>
      </c>
      <c r="AR15" s="15" cm="1">
        <f t="array" aca="1" ref="AR15" ca="1">INDIRECT(ADDRESS(AR$1,AR$2,1,1,$A15))</f>
        <v>73.983400000000003</v>
      </c>
      <c r="AS15" s="15" cm="1">
        <f t="array" aca="1" ref="AS15" ca="1">INDIRECT(ADDRESS(AS$1,AS$2,1,1,$A15))</f>
        <v>145.67429999999999</v>
      </c>
      <c r="AT15" s="15" cm="1">
        <f t="array" aca="1" ref="AT15" ca="1">INDIRECT(ADDRESS(AT$1,AT$2,1,1,$A15))</f>
        <v>123.9269</v>
      </c>
      <c r="AV15" s="15">
        <f t="shared" ca="1" si="0"/>
        <v>-5.2394429104651863E-5</v>
      </c>
      <c r="AW15" s="15">
        <f t="shared" ca="1" si="1"/>
        <v>-5.1737271988372413E-5</v>
      </c>
      <c r="AX15" s="15">
        <f t="shared" ca="1" si="2"/>
        <v>3.5635686742807593E-5</v>
      </c>
      <c r="AY15" s="15">
        <f t="shared" ca="1" si="3"/>
        <v>-1.5254614851301085E-5</v>
      </c>
      <c r="AZ15" s="15">
        <f t="shared" ca="1" si="4"/>
        <v>-1.0082328054750178E-4</v>
      </c>
      <c r="BA15" s="15">
        <f t="shared" ca="1" si="5"/>
        <v>-2.2696988821735431E-6</v>
      </c>
      <c r="BB15" s="15">
        <f t="shared" ca="1" si="6"/>
        <v>-3.844989450385583E-6</v>
      </c>
      <c r="BC15" s="15">
        <f t="shared" ca="1" si="7"/>
        <v>-1.2854910664827912E-6</v>
      </c>
      <c r="BD15" s="15">
        <f t="shared" ca="1" si="8"/>
        <v>5.3007025968554444E-5</v>
      </c>
      <c r="BE15" s="15">
        <f t="shared" ca="1" si="9"/>
        <v>4.0237961329125937E-5</v>
      </c>
      <c r="BG15" s="15" cm="1">
        <f t="array" aca="1" ref="BG15" ca="1">INDIRECT(ADDRESS(BG$1,BG$2,1,1,$A15))</f>
        <v>4.8999999999999998E-3</v>
      </c>
      <c r="BH15" s="15" cm="1">
        <f t="array" aca="1" ref="BH15" ca="1">INDIRECT(ADDRESS(BH$1,BH$2,1,1,$A15))</f>
        <v>3.7000000000000002E-3</v>
      </c>
      <c r="BI15" s="15" cm="1">
        <f t="array" aca="1" ref="BI15" ca="1">INDIRECT(ADDRESS(BI$1,BI$2,1,1,$A15))</f>
        <v>5.0000000000000001E-3</v>
      </c>
      <c r="BJ15" s="15" cm="1">
        <f t="array" aca="1" ref="BJ15" ca="1">INDIRECT(ADDRESS(BJ$1,BJ$2,1,1,$A15))</f>
        <v>6.7000000000000002E-3</v>
      </c>
      <c r="BK15" s="15" cm="1">
        <f t="array" aca="1" ref="BK15" ca="1">INDIRECT(ADDRESS(BK$1,BK$2,1,1,$A15))</f>
        <v>5.1000000000000004E-3</v>
      </c>
      <c r="BN15" s="32"/>
    </row>
    <row r="16" spans="1:66" x14ac:dyDescent="0.4">
      <c r="A16" t="s">
        <v>59</v>
      </c>
      <c r="B16" t="str" cm="1">
        <f t="array" aca="1" ref="B16" ca="1">LEFT(INDIRECT(ADDRESS(B$1,B$2,1,1,$A16)),FIND("-",INDIRECT(ADDRESS(B$1,B$2,1,1,$A16)))-1)</f>
        <v>P509</v>
      </c>
      <c r="C16" t="str" cm="1">
        <f t="array" aca="1" ref="C16" ca="1">RIGHT(INDIRECT(ADDRESS(B$1,B$2,1,1,$A16)),LEN(INDIRECT(ADDRESS(B$1,B$2,1,1,$A16)))-FIND("-",INDIRECT(ADDRESS(B$1,B$2,1,1,$A16))))</f>
        <v>east</v>
      </c>
      <c r="D16" s="10" cm="1">
        <f t="array" aca="1" ref="D16" ca="1">DATE(MID(INDIRECT(ADDRESS(D$1,D$2,1,1,$A16)),1,4),MID(INDIRECT(ADDRESS(D$1,D$2,1,1,$A16)),5,2),MID(INDIRECT(ADDRESS(D$1,D$2,1,1,$A16)),7,2))+TIME(MID(INDIRECT(ADDRESS(D$1,D$2,1,1,$A16)),10,2),MID(INDIRECT(ADDRESS(D$1,D$2,1,1,$A16)),12,2),0)</f>
        <v>44537.671527777777</v>
      </c>
      <c r="E16" cm="1">
        <f t="array" aca="1" ref="E16" ca="1">INDIRECT(ADDRESS(E$1,E$2,1,1,$A16))</f>
        <v>0</v>
      </c>
      <c r="F16" s="11" cm="1">
        <f t="array" aca="1" ref="F16" ca="1">VALUE(SUBSTITUTE(INDIRECT(ADDRESS(F$1,F$2,1,1,$A16)),"┬░C",""))</f>
        <v>20</v>
      </c>
      <c r="G16" s="12" cm="1">
        <f t="array" aca="1" ref="G16" ca="1">INDIRECT(ADDRESS(G$1,G$2,1,1,$A16))</f>
        <v>25.3992</v>
      </c>
      <c r="H16" cm="1">
        <f t="array" aca="1" ref="H16" ca="1">INDIRECT(ADDRESS(H$1,H$2,1,1,$A16))</f>
        <v>25.402799999999999</v>
      </c>
      <c r="I16" cm="1">
        <f t="array" aca="1" ref="I16" ca="1">INDIRECT(ADDRESS(I$1,I$2,1,1,$A16))</f>
        <v>25.401900000000001</v>
      </c>
      <c r="J16" cm="1">
        <f t="array" aca="1" ref="J16" ca="1">INDIRECT(ADDRESS(J$1,J$2,1,1,$A16))</f>
        <v>25.404499999999999</v>
      </c>
      <c r="K16" s="13" cm="1">
        <f t="array" aca="1" ref="K16" ca="1">INDIRECT(ADDRESS(K$1,K$2,1,1,$A16))</f>
        <v>25.4024</v>
      </c>
      <c r="L16" s="14" cm="1">
        <f t="array" aca="1" ref="L16" ca="1">SQRT(SUMSQ(Y16:AA16-V16:X16))</f>
        <v>72.880827414142331</v>
      </c>
      <c r="M16" s="15" cm="1">
        <f t="array" aca="1" ref="M16" ca="1">SQRT(SUMSQ(AB16:AD16-V16:X16))</f>
        <v>73.712142126246746</v>
      </c>
      <c r="N16" s="15" cm="1">
        <f t="array" aca="1" ref="N16" ca="1">SQRT(SUMSQ(AE16:AG16-V16:X16))</f>
        <v>72.339272637205852</v>
      </c>
      <c r="O16" s="15" cm="1">
        <f t="array" aca="1" ref="O16" ca="1">SQRT(SUMSQ(AH16:AJ16-V16:X16))</f>
        <v>71.965424807820042</v>
      </c>
      <c r="P16" s="15" cm="1">
        <f t="array" aca="1" ref="P16" ca="1">SQRT(SUMSQ(AB16:AD16-Y16:AA16))</f>
        <v>125.93470075610612</v>
      </c>
      <c r="Q16" s="15" cm="1">
        <f t="array" aca="1" ref="Q16" ca="1">SQRT(SUMSQ(AE16:AG16-Y16:AA16))</f>
        <v>145.21718972990075</v>
      </c>
      <c r="R16" s="15" cm="1">
        <f t="array" aca="1" ref="R16" ca="1">SQRT(SUMSQ(AH16:AJ16-Y16:AA16))</f>
        <v>74.986996826383162</v>
      </c>
      <c r="S16" s="15" cm="1">
        <f t="array" aca="1" ref="S16" ca="1">SQRT(SUMSQ(AE16:AG16-AB16:AD16))</f>
        <v>73.983802450266083</v>
      </c>
      <c r="T16" s="15" cm="1">
        <f t="array" aca="1" ref="T16" ca="1">SQRT(SUMSQ(AH16:AJ16-AB16:AD16))</f>
        <v>145.67414405106351</v>
      </c>
      <c r="U16" s="16" cm="1">
        <f t="array" aca="1" ref="U16" ca="1">SQRT(SUMSQ(AH16:AJ16-AE16:AG16))</f>
        <v>123.92675484337512</v>
      </c>
      <c r="V16" cm="1">
        <f t="array" aca="1" ref="V16" ca="1">INDIRECT(ADDRESS(V$1,V$2,1,1,$A16))</f>
        <v>0</v>
      </c>
      <c r="W16" cm="1">
        <f t="array" aca="1" ref="W16" ca="1">INDIRECT(ADDRESS(W$1,W$2,1,1,$A16))</f>
        <v>0</v>
      </c>
      <c r="X16" cm="1">
        <f t="array" aca="1" ref="X16" ca="1">INDIRECT(ADDRESS(X$1,X$2,1,1,$A16))</f>
        <v>0</v>
      </c>
      <c r="Y16" cm="1">
        <f t="array" aca="1" ref="Y16" ca="1">INDIRECT(ADDRESS(Y$1,Y$2,1,1,$A16))</f>
        <v>62.483499999999999</v>
      </c>
      <c r="Z16" cm="1">
        <f t="array" aca="1" ref="Z16" ca="1">INDIRECT(ADDRESS(Z$1,Z$2,1,1,$A16))</f>
        <v>37.515599999999999</v>
      </c>
      <c r="AA16" cm="1">
        <f t="array" aca="1" ref="AA16" ca="1">INDIRECT(ADDRESS(AA$1,AA$2,1,1,$A16))</f>
        <v>8.3599999999999994E-2</v>
      </c>
      <c r="AB16" cm="1">
        <f t="array" aca="1" ref="AB16" ca="1">INDIRECT(ADDRESS(AB$1,AB$2,1,1,$A16))</f>
        <v>-63.4512</v>
      </c>
      <c r="AC16" cm="1">
        <f t="array" aca="1" ref="AC16" ca="1">INDIRECT(ADDRESS(AC$1,AC$2,1,1,$A16))</f>
        <v>37.515599999999999</v>
      </c>
      <c r="AD16" cm="1">
        <f t="array" aca="1" ref="AD16" ca="1">INDIRECT(ADDRESS(AD$1,AD$2,1,1,$A16))</f>
        <v>6.9800000000000001E-2</v>
      </c>
      <c r="AE16" cm="1">
        <f t="array" aca="1" ref="AE16" ca="1">INDIRECT(ADDRESS(AE$1,AE$2,1,1,$A16))</f>
        <v>-62.478000000000002</v>
      </c>
      <c r="AF16" cm="1">
        <f t="array" aca="1" ref="AF16" ca="1">INDIRECT(ADDRESS(AF$1,AF$2,1,1,$A16))</f>
        <v>-36.461799999999997</v>
      </c>
      <c r="AG16" cm="1">
        <f t="array" aca="1" ref="AG16" ca="1">INDIRECT(ADDRESS(AG$1,AG$2,1,1,$A16))</f>
        <v>8.3799999999999999E-2</v>
      </c>
      <c r="AH16" cm="1">
        <f t="array" aca="1" ref="AH16" ca="1">INDIRECT(ADDRESS(AH$1,AH$2,1,1,$A16))</f>
        <v>61.444699999999997</v>
      </c>
      <c r="AI16" cm="1">
        <f t="array" aca="1" ref="AI16" ca="1">INDIRECT(ADDRESS(AI$1,AI$2,1,1,$A16))</f>
        <v>-37.464199999999998</v>
      </c>
      <c r="AJ16" cm="1">
        <f t="array" aca="1" ref="AJ16" ca="1">INDIRECT(ADDRESS(AJ$1,AJ$2,1,1,$A16))</f>
        <v>7.0199999999999999E-2</v>
      </c>
      <c r="AK16" s="15" cm="1">
        <f t="array" aca="1" ref="AK16" ca="1">INDIRECT(ADDRESS(AK$1,AK$2,1,1,$A16))</f>
        <v>72.880799999999994</v>
      </c>
      <c r="AL16" s="15" cm="1">
        <f t="array" aca="1" ref="AL16" ca="1">INDIRECT(ADDRESS(AL$1,AL$2,1,1,$A16))</f>
        <v>73.712100000000007</v>
      </c>
      <c r="AM16" s="15" cm="1">
        <f t="array" aca="1" ref="AM16" ca="1">INDIRECT(ADDRESS(AM$1,AM$2,1,1,$A16))</f>
        <v>72.339299999999994</v>
      </c>
      <c r="AN16" s="15" cm="1">
        <f t="array" aca="1" ref="AN16" ca="1">INDIRECT(ADDRESS(AN$1,AN$2,1,1,$A16))</f>
        <v>71.965400000000002</v>
      </c>
      <c r="AO16" s="15" cm="1">
        <f t="array" aca="1" ref="AO16" ca="1">INDIRECT(ADDRESS(AO$1,AO$2,1,1,$A16))</f>
        <v>125.93470000000001</v>
      </c>
      <c r="AP16" s="15" cm="1">
        <f t="array" aca="1" ref="AP16" ca="1">INDIRECT(ADDRESS(AP$1,AP$2,1,1,$A16))</f>
        <v>145.21719999999999</v>
      </c>
      <c r="AQ16" s="15" cm="1">
        <f t="array" aca="1" ref="AQ16" ca="1">INDIRECT(ADDRESS(AQ$1,AQ$2,1,1,$A16))</f>
        <v>74.986999999999995</v>
      </c>
      <c r="AR16" s="15" cm="1">
        <f t="array" aca="1" ref="AR16" ca="1">INDIRECT(ADDRESS(AR$1,AR$2,1,1,$A16))</f>
        <v>73.983800000000002</v>
      </c>
      <c r="AS16" s="15" cm="1">
        <f t="array" aca="1" ref="AS16" ca="1">INDIRECT(ADDRESS(AS$1,AS$2,1,1,$A16))</f>
        <v>145.67410000000001</v>
      </c>
      <c r="AT16" s="15" cm="1">
        <f t="array" aca="1" ref="AT16" ca="1">INDIRECT(ADDRESS(AT$1,AT$2,1,1,$A16))</f>
        <v>123.9268</v>
      </c>
      <c r="AV16" s="15">
        <f t="shared" ca="1" si="0"/>
        <v>-2.7414142337534031E-5</v>
      </c>
      <c r="AW16" s="15">
        <f t="shared" ca="1" si="1"/>
        <v>-4.2126246739826456E-5</v>
      </c>
      <c r="AX16" s="15">
        <f t="shared" ca="1" si="2"/>
        <v>2.7362794142504754E-5</v>
      </c>
      <c r="AY16" s="15">
        <f t="shared" ca="1" si="3"/>
        <v>-2.4807820039995931E-5</v>
      </c>
      <c r="AZ16" s="15">
        <f t="shared" ca="1" si="4"/>
        <v>-7.5610611816046003E-7</v>
      </c>
      <c r="BA16" s="15">
        <f t="shared" ca="1" si="5"/>
        <v>1.0270099238596231E-5</v>
      </c>
      <c r="BB16" s="15">
        <f t="shared" ca="1" si="6"/>
        <v>3.1736168324414393E-6</v>
      </c>
      <c r="BC16" s="15">
        <f t="shared" ca="1" si="7"/>
        <v>-2.450266080700203E-6</v>
      </c>
      <c r="BD16" s="15">
        <f t="shared" ca="1" si="8"/>
        <v>-4.405106349736343E-5</v>
      </c>
      <c r="BE16" s="15">
        <f t="shared" ca="1" si="9"/>
        <v>4.515662487847294E-5</v>
      </c>
      <c r="BG16" s="15" cm="1">
        <f t="array" aca="1" ref="BG16" ca="1">INDIRECT(ADDRESS(BG$1,BG$2,1,1,$A16))</f>
        <v>6.3E-3</v>
      </c>
      <c r="BH16" s="15" cm="1">
        <f t="array" aca="1" ref="BH16" ca="1">INDIRECT(ADDRESS(BH$1,BH$2,1,1,$A16))</f>
        <v>4.4999999999999997E-3</v>
      </c>
      <c r="BI16" s="15" cm="1">
        <f t="array" aca="1" ref="BI16" ca="1">INDIRECT(ADDRESS(BI$1,BI$2,1,1,$A16))</f>
        <v>6.1000000000000004E-3</v>
      </c>
      <c r="BJ16" s="15" cm="1">
        <f t="array" aca="1" ref="BJ16" ca="1">INDIRECT(ADDRESS(BJ$1,BJ$2,1,1,$A16))</f>
        <v>5.5999999999999999E-3</v>
      </c>
      <c r="BK16" s="15" cm="1">
        <f t="array" aca="1" ref="BK16" ca="1">INDIRECT(ADDRESS(BK$1,BK$2,1,1,$A16))</f>
        <v>5.4000000000000003E-3</v>
      </c>
      <c r="BN16" s="32"/>
    </row>
    <row r="17" spans="1:66" x14ac:dyDescent="0.4">
      <c r="A17" t="s">
        <v>62</v>
      </c>
      <c r="B17" t="str" cm="1">
        <f t="array" aca="1" ref="B17" ca="1">LEFT(INDIRECT(ADDRESS(B$1,B$2,1,1,$A17)),FIND("-",INDIRECT(ADDRESS(B$1,B$2,1,1,$A17)))-1)</f>
        <v>P509</v>
      </c>
      <c r="C17" t="str" cm="1">
        <f t="array" aca="1" ref="C17" ca="1">RIGHT(INDIRECT(ADDRESS(B$1,B$2,1,1,$A17)),LEN(INDIRECT(ADDRESS(B$1,B$2,1,1,$A17)))-FIND("-",INDIRECT(ADDRESS(B$1,B$2,1,1,$A17))))</f>
        <v>east</v>
      </c>
      <c r="D17" s="10" cm="1">
        <f t="array" aca="1" ref="D17" ca="1">DATE(MID(INDIRECT(ADDRESS(D$1,D$2,1,1,$A17)),1,4),MID(INDIRECT(ADDRESS(D$1,D$2,1,1,$A17)),5,2),MID(INDIRECT(ADDRESS(D$1,D$2,1,1,$A17)),7,2))+TIME(MID(INDIRECT(ADDRESS(D$1,D$2,1,1,$A17)),10,2),MID(INDIRECT(ADDRESS(D$1,D$2,1,1,$A17)),12,2),0)</f>
        <v>44537.674305555556</v>
      </c>
      <c r="E17" cm="1">
        <f t="array" aca="1" ref="E17" ca="1">INDIRECT(ADDRESS(E$1,E$2,1,1,$A17))</f>
        <v>0</v>
      </c>
      <c r="F17" s="11" cm="1">
        <f t="array" aca="1" ref="F17" ca="1">VALUE(SUBSTITUTE(INDIRECT(ADDRESS(F$1,F$2,1,1,$A17)),"┬░C",""))</f>
        <v>20</v>
      </c>
      <c r="G17" s="12" cm="1">
        <f t="array" aca="1" ref="G17" ca="1">INDIRECT(ADDRESS(G$1,G$2,1,1,$A17))</f>
        <v>25.398900000000001</v>
      </c>
      <c r="H17" cm="1">
        <f t="array" aca="1" ref="H17" ca="1">INDIRECT(ADDRESS(H$1,H$2,1,1,$A17))</f>
        <v>25.402200000000001</v>
      </c>
      <c r="I17" cm="1">
        <f t="array" aca="1" ref="I17" ca="1">INDIRECT(ADDRESS(I$1,I$2,1,1,$A17))</f>
        <v>25.402999999999999</v>
      </c>
      <c r="J17" cm="1">
        <f t="array" aca="1" ref="J17" ca="1">INDIRECT(ADDRESS(J$1,J$2,1,1,$A17))</f>
        <v>25.404399999999999</v>
      </c>
      <c r="K17" s="13" cm="1">
        <f t="array" aca="1" ref="K17" ca="1">INDIRECT(ADDRESS(K$1,K$2,1,1,$A17))</f>
        <v>25.402100000000001</v>
      </c>
      <c r="L17" s="14" cm="1">
        <f t="array" aca="1" ref="L17" ca="1">SQRT(SUMSQ(Y17:AA17-V17:X17))</f>
        <v>72.88051816569363</v>
      </c>
      <c r="M17" s="15" cm="1">
        <f t="array" aca="1" ref="M17" ca="1">SQRT(SUMSQ(AB17:AD17-V17:X17))</f>
        <v>73.712864731402206</v>
      </c>
      <c r="N17" s="15" cm="1">
        <f t="array" aca="1" ref="N17" ca="1">SQRT(SUMSQ(AE17:AG17-V17:X17))</f>
        <v>72.339998970071875</v>
      </c>
      <c r="O17" s="15" cm="1">
        <f t="array" aca="1" ref="O17" ca="1">SQRT(SUMSQ(AH17:AJ17-V17:X17))</f>
        <v>71.965375645028075</v>
      </c>
      <c r="P17" s="15" cm="1">
        <f t="array" aca="1" ref="P17" ca="1">SQRT(SUMSQ(AB17:AD17-Y17:AA17))</f>
        <v>125.93530084630758</v>
      </c>
      <c r="Q17" s="15" cm="1">
        <f t="array" aca="1" ref="Q17" ca="1">SQRT(SUMSQ(AE17:AG17-Y17:AA17))</f>
        <v>145.21760415421403</v>
      </c>
      <c r="R17" s="15" cm="1">
        <f t="array" aca="1" ref="R17" ca="1">SQRT(SUMSQ(AH17:AJ17-Y17:AA17))</f>
        <v>74.987296944815924</v>
      </c>
      <c r="S17" s="15" cm="1">
        <f t="array" aca="1" ref="S17" ca="1">SQRT(SUMSQ(AE17:AG17-AB17:AD17))</f>
        <v>73.983602623284042</v>
      </c>
      <c r="T17" s="15" cm="1">
        <f t="array" aca="1" ref="T17" ca="1">SQRT(SUMSQ(AH17:AJ17-AB17:AD17))</f>
        <v>145.67481288273549</v>
      </c>
      <c r="U17" s="16" cm="1">
        <f t="array" aca="1" ref="U17" ca="1">SQRT(SUMSQ(AH17:AJ17-AE17:AG17))</f>
        <v>123.92735895943238</v>
      </c>
      <c r="V17" cm="1">
        <f t="array" aca="1" ref="V17" ca="1">INDIRECT(ADDRESS(V$1,V$2,1,1,$A17))</f>
        <v>0</v>
      </c>
      <c r="W17" cm="1">
        <f t="array" aca="1" ref="W17" ca="1">INDIRECT(ADDRESS(W$1,W$2,1,1,$A17))</f>
        <v>0</v>
      </c>
      <c r="X17" cm="1">
        <f t="array" aca="1" ref="X17" ca="1">INDIRECT(ADDRESS(X$1,X$2,1,1,$A17))</f>
        <v>0</v>
      </c>
      <c r="Y17" cm="1">
        <f t="array" aca="1" ref="Y17" ca="1">INDIRECT(ADDRESS(Y$1,Y$2,1,1,$A17))</f>
        <v>62.483199999999997</v>
      </c>
      <c r="Z17" cm="1">
        <f t="array" aca="1" ref="Z17" ca="1">INDIRECT(ADDRESS(Z$1,Z$2,1,1,$A17))</f>
        <v>37.515500000000003</v>
      </c>
      <c r="AA17" cm="1">
        <f t="array" aca="1" ref="AA17" ca="1">INDIRECT(ADDRESS(AA$1,AA$2,1,1,$A17))</f>
        <v>8.3099999999999993E-2</v>
      </c>
      <c r="AB17" cm="1">
        <f t="array" aca="1" ref="AB17" ca="1">INDIRECT(ADDRESS(AB$1,AB$2,1,1,$A17))</f>
        <v>-63.452100000000002</v>
      </c>
      <c r="AC17" cm="1">
        <f t="array" aca="1" ref="AC17" ca="1">INDIRECT(ADDRESS(AC$1,AC$2,1,1,$A17))</f>
        <v>37.515500000000003</v>
      </c>
      <c r="AD17" cm="1">
        <f t="array" aca="1" ref="AD17" ca="1">INDIRECT(ADDRESS(AD$1,AD$2,1,1,$A17))</f>
        <v>6.8500000000000005E-2</v>
      </c>
      <c r="AE17" cm="1">
        <f t="array" aca="1" ref="AE17" ca="1">INDIRECT(ADDRESS(AE$1,AE$2,1,1,$A17))</f>
        <v>-62.478900000000003</v>
      </c>
      <c r="AF17" cm="1">
        <f t="array" aca="1" ref="AF17" ca="1">INDIRECT(ADDRESS(AF$1,AF$2,1,1,$A17))</f>
        <v>-36.4617</v>
      </c>
      <c r="AG17" cm="1">
        <f t="array" aca="1" ref="AG17" ca="1">INDIRECT(ADDRESS(AG$1,AG$2,1,1,$A17))</f>
        <v>8.3299999999999999E-2</v>
      </c>
      <c r="AH17" cm="1">
        <f t="array" aca="1" ref="AH17" ca="1">INDIRECT(ADDRESS(AH$1,AH$2,1,1,$A17))</f>
        <v>61.444400000000002</v>
      </c>
      <c r="AI17" cm="1">
        <f t="array" aca="1" ref="AI17" ca="1">INDIRECT(ADDRESS(AI$1,AI$2,1,1,$A17))</f>
        <v>-37.464599999999997</v>
      </c>
      <c r="AJ17" cm="1">
        <f t="array" aca="1" ref="AJ17" ca="1">INDIRECT(ADDRESS(AJ$1,AJ$2,1,1,$A17))</f>
        <v>6.8900000000000003E-2</v>
      </c>
      <c r="AK17" s="15" cm="1">
        <f t="array" aca="1" ref="AK17" ca="1">INDIRECT(ADDRESS(AK$1,AK$2,1,1,$A17))</f>
        <v>72.880499999999998</v>
      </c>
      <c r="AL17" s="15" cm="1">
        <f t="array" aca="1" ref="AL17" ca="1">INDIRECT(ADDRESS(AL$1,AL$2,1,1,$A17))</f>
        <v>73.712900000000005</v>
      </c>
      <c r="AM17" s="15" cm="1">
        <f t="array" aca="1" ref="AM17" ca="1">INDIRECT(ADDRESS(AM$1,AM$2,1,1,$A17))</f>
        <v>72.34</v>
      </c>
      <c r="AN17" s="15" cm="1">
        <f t="array" aca="1" ref="AN17" ca="1">INDIRECT(ADDRESS(AN$1,AN$2,1,1,$A17))</f>
        <v>71.965400000000002</v>
      </c>
      <c r="AO17" s="15" cm="1">
        <f t="array" aca="1" ref="AO17" ca="1">INDIRECT(ADDRESS(AO$1,AO$2,1,1,$A17))</f>
        <v>125.9353</v>
      </c>
      <c r="AP17" s="15" cm="1">
        <f t="array" aca="1" ref="AP17" ca="1">INDIRECT(ADDRESS(AP$1,AP$2,1,1,$A17))</f>
        <v>145.2176</v>
      </c>
      <c r="AQ17" s="15" cm="1">
        <f t="array" aca="1" ref="AQ17" ca="1">INDIRECT(ADDRESS(AQ$1,AQ$2,1,1,$A17))</f>
        <v>74.987300000000005</v>
      </c>
      <c r="AR17" s="15" cm="1">
        <f t="array" aca="1" ref="AR17" ca="1">INDIRECT(ADDRESS(AR$1,AR$2,1,1,$A17))</f>
        <v>73.983699999999999</v>
      </c>
      <c r="AS17" s="15" cm="1">
        <f t="array" aca="1" ref="AS17" ca="1">INDIRECT(ADDRESS(AS$1,AS$2,1,1,$A17))</f>
        <v>145.6748</v>
      </c>
      <c r="AT17" s="15" cm="1">
        <f t="array" aca="1" ref="AT17" ca="1">INDIRECT(ADDRESS(AT$1,AT$2,1,1,$A17))</f>
        <v>123.92740000000001</v>
      </c>
      <c r="AV17" s="15">
        <f t="shared" ca="1" si="0"/>
        <v>-1.8165693631999602E-5</v>
      </c>
      <c r="AW17" s="15">
        <f t="shared" ca="1" si="1"/>
        <v>3.5268597798676637E-5</v>
      </c>
      <c r="AX17" s="15">
        <f t="shared" ca="1" si="2"/>
        <v>1.0299281285597317E-6</v>
      </c>
      <c r="AY17" s="15">
        <f t="shared" ca="1" si="3"/>
        <v>2.435497192720959E-5</v>
      </c>
      <c r="AZ17" s="15">
        <f t="shared" ca="1" si="4"/>
        <v>-8.4630758578896348E-7</v>
      </c>
      <c r="BA17" s="15">
        <f t="shared" ca="1" si="5"/>
        <v>-4.1542140252204263E-6</v>
      </c>
      <c r="BB17" s="15">
        <f t="shared" ca="1" si="6"/>
        <v>3.0551840808357156E-6</v>
      </c>
      <c r="BC17" s="15">
        <f t="shared" ca="1" si="7"/>
        <v>9.7376715956443149E-5</v>
      </c>
      <c r="BD17" s="15">
        <f t="shared" ca="1" si="8"/>
        <v>-1.2882735489938568E-5</v>
      </c>
      <c r="BE17" s="15">
        <f t="shared" ca="1" si="9"/>
        <v>4.1040567623440438E-5</v>
      </c>
      <c r="BG17" s="15" cm="1">
        <f t="array" aca="1" ref="BG17" ca="1">INDIRECT(ADDRESS(BG$1,BG$2,1,1,$A17))</f>
        <v>4.3E-3</v>
      </c>
      <c r="BH17" s="15" cm="1">
        <f t="array" aca="1" ref="BH17" ca="1">INDIRECT(ADDRESS(BH$1,BH$2,1,1,$A17))</f>
        <v>6.3E-3</v>
      </c>
      <c r="BI17" s="15" cm="1">
        <f t="array" aca="1" ref="BI17" ca="1">INDIRECT(ADDRESS(BI$1,BI$2,1,1,$A17))</f>
        <v>5.3E-3</v>
      </c>
      <c r="BJ17" s="15" cm="1">
        <f t="array" aca="1" ref="BJ17" ca="1">INDIRECT(ADDRESS(BJ$1,BJ$2,1,1,$A17))</f>
        <v>6.3E-3</v>
      </c>
      <c r="BK17" s="15" cm="1">
        <f t="array" aca="1" ref="BK17" ca="1">INDIRECT(ADDRESS(BK$1,BK$2,1,1,$A17))</f>
        <v>3.0999999999999999E-3</v>
      </c>
      <c r="BN17" s="32"/>
    </row>
    <row r="18" spans="1:66" x14ac:dyDescent="0.4">
      <c r="A18" t="s">
        <v>65</v>
      </c>
      <c r="B18" t="str" cm="1">
        <f t="array" aca="1" ref="B18" ca="1">LEFT(INDIRECT(ADDRESS(B$1,B$2,1,1,$A18)),FIND("-",INDIRECT(ADDRESS(B$1,B$2,1,1,$A18)))-1)</f>
        <v>P509</v>
      </c>
      <c r="C18" t="str" cm="1">
        <f t="array" aca="1" ref="C18" ca="1">RIGHT(INDIRECT(ADDRESS(B$1,B$2,1,1,$A18)),LEN(INDIRECT(ADDRESS(B$1,B$2,1,1,$A18)))-FIND("-",INDIRECT(ADDRESS(B$1,B$2,1,1,$A18))))</f>
        <v>east</v>
      </c>
      <c r="D18" s="10" cm="1">
        <f t="array" aca="1" ref="D18" ca="1">DATE(MID(INDIRECT(ADDRESS(D$1,D$2,1,1,$A18)),1,4),MID(INDIRECT(ADDRESS(D$1,D$2,1,1,$A18)),5,2),MID(INDIRECT(ADDRESS(D$1,D$2,1,1,$A18)),7,2))+TIME(MID(INDIRECT(ADDRESS(D$1,D$2,1,1,$A18)),10,2),MID(INDIRECT(ADDRESS(D$1,D$2,1,1,$A18)),12,2),0)</f>
        <v>44537.676388888889</v>
      </c>
      <c r="E18" cm="1">
        <f t="array" aca="1" ref="E18" ca="1">INDIRECT(ADDRESS(E$1,E$2,1,1,$A18))</f>
        <v>0</v>
      </c>
      <c r="F18" s="11" cm="1">
        <f t="array" aca="1" ref="F18" ca="1">VALUE(SUBSTITUTE(INDIRECT(ADDRESS(F$1,F$2,1,1,$A18)),"┬░C",""))</f>
        <v>20</v>
      </c>
      <c r="G18" s="12" cm="1">
        <f t="array" aca="1" ref="G18" ca="1">INDIRECT(ADDRESS(G$1,G$2,1,1,$A18))</f>
        <v>25.399000000000001</v>
      </c>
      <c r="H18" cm="1">
        <f t="array" aca="1" ref="H18" ca="1">INDIRECT(ADDRESS(H$1,H$2,1,1,$A18))</f>
        <v>25.403400000000001</v>
      </c>
      <c r="I18" cm="1">
        <f t="array" aca="1" ref="I18" ca="1">INDIRECT(ADDRESS(I$1,I$2,1,1,$A18))</f>
        <v>25.403300000000002</v>
      </c>
      <c r="J18" cm="1">
        <f t="array" aca="1" ref="J18" ca="1">INDIRECT(ADDRESS(J$1,J$2,1,1,$A18))</f>
        <v>25.405100000000001</v>
      </c>
      <c r="K18" s="13" cm="1">
        <f t="array" aca="1" ref="K18" ca="1">INDIRECT(ADDRESS(K$1,K$2,1,1,$A18))</f>
        <v>25.402799999999999</v>
      </c>
      <c r="L18" s="14" cm="1">
        <f t="array" aca="1" ref="L18" ca="1">SQRT(SUMSQ(Y18:AA18-V18:X18))</f>
        <v>72.880415163883356</v>
      </c>
      <c r="M18" s="15" cm="1">
        <f t="array" aca="1" ref="M18" ca="1">SQRT(SUMSQ(AB18:AD18-V18:X18))</f>
        <v>73.713275654050264</v>
      </c>
      <c r="N18" s="15" cm="1">
        <f t="array" aca="1" ref="N18" ca="1">SQRT(SUMSQ(AE18:AG18-V18:X18))</f>
        <v>72.339876406723292</v>
      </c>
      <c r="O18" s="15" cm="1">
        <f t="array" aca="1" ref="O18" ca="1">SQRT(SUMSQ(AH18:AJ18-V18:X18))</f>
        <v>71.96479266071708</v>
      </c>
      <c r="P18" s="15" cm="1">
        <f t="array" aca="1" ref="P18" ca="1">SQRT(SUMSQ(AB18:AD18-Y18:AA18))</f>
        <v>125.93530082327989</v>
      </c>
      <c r="Q18" s="15" cm="1">
        <f t="array" aca="1" ref="Q18" ca="1">SQRT(SUMSQ(AE18:AG18-Y18:AA18))</f>
        <v>145.21737766658646</v>
      </c>
      <c r="R18" s="15" cm="1">
        <f t="array" aca="1" ref="R18" ca="1">SQRT(SUMSQ(AH18:AJ18-Y18:AA18))</f>
        <v>74.987299659475667</v>
      </c>
      <c r="S18" s="15" cm="1">
        <f t="array" aca="1" ref="S18" ca="1">SQRT(SUMSQ(AE18:AG18-AB18:AD18))</f>
        <v>73.984009127716249</v>
      </c>
      <c r="T18" s="15" cm="1">
        <f t="array" aca="1" ref="T18" ca="1">SQRT(SUMSQ(AH18:AJ18-AB18:AD18))</f>
        <v>145.67464141006147</v>
      </c>
      <c r="U18" s="16" cm="1">
        <f t="array" aca="1" ref="U18" ca="1">SQRT(SUMSQ(AH18:AJ18-AE18:AG18))</f>
        <v>123.9266557114328</v>
      </c>
      <c r="V18" cm="1">
        <f t="array" aca="1" ref="V18" ca="1">INDIRECT(ADDRESS(V$1,V$2,1,1,$A18))</f>
        <v>0</v>
      </c>
      <c r="W18" cm="1">
        <f t="array" aca="1" ref="W18" ca="1">INDIRECT(ADDRESS(W$1,W$2,1,1,$A18))</f>
        <v>0</v>
      </c>
      <c r="X18" cm="1">
        <f t="array" aca="1" ref="X18" ca="1">INDIRECT(ADDRESS(X$1,X$2,1,1,$A18))</f>
        <v>0</v>
      </c>
      <c r="Y18" cm="1">
        <f t="array" aca="1" ref="Y18" ca="1">INDIRECT(ADDRESS(Y$1,Y$2,1,1,$A18))</f>
        <v>62.482900000000001</v>
      </c>
      <c r="Z18" cm="1">
        <f t="array" aca="1" ref="Z18" ca="1">INDIRECT(ADDRESS(Z$1,Z$2,1,1,$A18))</f>
        <v>37.515799999999999</v>
      </c>
      <c r="AA18" cm="1">
        <f t="array" aca="1" ref="AA18" ca="1">INDIRECT(ADDRESS(AA$1,AA$2,1,1,$A18))</f>
        <v>8.2900000000000001E-2</v>
      </c>
      <c r="AB18" cm="1">
        <f t="array" aca="1" ref="AB18" ca="1">INDIRECT(ADDRESS(AB$1,AB$2,1,1,$A18))</f>
        <v>-63.452399999999997</v>
      </c>
      <c r="AC18" cm="1">
        <f t="array" aca="1" ref="AC18" ca="1">INDIRECT(ADDRESS(AC$1,AC$2,1,1,$A18))</f>
        <v>37.515799999999999</v>
      </c>
      <c r="AD18" cm="1">
        <f t="array" aca="1" ref="AD18" ca="1">INDIRECT(ADDRESS(AD$1,AD$2,1,1,$A18))</f>
        <v>6.8500000000000005E-2</v>
      </c>
      <c r="AE18" cm="1">
        <f t="array" aca="1" ref="AE18" ca="1">INDIRECT(ADDRESS(AE$1,AE$2,1,1,$A18))</f>
        <v>-62.478700000000003</v>
      </c>
      <c r="AF18" cm="1">
        <f t="array" aca="1" ref="AF18" ca="1">INDIRECT(ADDRESS(AF$1,AF$2,1,1,$A18))</f>
        <v>-36.461799999999997</v>
      </c>
      <c r="AG18" cm="1">
        <f t="array" aca="1" ref="AG18" ca="1">INDIRECT(ADDRESS(AG$1,AG$2,1,1,$A18))</f>
        <v>8.3099999999999993E-2</v>
      </c>
      <c r="AH18" cm="1">
        <f t="array" aca="1" ref="AH18" ca="1">INDIRECT(ADDRESS(AH$1,AH$2,1,1,$A18))</f>
        <v>61.443899999999999</v>
      </c>
      <c r="AI18" cm="1">
        <f t="array" aca="1" ref="AI18" ca="1">INDIRECT(ADDRESS(AI$1,AI$2,1,1,$A18))</f>
        <v>-37.464300000000001</v>
      </c>
      <c r="AJ18" cm="1">
        <f t="array" aca="1" ref="AJ18" ca="1">INDIRECT(ADDRESS(AJ$1,AJ$2,1,1,$A18))</f>
        <v>6.9000000000000006E-2</v>
      </c>
      <c r="AK18" s="15" cm="1">
        <f t="array" aca="1" ref="AK18" ca="1">INDIRECT(ADDRESS(AK$1,AK$2,1,1,$A18))</f>
        <v>72.880399999999995</v>
      </c>
      <c r="AL18" s="15" cm="1">
        <f t="array" aca="1" ref="AL18" ca="1">INDIRECT(ADDRESS(AL$1,AL$2,1,1,$A18))</f>
        <v>73.713300000000004</v>
      </c>
      <c r="AM18" s="15" cm="1">
        <f t="array" aca="1" ref="AM18" ca="1">INDIRECT(ADDRESS(AM$1,AM$2,1,1,$A18))</f>
        <v>72.3399</v>
      </c>
      <c r="AN18" s="15" cm="1">
        <f t="array" aca="1" ref="AN18" ca="1">INDIRECT(ADDRESS(AN$1,AN$2,1,1,$A18))</f>
        <v>71.964799999999997</v>
      </c>
      <c r="AO18" s="15" cm="1">
        <f t="array" aca="1" ref="AO18" ca="1">INDIRECT(ADDRESS(AO$1,AO$2,1,1,$A18))</f>
        <v>125.9353</v>
      </c>
      <c r="AP18" s="15" cm="1">
        <f t="array" aca="1" ref="AP18" ca="1">INDIRECT(ADDRESS(AP$1,AP$2,1,1,$A18))</f>
        <v>145.2174</v>
      </c>
      <c r="AQ18" s="15" cm="1">
        <f t="array" aca="1" ref="AQ18" ca="1">INDIRECT(ADDRESS(AQ$1,AQ$2,1,1,$A18))</f>
        <v>74.987300000000005</v>
      </c>
      <c r="AR18" s="15" cm="1">
        <f t="array" aca="1" ref="AR18" ca="1">INDIRECT(ADDRESS(AR$1,AR$2,1,1,$A18))</f>
        <v>73.983999999999995</v>
      </c>
      <c r="AS18" s="15" cm="1">
        <f t="array" aca="1" ref="AS18" ca="1">INDIRECT(ADDRESS(AS$1,AS$2,1,1,$A18))</f>
        <v>145.6747</v>
      </c>
      <c r="AT18" s="15" cm="1">
        <f t="array" aca="1" ref="AT18" ca="1">INDIRECT(ADDRESS(AT$1,AT$2,1,1,$A18))</f>
        <v>123.9267</v>
      </c>
      <c r="AV18" s="15">
        <f t="shared" ca="1" si="0"/>
        <v>-1.5163883361424269E-5</v>
      </c>
      <c r="AW18" s="15">
        <f t="shared" ca="1" si="1"/>
        <v>2.4345949739768002E-5</v>
      </c>
      <c r="AX18" s="15">
        <f t="shared" ca="1" si="2"/>
        <v>2.359327670831135E-5</v>
      </c>
      <c r="AY18" s="15">
        <f t="shared" ca="1" si="3"/>
        <v>7.3392829165186413E-6</v>
      </c>
      <c r="AZ18" s="15">
        <f t="shared" ca="1" si="4"/>
        <v>-8.232798904828087E-7</v>
      </c>
      <c r="BA18" s="15">
        <f t="shared" ca="1" si="5"/>
        <v>2.2333413539854519E-5</v>
      </c>
      <c r="BB18" s="15">
        <f t="shared" ca="1" si="6"/>
        <v>3.4052433761644352E-7</v>
      </c>
      <c r="BC18" s="15">
        <f t="shared" ca="1" si="7"/>
        <v>-9.1277162539427081E-6</v>
      </c>
      <c r="BD18" s="15">
        <f t="shared" ca="1" si="8"/>
        <v>5.8589938532804808E-5</v>
      </c>
      <c r="BE18" s="15">
        <f t="shared" ca="1" si="9"/>
        <v>4.4288567195849282E-5</v>
      </c>
      <c r="BG18" s="15" cm="1">
        <f t="array" aca="1" ref="BG18" ca="1">INDIRECT(ADDRESS(BG$1,BG$2,1,1,$A18))</f>
        <v>5.7999999999999996E-3</v>
      </c>
      <c r="BH18" s="15" cm="1">
        <f t="array" aca="1" ref="BH18" ca="1">INDIRECT(ADDRESS(BH$1,BH$2,1,1,$A18))</f>
        <v>3.8E-3</v>
      </c>
      <c r="BI18" s="15" cm="1">
        <f t="array" aca="1" ref="BI18" ca="1">INDIRECT(ADDRESS(BI$1,BI$2,1,1,$A18))</f>
        <v>5.5999999999999999E-3</v>
      </c>
      <c r="BJ18" s="15" cm="1">
        <f t="array" aca="1" ref="BJ18" ca="1">INDIRECT(ADDRESS(BJ$1,BJ$2,1,1,$A18))</f>
        <v>5.0000000000000001E-3</v>
      </c>
      <c r="BK18" s="15" cm="1">
        <f t="array" aca="1" ref="BK18" ca="1">INDIRECT(ADDRESS(BK$1,BK$2,1,1,$A18))</f>
        <v>5.5999999999999999E-3</v>
      </c>
      <c r="BN18" s="32"/>
    </row>
    <row r="19" spans="1:66" x14ac:dyDescent="0.4">
      <c r="A19" t="s">
        <v>69</v>
      </c>
      <c r="B19" t="str" cm="1">
        <f t="array" aca="1" ref="B19" ca="1">LEFT(INDIRECT(ADDRESS(B$1,B$2,1,1,$A19)),FIND("-",INDIRECT(ADDRESS(B$1,B$2,1,1,$A19)))-1)</f>
        <v>P509</v>
      </c>
      <c r="C19" t="str" cm="1">
        <f t="array" aca="1" ref="C19" ca="1">RIGHT(INDIRECT(ADDRESS(B$1,B$2,1,1,$A19)),LEN(INDIRECT(ADDRESS(B$1,B$2,1,1,$A19)))-FIND("-",INDIRECT(ADDRESS(B$1,B$2,1,1,$A19))))</f>
        <v>south</v>
      </c>
      <c r="D19" s="10" cm="1">
        <f t="array" aca="1" ref="D19" ca="1">DATE(MID(INDIRECT(ADDRESS(D$1,D$2,1,1,$A19)),1,4),MID(INDIRECT(ADDRESS(D$1,D$2,1,1,$A19)),5,2),MID(INDIRECT(ADDRESS(D$1,D$2,1,1,$A19)),7,2))+TIME(MID(INDIRECT(ADDRESS(D$1,D$2,1,1,$A19)),10,2),MID(INDIRECT(ADDRESS(D$1,D$2,1,1,$A19)),12,2),0)</f>
        <v>44537.679861111108</v>
      </c>
      <c r="E19" cm="1">
        <f t="array" aca="1" ref="E19" ca="1">INDIRECT(ADDRESS(E$1,E$2,1,1,$A19))</f>
        <v>0</v>
      </c>
      <c r="F19" s="11" cm="1">
        <f t="array" aca="1" ref="F19" ca="1">VALUE(SUBSTITUTE(INDIRECT(ADDRESS(F$1,F$2,1,1,$A19)),"┬░C",""))</f>
        <v>20</v>
      </c>
      <c r="G19" s="12" cm="1">
        <f t="array" aca="1" ref="G19" ca="1">INDIRECT(ADDRESS(G$1,G$2,1,1,$A19))</f>
        <v>25.399699999999999</v>
      </c>
      <c r="H19" cm="1">
        <f t="array" aca="1" ref="H19" ca="1">INDIRECT(ADDRESS(H$1,H$2,1,1,$A19))</f>
        <v>25.402799999999999</v>
      </c>
      <c r="I19" cm="1">
        <f t="array" aca="1" ref="I19" ca="1">INDIRECT(ADDRESS(I$1,I$2,1,1,$A19))</f>
        <v>25.402699999999999</v>
      </c>
      <c r="J19" cm="1">
        <f t="array" aca="1" ref="J19" ca="1">INDIRECT(ADDRESS(J$1,J$2,1,1,$A19))</f>
        <v>25.405200000000001</v>
      </c>
      <c r="K19" s="13" cm="1">
        <f t="array" aca="1" ref="K19" ca="1">INDIRECT(ADDRESS(K$1,K$2,1,1,$A19))</f>
        <v>25.403099999999998</v>
      </c>
      <c r="L19" s="14" cm="1">
        <f t="array" aca="1" ref="L19" ca="1">SQRT(SUMSQ(Y19:AA19-V19:X19))</f>
        <v>72.879935431228262</v>
      </c>
      <c r="M19" s="15" cm="1">
        <f t="array" aca="1" ref="M19" ca="1">SQRT(SUMSQ(AB19:AD19-V19:X19))</f>
        <v>73.712533010133356</v>
      </c>
      <c r="N19" s="15" cm="1">
        <f t="array" aca="1" ref="N19" ca="1">SQRT(SUMSQ(AE19:AG19-V19:X19))</f>
        <v>72.339415918363628</v>
      </c>
      <c r="O19" s="15" cm="1">
        <f t="array" aca="1" ref="O19" ca="1">SQRT(SUMSQ(AH19:AJ19-V19:X19))</f>
        <v>71.965039052237032</v>
      </c>
      <c r="P19" s="15" cm="1">
        <f t="array" aca="1" ref="P19" ca="1">SQRT(SUMSQ(AB19:AD19-Y19:AA19))</f>
        <v>125.93340076711183</v>
      </c>
      <c r="Q19" s="15" cm="1">
        <f t="array" aca="1" ref="Q19" ca="1">SQRT(SUMSQ(AE19:AG19-Y19:AA19))</f>
        <v>145.21643110216556</v>
      </c>
      <c r="R19" s="15" cm="1">
        <f t="array" aca="1" ref="R19" ca="1">SQRT(SUMSQ(AH19:AJ19-Y19:AA19))</f>
        <v>74.988491142374642</v>
      </c>
      <c r="S19" s="15" cm="1">
        <f t="array" aca="1" ref="S19" ca="1">SQRT(SUMSQ(AE19:AG19-AB19:AD19))</f>
        <v>73.983998506298647</v>
      </c>
      <c r="T19" s="15" cm="1">
        <f t="array" aca="1" ref="T19" ca="1">SQRT(SUMSQ(AH19:AJ19-AB19:AD19))</f>
        <v>145.6741444970246</v>
      </c>
      <c r="U19" s="16" cm="1">
        <f t="array" aca="1" ref="U19" ca="1">SQRT(SUMSQ(AH19:AJ19-AE19:AG19))</f>
        <v>123.92616538511955</v>
      </c>
      <c r="V19" cm="1">
        <f t="array" aca="1" ref="V19" ca="1">INDIRECT(ADDRESS(V$1,V$2,1,1,$A19))</f>
        <v>0</v>
      </c>
      <c r="W19" cm="1">
        <f t="array" aca="1" ref="W19" ca="1">INDIRECT(ADDRESS(W$1,W$2,1,1,$A19))</f>
        <v>0</v>
      </c>
      <c r="X19" cm="1">
        <f t="array" aca="1" ref="X19" ca="1">INDIRECT(ADDRESS(X$1,X$2,1,1,$A19))</f>
        <v>0</v>
      </c>
      <c r="Y19" cm="1">
        <f t="array" aca="1" ref="Y19" ca="1">INDIRECT(ADDRESS(Y$1,Y$2,1,1,$A19))</f>
        <v>62.482100000000003</v>
      </c>
      <c r="Z19" cm="1">
        <f t="array" aca="1" ref="Z19" ca="1">INDIRECT(ADDRESS(Z$1,Z$2,1,1,$A19))</f>
        <v>37.516199999999998</v>
      </c>
      <c r="AA19" cm="1">
        <f t="array" aca="1" ref="AA19" ca="1">INDIRECT(ADDRESS(AA$1,AA$2,1,1,$A19))</f>
        <v>8.3099999999999993E-2</v>
      </c>
      <c r="AB19" cm="1">
        <f t="array" aca="1" ref="AB19" ca="1">INDIRECT(ADDRESS(AB$1,AB$2,1,1,$A19))</f>
        <v>-63.451300000000003</v>
      </c>
      <c r="AC19" cm="1">
        <f t="array" aca="1" ref="AC19" ca="1">INDIRECT(ADDRESS(AC$1,AC$2,1,1,$A19))</f>
        <v>37.516199999999998</v>
      </c>
      <c r="AD19" cm="1">
        <f t="array" aca="1" ref="AD19" ca="1">INDIRECT(ADDRESS(AD$1,AD$2,1,1,$A19))</f>
        <v>6.9199999999999998E-2</v>
      </c>
      <c r="AE19" cm="1">
        <f t="array" aca="1" ref="AE19" ca="1">INDIRECT(ADDRESS(AE$1,AE$2,1,1,$A19))</f>
        <v>-62.478400000000001</v>
      </c>
      <c r="AF19" cm="1">
        <f t="array" aca="1" ref="AF19" ca="1">INDIRECT(ADDRESS(AF$1,AF$2,1,1,$A19))</f>
        <v>-36.461399999999998</v>
      </c>
      <c r="AG19" cm="1">
        <f t="array" aca="1" ref="AG19" ca="1">INDIRECT(ADDRESS(AG$1,AG$2,1,1,$A19))</f>
        <v>8.3299999999999999E-2</v>
      </c>
      <c r="AH19" cm="1">
        <f t="array" aca="1" ref="AH19" ca="1">INDIRECT(ADDRESS(AH$1,AH$2,1,1,$A19))</f>
        <v>61.4437</v>
      </c>
      <c r="AI19" cm="1">
        <f t="array" aca="1" ref="AI19" ca="1">INDIRECT(ADDRESS(AI$1,AI$2,1,1,$A19))</f>
        <v>-37.4651</v>
      </c>
      <c r="AJ19" cm="1">
        <f t="array" aca="1" ref="AJ19" ca="1">INDIRECT(ADDRESS(AJ$1,AJ$2,1,1,$A19))</f>
        <v>6.9699999999999998E-2</v>
      </c>
      <c r="AK19" s="15" cm="1">
        <f t="array" aca="1" ref="AK19" ca="1">INDIRECT(ADDRESS(AK$1,AK$2,1,1,$A19))</f>
        <v>72.879900000000006</v>
      </c>
      <c r="AL19" s="15" cm="1">
        <f t="array" aca="1" ref="AL19" ca="1">INDIRECT(ADDRESS(AL$1,AL$2,1,1,$A19))</f>
        <v>73.712500000000006</v>
      </c>
      <c r="AM19" s="15" cm="1">
        <f t="array" aca="1" ref="AM19" ca="1">INDIRECT(ADDRESS(AM$1,AM$2,1,1,$A19))</f>
        <v>72.339399999999998</v>
      </c>
      <c r="AN19" s="15" cm="1">
        <f t="array" aca="1" ref="AN19" ca="1">INDIRECT(ADDRESS(AN$1,AN$2,1,1,$A19))</f>
        <v>71.965000000000003</v>
      </c>
      <c r="AO19" s="15" cm="1">
        <f t="array" aca="1" ref="AO19" ca="1">INDIRECT(ADDRESS(AO$1,AO$2,1,1,$A19))</f>
        <v>125.93340000000001</v>
      </c>
      <c r="AP19" s="15" cm="1">
        <f t="array" aca="1" ref="AP19" ca="1">INDIRECT(ADDRESS(AP$1,AP$2,1,1,$A19))</f>
        <v>145.21639999999999</v>
      </c>
      <c r="AQ19" s="15" cm="1">
        <f t="array" aca="1" ref="AQ19" ca="1">INDIRECT(ADDRESS(AQ$1,AQ$2,1,1,$A19))</f>
        <v>74.988500000000002</v>
      </c>
      <c r="AR19" s="15" cm="1">
        <f t="array" aca="1" ref="AR19" ca="1">INDIRECT(ADDRESS(AR$1,AR$2,1,1,$A19))</f>
        <v>73.983900000000006</v>
      </c>
      <c r="AS19" s="15" cm="1">
        <f t="array" aca="1" ref="AS19" ca="1">INDIRECT(ADDRESS(AS$1,AS$2,1,1,$A19))</f>
        <v>145.67410000000001</v>
      </c>
      <c r="AT19" s="15" cm="1">
        <f t="array" aca="1" ref="AT19" ca="1">INDIRECT(ADDRESS(AT$1,AT$2,1,1,$A19))</f>
        <v>123.92610000000001</v>
      </c>
      <c r="AV19" s="15">
        <f t="shared" ca="1" si="0"/>
        <v>-3.5431228255333735E-5</v>
      </c>
      <c r="AW19" s="15">
        <f t="shared" ca="1" si="1"/>
        <v>-3.3010133350330761E-5</v>
      </c>
      <c r="AX19" s="15">
        <f t="shared" ca="1" si="2"/>
        <v>-1.5918363629907617E-5</v>
      </c>
      <c r="AY19" s="15">
        <f t="shared" ca="1" si="3"/>
        <v>-3.9052237028158743E-5</v>
      </c>
      <c r="AZ19" s="15">
        <f t="shared" ca="1" si="4"/>
        <v>-7.6711182828148594E-7</v>
      </c>
      <c r="BA19" s="15">
        <f t="shared" ca="1" si="5"/>
        <v>-3.1102165564789175E-5</v>
      </c>
      <c r="BB19" s="15">
        <f t="shared" ca="1" si="6"/>
        <v>8.8576253602923316E-6</v>
      </c>
      <c r="BC19" s="15">
        <f t="shared" ca="1" si="7"/>
        <v>-9.8506298641609646E-5</v>
      </c>
      <c r="BD19" s="15">
        <f t="shared" ca="1" si="8"/>
        <v>-4.4497024589418288E-5</v>
      </c>
      <c r="BE19" s="15">
        <f t="shared" ca="1" si="9"/>
        <v>-6.5385119540906089E-5</v>
      </c>
      <c r="BG19" s="15" cm="1">
        <f t="array" aca="1" ref="BG19" ca="1">INDIRECT(ADDRESS(BG$1,BG$2,1,1,$A19))</f>
        <v>6.4000000000000003E-3</v>
      </c>
      <c r="BH19" s="15" cm="1">
        <f t="array" aca="1" ref="BH19" ca="1">INDIRECT(ADDRESS(BH$1,BH$2,1,1,$A19))</f>
        <v>6.8999999999999999E-3</v>
      </c>
      <c r="BI19" s="15" cm="1">
        <f t="array" aca="1" ref="BI19" ca="1">INDIRECT(ADDRESS(BI$1,BI$2,1,1,$A19))</f>
        <v>5.5999999999999999E-3</v>
      </c>
      <c r="BJ19" s="15" cm="1">
        <f t="array" aca="1" ref="BJ19" ca="1">INDIRECT(ADDRESS(BJ$1,BJ$2,1,1,$A19))</f>
        <v>6.4000000000000003E-3</v>
      </c>
      <c r="BK19" s="15" cm="1">
        <f t="array" aca="1" ref="BK19" ca="1">INDIRECT(ADDRESS(BK$1,BK$2,1,1,$A19))</f>
        <v>7.7999999999999996E-3</v>
      </c>
      <c r="BN19" s="32"/>
    </row>
    <row r="20" spans="1:66" x14ac:dyDescent="0.4">
      <c r="A20" t="s">
        <v>72</v>
      </c>
      <c r="B20" t="str" cm="1">
        <f t="array" aca="1" ref="B20" ca="1">LEFT(INDIRECT(ADDRESS(B$1,B$2,1,1,$A20)),FIND("-",INDIRECT(ADDRESS(B$1,B$2,1,1,$A20)))-1)</f>
        <v>P509</v>
      </c>
      <c r="C20" t="str" cm="1">
        <f t="array" aca="1" ref="C20" ca="1">RIGHT(INDIRECT(ADDRESS(B$1,B$2,1,1,$A20)),LEN(INDIRECT(ADDRESS(B$1,B$2,1,1,$A20)))-FIND("-",INDIRECT(ADDRESS(B$1,B$2,1,1,$A20))))</f>
        <v>south</v>
      </c>
      <c r="D20" s="10" cm="1">
        <f t="array" aca="1" ref="D20" ca="1">DATE(MID(INDIRECT(ADDRESS(D$1,D$2,1,1,$A20)),1,4),MID(INDIRECT(ADDRESS(D$1,D$2,1,1,$A20)),5,2),MID(INDIRECT(ADDRESS(D$1,D$2,1,1,$A20)),7,2))+TIME(MID(INDIRECT(ADDRESS(D$1,D$2,1,1,$A20)),10,2),MID(INDIRECT(ADDRESS(D$1,D$2,1,1,$A20)),12,2),0)</f>
        <v>44537.682638888888</v>
      </c>
      <c r="E20" cm="1">
        <f t="array" aca="1" ref="E20" ca="1">INDIRECT(ADDRESS(E$1,E$2,1,1,$A20))</f>
        <v>0</v>
      </c>
      <c r="F20" s="11" cm="1">
        <f t="array" aca="1" ref="F20" ca="1">VALUE(SUBSTITUTE(INDIRECT(ADDRESS(F$1,F$2,1,1,$A20)),"┬░C",""))</f>
        <v>20</v>
      </c>
      <c r="G20" s="12" cm="1">
        <f t="array" aca="1" ref="G20" ca="1">INDIRECT(ADDRESS(G$1,G$2,1,1,$A20))</f>
        <v>25.398900000000001</v>
      </c>
      <c r="H20" cm="1">
        <f t="array" aca="1" ref="H20" ca="1">INDIRECT(ADDRESS(H$1,H$2,1,1,$A20))</f>
        <v>25.4024</v>
      </c>
      <c r="I20" cm="1">
        <f t="array" aca="1" ref="I20" ca="1">INDIRECT(ADDRESS(I$1,I$2,1,1,$A20))</f>
        <v>25.403400000000001</v>
      </c>
      <c r="J20" cm="1">
        <f t="array" aca="1" ref="J20" ca="1">INDIRECT(ADDRESS(J$1,J$2,1,1,$A20))</f>
        <v>25.404499999999999</v>
      </c>
      <c r="K20" s="13" cm="1">
        <f t="array" aca="1" ref="K20" ca="1">INDIRECT(ADDRESS(K$1,K$2,1,1,$A20))</f>
        <v>25.403199999999998</v>
      </c>
      <c r="L20" s="14" cm="1">
        <f t="array" aca="1" ref="L20" ca="1">SQRT(SUMSQ(Y20:AA20-V20:X20))</f>
        <v>72.880021324777346</v>
      </c>
      <c r="M20" s="15" cm="1">
        <f t="array" aca="1" ref="M20" ca="1">SQRT(SUMSQ(AB20:AD20-V20:X20))</f>
        <v>73.711331286105533</v>
      </c>
      <c r="N20" s="15" cm="1">
        <f t="array" aca="1" ref="N20" ca="1">SQRT(SUMSQ(AE20:AG20-V20:X20))</f>
        <v>72.339754930535946</v>
      </c>
      <c r="O20" s="15" cm="1">
        <f t="array" aca="1" ref="O20" ca="1">SQRT(SUMSQ(AH20:AJ20-V20:X20))</f>
        <v>71.965057310405868</v>
      </c>
      <c r="P20" s="15" cm="1">
        <f t="array" aca="1" ref="P20" ca="1">SQRT(SUMSQ(AB20:AD20-Y20:AA20))</f>
        <v>125.93270084632506</v>
      </c>
      <c r="Q20" s="15" cm="1">
        <f t="array" aca="1" ref="Q20" ca="1">SQRT(SUMSQ(AE20:AG20-Y20:AA20))</f>
        <v>145.21687032011812</v>
      </c>
      <c r="R20" s="15" cm="1">
        <f t="array" aca="1" ref="R20" ca="1">SQRT(SUMSQ(AH20:AJ20-Y20:AA20))</f>
        <v>74.988198243790336</v>
      </c>
      <c r="S20" s="15" cm="1">
        <f t="array" aca="1" ref="S20" ca="1">SQRT(SUMSQ(AE20:AG20-AB20:AD20))</f>
        <v>73.985191965960325</v>
      </c>
      <c r="T20" s="15" cm="1">
        <f t="array" aca="1" ref="T20" ca="1">SQRT(SUMSQ(AH20:AJ20-AB20:AD20))</f>
        <v>145.67296125087867</v>
      </c>
      <c r="U20" s="16" cm="1">
        <f t="array" aca="1" ref="U20" ca="1">SQRT(SUMSQ(AH20:AJ20-AE20:AG20))</f>
        <v>123.92545335870271</v>
      </c>
      <c r="V20" cm="1">
        <f t="array" aca="1" ref="V20" ca="1">INDIRECT(ADDRESS(V$1,V$2,1,1,$A20))</f>
        <v>0</v>
      </c>
      <c r="W20" cm="1">
        <f t="array" aca="1" ref="W20" ca="1">INDIRECT(ADDRESS(W$1,W$2,1,1,$A20))</f>
        <v>0</v>
      </c>
      <c r="X20" cm="1">
        <f t="array" aca="1" ref="X20" ca="1">INDIRECT(ADDRESS(X$1,X$2,1,1,$A20))</f>
        <v>0</v>
      </c>
      <c r="Y20" cm="1">
        <f t="array" aca="1" ref="Y20" ca="1">INDIRECT(ADDRESS(Y$1,Y$2,1,1,$A20))</f>
        <v>62.482500000000002</v>
      </c>
      <c r="Z20" cm="1">
        <f t="array" aca="1" ref="Z20" ca="1">INDIRECT(ADDRESS(Z$1,Z$2,1,1,$A20))</f>
        <v>37.515700000000002</v>
      </c>
      <c r="AA20" cm="1">
        <f t="array" aca="1" ref="AA20" ca="1">INDIRECT(ADDRESS(AA$1,AA$2,1,1,$A20))</f>
        <v>8.3400000000000002E-2</v>
      </c>
      <c r="AB20" cm="1">
        <f t="array" aca="1" ref="AB20" ca="1">INDIRECT(ADDRESS(AB$1,AB$2,1,1,$A20))</f>
        <v>-63.450200000000002</v>
      </c>
      <c r="AC20" cm="1">
        <f t="array" aca="1" ref="AC20" ca="1">INDIRECT(ADDRESS(AC$1,AC$2,1,1,$A20))</f>
        <v>37.515700000000002</v>
      </c>
      <c r="AD20" cm="1">
        <f t="array" aca="1" ref="AD20" ca="1">INDIRECT(ADDRESS(AD$1,AD$2,1,1,$A20))</f>
        <v>6.88E-2</v>
      </c>
      <c r="AE20" cm="1">
        <f t="array" aca="1" ref="AE20" ca="1">INDIRECT(ADDRESS(AE$1,AE$2,1,1,$A20))</f>
        <v>-62.477800000000002</v>
      </c>
      <c r="AF20" cm="1">
        <f t="array" aca="1" ref="AF20" ca="1">INDIRECT(ADDRESS(AF$1,AF$2,1,1,$A20))</f>
        <v>-36.463099999999997</v>
      </c>
      <c r="AG20" cm="1">
        <f t="array" aca="1" ref="AG20" ca="1">INDIRECT(ADDRESS(AG$1,AG$2,1,1,$A20))</f>
        <v>8.3599999999999994E-2</v>
      </c>
      <c r="AH20" cm="1">
        <f t="array" aca="1" ref="AH20" ca="1">INDIRECT(ADDRESS(AH$1,AH$2,1,1,$A20))</f>
        <v>61.443600000000004</v>
      </c>
      <c r="AI20" cm="1">
        <f t="array" aca="1" ref="AI20" ca="1">INDIRECT(ADDRESS(AI$1,AI$2,1,1,$A20))</f>
        <v>-37.465299999999999</v>
      </c>
      <c r="AJ20" cm="1">
        <f t="array" aca="1" ref="AJ20" ca="1">INDIRECT(ADDRESS(AJ$1,AJ$2,1,1,$A20))</f>
        <v>6.9199999999999998E-2</v>
      </c>
      <c r="AK20" s="15" cm="1">
        <f t="array" aca="1" ref="AK20" ca="1">INDIRECT(ADDRESS(AK$1,AK$2,1,1,$A20))</f>
        <v>72.88</v>
      </c>
      <c r="AL20" s="15" cm="1">
        <f t="array" aca="1" ref="AL20" ca="1">INDIRECT(ADDRESS(AL$1,AL$2,1,1,$A20))</f>
        <v>73.711399999999998</v>
      </c>
      <c r="AM20" s="15" cm="1">
        <f t="array" aca="1" ref="AM20" ca="1">INDIRECT(ADDRESS(AM$1,AM$2,1,1,$A20))</f>
        <v>72.339799999999997</v>
      </c>
      <c r="AN20" s="15" cm="1">
        <f t="array" aca="1" ref="AN20" ca="1">INDIRECT(ADDRESS(AN$1,AN$2,1,1,$A20))</f>
        <v>71.965100000000007</v>
      </c>
      <c r="AO20" s="15" cm="1">
        <f t="array" aca="1" ref="AO20" ca="1">INDIRECT(ADDRESS(AO$1,AO$2,1,1,$A20))</f>
        <v>125.9328</v>
      </c>
      <c r="AP20" s="15" cm="1">
        <f t="array" aca="1" ref="AP20" ca="1">INDIRECT(ADDRESS(AP$1,AP$2,1,1,$A20))</f>
        <v>145.21690000000001</v>
      </c>
      <c r="AQ20" s="15" cm="1">
        <f t="array" aca="1" ref="AQ20" ca="1">INDIRECT(ADDRESS(AQ$1,AQ$2,1,1,$A20))</f>
        <v>74.988200000000006</v>
      </c>
      <c r="AR20" s="15" cm="1">
        <f t="array" aca="1" ref="AR20" ca="1">INDIRECT(ADDRESS(AR$1,AR$2,1,1,$A20))</f>
        <v>73.985200000000006</v>
      </c>
      <c r="AS20" s="15" cm="1">
        <f t="array" aca="1" ref="AS20" ca="1">INDIRECT(ADDRESS(AS$1,AS$2,1,1,$A20))</f>
        <v>145.673</v>
      </c>
      <c r="AT20" s="15" cm="1">
        <f t="array" aca="1" ref="AT20" ca="1">INDIRECT(ADDRESS(AT$1,AT$2,1,1,$A20))</f>
        <v>123.9255</v>
      </c>
      <c r="AV20" s="15">
        <f t="shared" ca="1" si="0"/>
        <v>-2.1324777350173463E-5</v>
      </c>
      <c r="AW20" s="15">
        <f t="shared" ca="1" si="1"/>
        <v>6.8713894464167424E-5</v>
      </c>
      <c r="AX20" s="15">
        <f t="shared" ca="1" si="2"/>
        <v>4.5069464050584429E-5</v>
      </c>
      <c r="AY20" s="15">
        <f t="shared" ca="1" si="3"/>
        <v>4.2689594138778375E-5</v>
      </c>
      <c r="AZ20" s="15">
        <f t="shared" ca="1" si="4"/>
        <v>9.9153674938179392E-5</v>
      </c>
      <c r="BA20" s="15">
        <f t="shared" ca="1" si="5"/>
        <v>2.9679881890842807E-5</v>
      </c>
      <c r="BB20" s="15">
        <f t="shared" ca="1" si="6"/>
        <v>1.7562096701340124E-6</v>
      </c>
      <c r="BC20" s="15">
        <f t="shared" ca="1" si="7"/>
        <v>8.0340396806377612E-6</v>
      </c>
      <c r="BD20" s="15">
        <f t="shared" ca="1" si="8"/>
        <v>3.8749121330283742E-5</v>
      </c>
      <c r="BE20" s="15">
        <f t="shared" ca="1" si="9"/>
        <v>4.6641297288374517E-5</v>
      </c>
      <c r="BG20" s="15" cm="1">
        <f t="array" aca="1" ref="BG20" ca="1">INDIRECT(ADDRESS(BG$1,BG$2,1,1,$A20))</f>
        <v>6.1000000000000004E-3</v>
      </c>
      <c r="BH20" s="15" cm="1">
        <f t="array" aca="1" ref="BH20" ca="1">INDIRECT(ADDRESS(BH$1,BH$2,1,1,$A20))</f>
        <v>7.9000000000000008E-3</v>
      </c>
      <c r="BI20" s="15" cm="1">
        <f t="array" aca="1" ref="BI20" ca="1">INDIRECT(ADDRESS(BI$1,BI$2,1,1,$A20))</f>
        <v>5.7999999999999996E-3</v>
      </c>
      <c r="BJ20" s="15" cm="1">
        <f t="array" aca="1" ref="BJ20" ca="1">INDIRECT(ADDRESS(BJ$1,BJ$2,1,1,$A20))</f>
        <v>7.1000000000000004E-3</v>
      </c>
      <c r="BK20" s="15" cm="1">
        <f t="array" aca="1" ref="BK20" ca="1">INDIRECT(ADDRESS(BK$1,BK$2,1,1,$A20))</f>
        <v>5.4999999999999997E-3</v>
      </c>
      <c r="BN20" s="32"/>
    </row>
    <row r="21" spans="1:66" x14ac:dyDescent="0.4">
      <c r="A21" t="s">
        <v>75</v>
      </c>
      <c r="B21" t="str" cm="1">
        <f t="array" aca="1" ref="B21" ca="1">LEFT(INDIRECT(ADDRESS(B$1,B$2,1,1,$A21)),FIND("-",INDIRECT(ADDRESS(B$1,B$2,1,1,$A21)))-1)</f>
        <v>P509</v>
      </c>
      <c r="C21" t="str" cm="1">
        <f t="array" aca="1" ref="C21" ca="1">RIGHT(INDIRECT(ADDRESS(B$1,B$2,1,1,$A21)),LEN(INDIRECT(ADDRESS(B$1,B$2,1,1,$A21)))-FIND("-",INDIRECT(ADDRESS(B$1,B$2,1,1,$A21))))</f>
        <v>south</v>
      </c>
      <c r="D21" s="10" cm="1">
        <f t="array" aca="1" ref="D21" ca="1">DATE(MID(INDIRECT(ADDRESS(D$1,D$2,1,1,$A21)),1,4),MID(INDIRECT(ADDRESS(D$1,D$2,1,1,$A21)),5,2),MID(INDIRECT(ADDRESS(D$1,D$2,1,1,$A21)),7,2))+TIME(MID(INDIRECT(ADDRESS(D$1,D$2,1,1,$A21)),10,2),MID(INDIRECT(ADDRESS(D$1,D$2,1,1,$A21)),12,2),0)</f>
        <v>44537.68472222222</v>
      </c>
      <c r="E21" cm="1">
        <f t="array" aca="1" ref="E21" ca="1">INDIRECT(ADDRESS(E$1,E$2,1,1,$A21))</f>
        <v>0</v>
      </c>
      <c r="F21" s="11" cm="1">
        <f t="array" aca="1" ref="F21" ca="1">VALUE(SUBSTITUTE(INDIRECT(ADDRESS(F$1,F$2,1,1,$A21)),"┬░C",""))</f>
        <v>20</v>
      </c>
      <c r="G21" s="12" cm="1">
        <f t="array" aca="1" ref="G21" ca="1">INDIRECT(ADDRESS(G$1,G$2,1,1,$A21))</f>
        <v>25.3996</v>
      </c>
      <c r="H21" cm="1">
        <f t="array" aca="1" ref="H21" ca="1">INDIRECT(ADDRESS(H$1,H$2,1,1,$A21))</f>
        <v>25.4025</v>
      </c>
      <c r="I21" cm="1">
        <f t="array" aca="1" ref="I21" ca="1">INDIRECT(ADDRESS(I$1,I$2,1,1,$A21))</f>
        <v>25.4024</v>
      </c>
      <c r="J21" cm="1">
        <f t="array" aca="1" ref="J21" ca="1">INDIRECT(ADDRESS(J$1,J$2,1,1,$A21))</f>
        <v>25.404800000000002</v>
      </c>
      <c r="K21" s="13" cm="1">
        <f t="array" aca="1" ref="K21" ca="1">INDIRECT(ADDRESS(K$1,K$2,1,1,$A21))</f>
        <v>25.402799999999999</v>
      </c>
      <c r="L21" s="14" cm="1">
        <f t="array" aca="1" ref="L21" ca="1">SQRT(SUMSQ(Y21:AA21-V21:X21))</f>
        <v>72.879867262022373</v>
      </c>
      <c r="M21" s="15" cm="1">
        <f t="array" aca="1" ref="M21" ca="1">SQRT(SUMSQ(AB21:AD21-V21:X21))</f>
        <v>73.71323745060991</v>
      </c>
      <c r="N21" s="15" cm="1">
        <f t="array" aca="1" ref="N21" ca="1">SQRT(SUMSQ(AE21:AG21-V21:X21))</f>
        <v>72.340035281440109</v>
      </c>
      <c r="O21" s="15" cm="1">
        <f t="array" aca="1" ref="O21" ca="1">SQRT(SUMSQ(AH21:AJ21-V21:X21))</f>
        <v>71.963991688969003</v>
      </c>
      <c r="P21" s="15" cm="1">
        <f t="array" aca="1" ref="P21" ca="1">SQRT(SUMSQ(AB21:AD21-Y21:AA21))</f>
        <v>125.93390078934266</v>
      </c>
      <c r="Q21" s="15" cm="1">
        <f t="array" aca="1" ref="Q21" ca="1">SQRT(SUMSQ(AE21:AG21-Y21:AA21))</f>
        <v>145.21697907906636</v>
      </c>
      <c r="R21" s="15" cm="1">
        <f t="array" aca="1" ref="R21" ca="1">SQRT(SUMSQ(AH21:AJ21-Y21:AA21))</f>
        <v>74.987999537259284</v>
      </c>
      <c r="S21" s="15" cm="1">
        <f t="array" aca="1" ref="S21" ca="1">SQRT(SUMSQ(AE21:AG21-AB21:AD21))</f>
        <v>73.984399825165838</v>
      </c>
      <c r="T21" s="15" cm="1">
        <f t="array" aca="1" ref="T21" ca="1">SQRT(SUMSQ(AH21:AJ21-AB21:AD21))</f>
        <v>145.67380140196795</v>
      </c>
      <c r="U21" s="16" cm="1">
        <f t="array" aca="1" ref="U21" ca="1">SQRT(SUMSQ(AH21:AJ21-AE21:AG21))</f>
        <v>123.92595812778693</v>
      </c>
      <c r="V21" cm="1">
        <f t="array" aca="1" ref="V21" ca="1">INDIRECT(ADDRESS(V$1,V$2,1,1,$A21))</f>
        <v>0</v>
      </c>
      <c r="W21" cm="1">
        <f t="array" aca="1" ref="W21" ca="1">INDIRECT(ADDRESS(W$1,W$2,1,1,$A21))</f>
        <v>0</v>
      </c>
      <c r="X21" cm="1">
        <f t="array" aca="1" ref="X21" ca="1">INDIRECT(ADDRESS(X$1,X$2,1,1,$A21))</f>
        <v>0</v>
      </c>
      <c r="Y21" cm="1">
        <f t="array" aca="1" ref="Y21" ca="1">INDIRECT(ADDRESS(Y$1,Y$2,1,1,$A21))</f>
        <v>62.481900000000003</v>
      </c>
      <c r="Z21" cm="1">
        <f t="array" aca="1" ref="Z21" ca="1">INDIRECT(ADDRESS(Z$1,Z$2,1,1,$A21))</f>
        <v>37.516399999999997</v>
      </c>
      <c r="AA21" cm="1">
        <f t="array" aca="1" ref="AA21" ca="1">INDIRECT(ADDRESS(AA$1,AA$2,1,1,$A21))</f>
        <v>8.3400000000000002E-2</v>
      </c>
      <c r="AB21" cm="1">
        <f t="array" aca="1" ref="AB21" ca="1">INDIRECT(ADDRESS(AB$1,AB$2,1,1,$A21))</f>
        <v>-63.451999999999998</v>
      </c>
      <c r="AC21" cm="1">
        <f t="array" aca="1" ref="AC21" ca="1">INDIRECT(ADDRESS(AC$1,AC$2,1,1,$A21))</f>
        <v>37.516399999999997</v>
      </c>
      <c r="AD21" cm="1">
        <f t="array" aca="1" ref="AD21" ca="1">INDIRECT(ADDRESS(AD$1,AD$2,1,1,$A21))</f>
        <v>6.93E-2</v>
      </c>
      <c r="AE21" cm="1">
        <f t="array" aca="1" ref="AE21" ca="1">INDIRECT(ADDRESS(AE$1,AE$2,1,1,$A21))</f>
        <v>-62.478999999999999</v>
      </c>
      <c r="AF21" cm="1">
        <f t="array" aca="1" ref="AF21" ca="1">INDIRECT(ADDRESS(AF$1,AF$2,1,1,$A21))</f>
        <v>-36.461599999999997</v>
      </c>
      <c r="AG21" cm="1">
        <f t="array" aca="1" ref="AG21" ca="1">INDIRECT(ADDRESS(AG$1,AG$2,1,1,$A21))</f>
        <v>8.3599999999999994E-2</v>
      </c>
      <c r="AH21" cm="1">
        <f t="array" aca="1" ref="AH21" ca="1">INDIRECT(ADDRESS(AH$1,AH$2,1,1,$A21))</f>
        <v>61.442900000000002</v>
      </c>
      <c r="AI21" cm="1">
        <f t="array" aca="1" ref="AI21" ca="1">INDIRECT(ADDRESS(AI$1,AI$2,1,1,$A21))</f>
        <v>-37.464399999999998</v>
      </c>
      <c r="AJ21" cm="1">
        <f t="array" aca="1" ref="AJ21" ca="1">INDIRECT(ADDRESS(AJ$1,AJ$2,1,1,$A21))</f>
        <v>6.9800000000000001E-2</v>
      </c>
      <c r="AK21" s="15" cm="1">
        <f t="array" aca="1" ref="AK21" ca="1">INDIRECT(ADDRESS(AK$1,AK$2,1,1,$A21))</f>
        <v>72.879900000000006</v>
      </c>
      <c r="AL21" s="15" cm="1">
        <f t="array" aca="1" ref="AL21" ca="1">INDIRECT(ADDRESS(AL$1,AL$2,1,1,$A21))</f>
        <v>73.713300000000004</v>
      </c>
      <c r="AM21" s="15" cm="1">
        <f t="array" aca="1" ref="AM21" ca="1">INDIRECT(ADDRESS(AM$1,AM$2,1,1,$A21))</f>
        <v>72.34</v>
      </c>
      <c r="AN21" s="15" cm="1">
        <f t="array" aca="1" ref="AN21" ca="1">INDIRECT(ADDRESS(AN$1,AN$2,1,1,$A21))</f>
        <v>71.963999999999999</v>
      </c>
      <c r="AO21" s="15" cm="1">
        <f t="array" aca="1" ref="AO21" ca="1">INDIRECT(ADDRESS(AO$1,AO$2,1,1,$A21))</f>
        <v>125.93389999999999</v>
      </c>
      <c r="AP21" s="15" cm="1">
        <f t="array" aca="1" ref="AP21" ca="1">INDIRECT(ADDRESS(AP$1,AP$2,1,1,$A21))</f>
        <v>145.21690000000001</v>
      </c>
      <c r="AQ21" s="15" cm="1">
        <f t="array" aca="1" ref="AQ21" ca="1">INDIRECT(ADDRESS(AQ$1,AQ$2,1,1,$A21))</f>
        <v>74.988100000000003</v>
      </c>
      <c r="AR21" s="15" cm="1">
        <f t="array" aca="1" ref="AR21" ca="1">INDIRECT(ADDRESS(AR$1,AR$2,1,1,$A21))</f>
        <v>73.984399999999994</v>
      </c>
      <c r="AS21" s="15" cm="1">
        <f t="array" aca="1" ref="AS21" ca="1">INDIRECT(ADDRESS(AS$1,AS$2,1,1,$A21))</f>
        <v>145.6739</v>
      </c>
      <c r="AT21" s="15" cm="1">
        <f t="array" aca="1" ref="AT21" ca="1">INDIRECT(ADDRESS(AT$1,AT$2,1,1,$A21))</f>
        <v>123.926</v>
      </c>
      <c r="AV21" s="15">
        <f t="shared" ca="1" si="0"/>
        <v>3.2737977633701121E-5</v>
      </c>
      <c r="AW21" s="15">
        <f t="shared" ca="1" si="1"/>
        <v>6.2549390094090995E-5</v>
      </c>
      <c r="AX21" s="15">
        <f t="shared" ca="1" si="2"/>
        <v>-3.5281440105450201E-5</v>
      </c>
      <c r="AY21" s="15">
        <f t="shared" ca="1" si="3"/>
        <v>8.3110309958556172E-6</v>
      </c>
      <c r="AZ21" s="15">
        <f t="shared" ca="1" si="4"/>
        <v>-7.8934266412034049E-7</v>
      </c>
      <c r="BA21" s="15">
        <f t="shared" ca="1" si="5"/>
        <v>-7.9079066352960581E-5</v>
      </c>
      <c r="BB21" s="15">
        <f t="shared" ca="1" si="6"/>
        <v>1.0046274071839889E-4</v>
      </c>
      <c r="BC21" s="15">
        <f t="shared" ca="1" si="7"/>
        <v>1.7483415604147012E-7</v>
      </c>
      <c r="BD21" s="15">
        <f t="shared" ca="1" si="8"/>
        <v>9.8598032053587303E-5</v>
      </c>
      <c r="BE21" s="15">
        <f t="shared" ca="1" si="9"/>
        <v>4.1872213074611864E-5</v>
      </c>
      <c r="BG21" s="15" cm="1">
        <f t="array" aca="1" ref="BG21" ca="1">INDIRECT(ADDRESS(BG$1,BG$2,1,1,$A21))</f>
        <v>5.8999999999999999E-3</v>
      </c>
      <c r="BH21" s="15" cm="1">
        <f t="array" aca="1" ref="BH21" ca="1">INDIRECT(ADDRESS(BH$1,BH$2,1,1,$A21))</f>
        <v>7.0000000000000001E-3</v>
      </c>
      <c r="BI21" s="15" cm="1">
        <f t="array" aca="1" ref="BI21" ca="1">INDIRECT(ADDRESS(BI$1,BI$2,1,1,$A21))</f>
        <v>5.4999999999999997E-3</v>
      </c>
      <c r="BJ21" s="15" cm="1">
        <f t="array" aca="1" ref="BJ21" ca="1">INDIRECT(ADDRESS(BJ$1,BJ$2,1,1,$A21))</f>
        <v>6.3E-3</v>
      </c>
      <c r="BK21" s="15" cm="1">
        <f t="array" aca="1" ref="BK21" ca="1">INDIRECT(ADDRESS(BK$1,BK$2,1,1,$A21))</f>
        <v>5.1999999999999998E-3</v>
      </c>
      <c r="BN21" s="32"/>
    </row>
    <row r="22" spans="1:66" x14ac:dyDescent="0.4">
      <c r="A22" t="s">
        <v>78</v>
      </c>
      <c r="B22" t="str" cm="1">
        <f t="array" aca="1" ref="B22" ca="1">LEFT(INDIRECT(ADDRESS(B$1,B$2,1,1,$A22)),FIND("-",INDIRECT(ADDRESS(B$1,B$2,1,1,$A22)))-1)</f>
        <v>P509</v>
      </c>
      <c r="C22" t="str" cm="1">
        <f t="array" aca="1" ref="C22" ca="1">RIGHT(INDIRECT(ADDRESS(B$1,B$2,1,1,$A22)),LEN(INDIRECT(ADDRESS(B$1,B$2,1,1,$A22)))-FIND("-",INDIRECT(ADDRESS(B$1,B$2,1,1,$A22))))</f>
        <v>south</v>
      </c>
      <c r="D22" s="10" cm="1">
        <f t="array" aca="1" ref="D22" ca="1">DATE(MID(INDIRECT(ADDRESS(D$1,D$2,1,1,$A22)),1,4),MID(INDIRECT(ADDRESS(D$1,D$2,1,1,$A22)),5,2),MID(INDIRECT(ADDRESS(D$1,D$2,1,1,$A22)),7,2))+TIME(MID(INDIRECT(ADDRESS(D$1,D$2,1,1,$A22)),10,2),MID(INDIRECT(ADDRESS(D$1,D$2,1,1,$A22)),12,2),0)</f>
        <v>44537.686805555553</v>
      </c>
      <c r="E22" cm="1">
        <f t="array" aca="1" ref="E22" ca="1">INDIRECT(ADDRESS(E$1,E$2,1,1,$A22))</f>
        <v>0</v>
      </c>
      <c r="F22" s="11" cm="1">
        <f t="array" aca="1" ref="F22" ca="1">VALUE(SUBSTITUTE(INDIRECT(ADDRESS(F$1,F$2,1,1,$A22)),"┬░C",""))</f>
        <v>20</v>
      </c>
      <c r="G22" s="12" cm="1">
        <f t="array" aca="1" ref="G22" ca="1">INDIRECT(ADDRESS(G$1,G$2,1,1,$A22))</f>
        <v>25.398599999999998</v>
      </c>
      <c r="H22" cm="1">
        <f t="array" aca="1" ref="H22" ca="1">INDIRECT(ADDRESS(H$1,H$2,1,1,$A22))</f>
        <v>25.402799999999999</v>
      </c>
      <c r="I22" cm="1">
        <f t="array" aca="1" ref="I22" ca="1">INDIRECT(ADDRESS(I$1,I$2,1,1,$A22))</f>
        <v>25.4025</v>
      </c>
      <c r="J22" cm="1">
        <f t="array" aca="1" ref="J22" ca="1">INDIRECT(ADDRESS(J$1,J$2,1,1,$A22))</f>
        <v>25.405100000000001</v>
      </c>
      <c r="K22" s="13" cm="1">
        <f t="array" aca="1" ref="K22" ca="1">INDIRECT(ADDRESS(K$1,K$2,1,1,$A22))</f>
        <v>25.402699999999999</v>
      </c>
      <c r="L22" s="14" cm="1">
        <f t="array" aca="1" ref="L22" ca="1">SQRT(SUMSQ(Y22:AA22-V22:X22))</f>
        <v>72.881084400617965</v>
      </c>
      <c r="M22" s="15" cm="1">
        <f t="array" aca="1" ref="M22" ca="1">SQRT(SUMSQ(AB22:AD22-V22:X22))</f>
        <v>73.711445314889872</v>
      </c>
      <c r="N22" s="15" cm="1">
        <f t="array" aca="1" ref="N22" ca="1">SQRT(SUMSQ(AE22:AG22-V22:X22))</f>
        <v>72.339286499798988</v>
      </c>
      <c r="O22" s="15" cm="1">
        <f t="array" aca="1" ref="O22" ca="1">SQRT(SUMSQ(AH22:AJ22-V22:X22))</f>
        <v>71.964949416573617</v>
      </c>
      <c r="P22" s="15" cm="1">
        <f t="array" aca="1" ref="P22" ca="1">SQRT(SUMSQ(AB22:AD22-Y22:AA22))</f>
        <v>125.93300077819157</v>
      </c>
      <c r="Q22" s="15" cm="1">
        <f t="array" aca="1" ref="Q22" ca="1">SQRT(SUMSQ(AE22:AG22-Y22:AA22))</f>
        <v>145.21745684045703</v>
      </c>
      <c r="R22" s="15" cm="1">
        <f t="array" aca="1" ref="R22" ca="1">SQRT(SUMSQ(AH22:AJ22-Y22:AA22))</f>
        <v>74.988403638029268</v>
      </c>
      <c r="S22" s="15" cm="1">
        <f t="array" aca="1" ref="S22" ca="1">SQRT(SUMSQ(AE22:AG22-AB22:AD22))</f>
        <v>73.984985295734162</v>
      </c>
      <c r="T22" s="15" cm="1">
        <f t="array" aca="1" ref="T22" ca="1">SQRT(SUMSQ(AH22:AJ22-AB22:AD22))</f>
        <v>145.67297845990518</v>
      </c>
      <c r="U22" s="16" cm="1">
        <f t="array" aca="1" ref="U22" ca="1">SQRT(SUMSQ(AH22:AJ22-AE22:AG22))</f>
        <v>123.92585650174058</v>
      </c>
      <c r="V22" cm="1">
        <f t="array" aca="1" ref="V22" ca="1">INDIRECT(ADDRESS(V$1,V$2,1,1,$A22))</f>
        <v>0</v>
      </c>
      <c r="W22" cm="1">
        <f t="array" aca="1" ref="W22" ca="1">INDIRECT(ADDRESS(W$1,W$2,1,1,$A22))</f>
        <v>0</v>
      </c>
      <c r="X22" cm="1">
        <f t="array" aca="1" ref="X22" ca="1">INDIRECT(ADDRESS(X$1,X$2,1,1,$A22))</f>
        <v>0</v>
      </c>
      <c r="Y22" cm="1">
        <f t="array" aca="1" ref="Y22" ca="1">INDIRECT(ADDRESS(Y$1,Y$2,1,1,$A22))</f>
        <v>62.483199999999997</v>
      </c>
      <c r="Z22" cm="1">
        <f t="array" aca="1" ref="Z22" ca="1">INDIRECT(ADDRESS(Z$1,Z$2,1,1,$A22))</f>
        <v>37.516599999999997</v>
      </c>
      <c r="AA22" cm="1">
        <f t="array" aca="1" ref="AA22" ca="1">INDIRECT(ADDRESS(AA$1,AA$2,1,1,$A22))</f>
        <v>8.3099999999999993E-2</v>
      </c>
      <c r="AB22" cm="1">
        <f t="array" aca="1" ref="AB22" ca="1">INDIRECT(ADDRESS(AB$1,AB$2,1,1,$A22))</f>
        <v>-63.449800000000003</v>
      </c>
      <c r="AC22" cm="1">
        <f t="array" aca="1" ref="AC22" ca="1">INDIRECT(ADDRESS(AC$1,AC$2,1,1,$A22))</f>
        <v>37.516599999999997</v>
      </c>
      <c r="AD22" cm="1">
        <f t="array" aca="1" ref="AD22" ca="1">INDIRECT(ADDRESS(AD$1,AD$2,1,1,$A22))</f>
        <v>6.9099999999999995E-2</v>
      </c>
      <c r="AE22" cm="1">
        <f t="array" aca="1" ref="AE22" ca="1">INDIRECT(ADDRESS(AE$1,AE$2,1,1,$A22))</f>
        <v>-62.477899999999998</v>
      </c>
      <c r="AF22" cm="1">
        <f t="array" aca="1" ref="AF22" ca="1">INDIRECT(ADDRESS(AF$1,AF$2,1,1,$A22))</f>
        <v>-36.462000000000003</v>
      </c>
      <c r="AG22" cm="1">
        <f t="array" aca="1" ref="AG22" ca="1">INDIRECT(ADDRESS(AG$1,AG$2,1,1,$A22))</f>
        <v>8.3299999999999999E-2</v>
      </c>
      <c r="AH22" cm="1">
        <f t="array" aca="1" ref="AH22" ca="1">INDIRECT(ADDRESS(AH$1,AH$2,1,1,$A22))</f>
        <v>61.443899999999999</v>
      </c>
      <c r="AI22" cm="1">
        <f t="array" aca="1" ref="AI22" ca="1">INDIRECT(ADDRESS(AI$1,AI$2,1,1,$A22))</f>
        <v>-37.464599999999997</v>
      </c>
      <c r="AJ22" cm="1">
        <f t="array" aca="1" ref="AJ22" ca="1">INDIRECT(ADDRESS(AJ$1,AJ$2,1,1,$A22))</f>
        <v>6.9599999999999995E-2</v>
      </c>
      <c r="AK22" s="15" cm="1">
        <f t="array" aca="1" ref="AK22" ca="1">INDIRECT(ADDRESS(AK$1,AK$2,1,1,$A22))</f>
        <v>72.881100000000004</v>
      </c>
      <c r="AL22" s="15" cm="1">
        <f t="array" aca="1" ref="AL22" ca="1">INDIRECT(ADDRESS(AL$1,AL$2,1,1,$A22))</f>
        <v>73.711500000000001</v>
      </c>
      <c r="AM22" s="15" cm="1">
        <f t="array" aca="1" ref="AM22" ca="1">INDIRECT(ADDRESS(AM$1,AM$2,1,1,$A22))</f>
        <v>72.339200000000005</v>
      </c>
      <c r="AN22" s="15" cm="1">
        <f t="array" aca="1" ref="AN22" ca="1">INDIRECT(ADDRESS(AN$1,AN$2,1,1,$A22))</f>
        <v>71.965000000000003</v>
      </c>
      <c r="AO22" s="15" cm="1">
        <f t="array" aca="1" ref="AO22" ca="1">INDIRECT(ADDRESS(AO$1,AO$2,1,1,$A22))</f>
        <v>125.93300000000001</v>
      </c>
      <c r="AP22" s="15" cm="1">
        <f t="array" aca="1" ref="AP22" ca="1">INDIRECT(ADDRESS(AP$1,AP$2,1,1,$A22))</f>
        <v>145.2174</v>
      </c>
      <c r="AQ22" s="15" cm="1">
        <f t="array" aca="1" ref="AQ22" ca="1">INDIRECT(ADDRESS(AQ$1,AQ$2,1,1,$A22))</f>
        <v>74.988299999999995</v>
      </c>
      <c r="AR22" s="15" cm="1">
        <f t="array" aca="1" ref="AR22" ca="1">INDIRECT(ADDRESS(AR$1,AR$2,1,1,$A22))</f>
        <v>73.984899999999996</v>
      </c>
      <c r="AS22" s="15" cm="1">
        <f t="array" aca="1" ref="AS22" ca="1">INDIRECT(ADDRESS(AS$1,AS$2,1,1,$A22))</f>
        <v>145.673</v>
      </c>
      <c r="AT22" s="15" cm="1">
        <f t="array" aca="1" ref="AT22" ca="1">INDIRECT(ADDRESS(AT$1,AT$2,1,1,$A22))</f>
        <v>123.9258</v>
      </c>
      <c r="AV22" s="15">
        <f t="shared" ca="1" si="0"/>
        <v>1.5599382038544718E-5</v>
      </c>
      <c r="AW22" s="15">
        <f t="shared" ca="1" si="1"/>
        <v>5.468511012907129E-5</v>
      </c>
      <c r="AX22" s="15">
        <f t="shared" ca="1" si="2"/>
        <v>-8.6499798982231368E-5</v>
      </c>
      <c r="AY22" s="15">
        <f t="shared" ca="1" si="3"/>
        <v>5.0583426386197061E-5</v>
      </c>
      <c r="AZ22" s="15">
        <f t="shared" ca="1" si="4"/>
        <v>-7.7819156274472334E-7</v>
      </c>
      <c r="BA22" s="15">
        <f t="shared" ca="1" si="5"/>
        <v>-5.6840457034468272E-5</v>
      </c>
      <c r="BB22" s="15">
        <f t="shared" ca="1" si="6"/>
        <v>-1.0363802927315646E-4</v>
      </c>
      <c r="BC22" s="15">
        <f t="shared" ca="1" si="7"/>
        <v>-8.5295734166379589E-5</v>
      </c>
      <c r="BD22" s="15">
        <f t="shared" ca="1" si="8"/>
        <v>2.1540094820693412E-5</v>
      </c>
      <c r="BE22" s="15">
        <f t="shared" ca="1" si="9"/>
        <v>-5.6501740587577842E-5</v>
      </c>
      <c r="BG22" s="15" cm="1">
        <f t="array" aca="1" ref="BG22" ca="1">INDIRECT(ADDRESS(BG$1,BG$2,1,1,$A22))</f>
        <v>6.0000000000000001E-3</v>
      </c>
      <c r="BH22" s="15" cm="1">
        <f t="array" aca="1" ref="BH22" ca="1">INDIRECT(ADDRESS(BH$1,BH$2,1,1,$A22))</f>
        <v>5.7000000000000002E-3</v>
      </c>
      <c r="BI22" s="15" cm="1">
        <f t="array" aca="1" ref="BI22" ca="1">INDIRECT(ADDRESS(BI$1,BI$2,1,1,$A22))</f>
        <v>5.4999999999999997E-3</v>
      </c>
      <c r="BJ22" s="15" cm="1">
        <f t="array" aca="1" ref="BJ22" ca="1">INDIRECT(ADDRESS(BJ$1,BJ$2,1,1,$A22))</f>
        <v>5.5999999999999999E-3</v>
      </c>
      <c r="BK22" s="15" cm="1">
        <f t="array" aca="1" ref="BK22" ca="1">INDIRECT(ADDRESS(BK$1,BK$2,1,1,$A22))</f>
        <v>7.6E-3</v>
      </c>
      <c r="BN22" s="32"/>
    </row>
    <row r="23" spans="1:66" x14ac:dyDescent="0.4">
      <c r="A23" t="s">
        <v>81</v>
      </c>
      <c r="B23" t="str" cm="1">
        <f t="array" aca="1" ref="B23" ca="1">LEFT(INDIRECT(ADDRESS(B$1,B$2,1,1,$A23)),FIND("-",INDIRECT(ADDRESS(B$1,B$2,1,1,$A23)))-1)</f>
        <v>P509</v>
      </c>
      <c r="C23" t="str" cm="1">
        <f t="array" aca="1" ref="C23" ca="1">RIGHT(INDIRECT(ADDRESS(B$1,B$2,1,1,$A23)),LEN(INDIRECT(ADDRESS(B$1,B$2,1,1,$A23)))-FIND("-",INDIRECT(ADDRESS(B$1,B$2,1,1,$A23))))</f>
        <v>south</v>
      </c>
      <c r="D23" s="10" cm="1">
        <f t="array" aca="1" ref="D23" ca="1">DATE(MID(INDIRECT(ADDRESS(D$1,D$2,1,1,$A23)),1,4),MID(INDIRECT(ADDRESS(D$1,D$2,1,1,$A23)),5,2),MID(INDIRECT(ADDRESS(D$1,D$2,1,1,$A23)),7,2))+TIME(MID(INDIRECT(ADDRESS(D$1,D$2,1,1,$A23)),10,2),MID(INDIRECT(ADDRESS(D$1,D$2,1,1,$A23)),12,2),0)</f>
        <v>44537.689583333333</v>
      </c>
      <c r="E23" cm="1">
        <f t="array" aca="1" ref="E23" ca="1">INDIRECT(ADDRESS(E$1,E$2,1,1,$A23))</f>
        <v>0</v>
      </c>
      <c r="F23" s="11" cm="1">
        <f t="array" aca="1" ref="F23" ca="1">VALUE(SUBSTITUTE(INDIRECT(ADDRESS(F$1,F$2,1,1,$A23)),"┬░C",""))</f>
        <v>20</v>
      </c>
      <c r="G23" s="12" cm="1">
        <f t="array" aca="1" ref="G23" ca="1">INDIRECT(ADDRESS(G$1,G$2,1,1,$A23))</f>
        <v>25.3993</v>
      </c>
      <c r="H23" cm="1">
        <f t="array" aca="1" ref="H23" ca="1">INDIRECT(ADDRESS(H$1,H$2,1,1,$A23))</f>
        <v>25.401900000000001</v>
      </c>
      <c r="I23" cm="1">
        <f t="array" aca="1" ref="I23" ca="1">INDIRECT(ADDRESS(I$1,I$2,1,1,$A23))</f>
        <v>25.402699999999999</v>
      </c>
      <c r="J23" cm="1">
        <f t="array" aca="1" ref="J23" ca="1">INDIRECT(ADDRESS(J$1,J$2,1,1,$A23))</f>
        <v>25.404</v>
      </c>
      <c r="K23" s="13" cm="1">
        <f t="array" aca="1" ref="K23" ca="1">INDIRECT(ADDRESS(K$1,K$2,1,1,$A23))</f>
        <v>25.4026</v>
      </c>
      <c r="L23" s="14" cm="1">
        <f t="array" aca="1" ref="L23" ca="1">SQRT(SUMSQ(Y23:AA23-V23:X23))</f>
        <v>72.880587840453089</v>
      </c>
      <c r="M23" s="15" cm="1">
        <f t="array" aca="1" ref="M23" ca="1">SQRT(SUMSQ(AB23:AD23-V23:X23))</f>
        <v>73.711981163512363</v>
      </c>
      <c r="N23" s="15" cm="1">
        <f t="array" aca="1" ref="N23" ca="1">SQRT(SUMSQ(AE23:AG23-V23:X23))</f>
        <v>72.339834397446609</v>
      </c>
      <c r="O23" s="15" cm="1">
        <f t="array" aca="1" ref="O23" ca="1">SQRT(SUMSQ(AH23:AJ23-V23:X23))</f>
        <v>71.965120080633511</v>
      </c>
      <c r="P23" s="15" cm="1">
        <f t="array" aca="1" ref="P23" ca="1">SQRT(SUMSQ(AB23:AD23-Y23:AA23))</f>
        <v>125.93340086966603</v>
      </c>
      <c r="Q23" s="15" cm="1">
        <f t="array" aca="1" ref="Q23" ca="1">SQRT(SUMSQ(AE23:AG23-Y23:AA23))</f>
        <v>145.21750778380684</v>
      </c>
      <c r="R23" s="15" cm="1">
        <f t="array" aca="1" ref="R23" ca="1">SQRT(SUMSQ(AH23:AJ23-Y23:AA23))</f>
        <v>74.988095501819487</v>
      </c>
      <c r="S23" s="15" cm="1">
        <f t="array" aca="1" ref="S23" ca="1">SQRT(SUMSQ(AE23:AG23-AB23:AD23))</f>
        <v>73.985090700626969</v>
      </c>
      <c r="T23" s="15" cm="1">
        <f t="array" aca="1" ref="T23" ca="1">SQRT(SUMSQ(AH23:AJ23-AB23:AD23))</f>
        <v>145.67368140178925</v>
      </c>
      <c r="U23" s="16" cm="1">
        <f t="array" aca="1" ref="U23" ca="1">SQRT(SUMSQ(AH23:AJ23-AE23:AG23))</f>
        <v>123.92645333765508</v>
      </c>
      <c r="V23" cm="1">
        <f t="array" aca="1" ref="V23" ca="1">INDIRECT(ADDRESS(V$1,V$2,1,1,$A23))</f>
        <v>0</v>
      </c>
      <c r="W23" cm="1">
        <f t="array" aca="1" ref="W23" ca="1">INDIRECT(ADDRESS(W$1,W$2,1,1,$A23))</f>
        <v>0</v>
      </c>
      <c r="X23" cm="1">
        <f t="array" aca="1" ref="X23" ca="1">INDIRECT(ADDRESS(X$1,X$2,1,1,$A23))</f>
        <v>0</v>
      </c>
      <c r="Y23" cm="1">
        <f t="array" aca="1" ref="Y23" ca="1">INDIRECT(ADDRESS(Y$1,Y$2,1,1,$A23))</f>
        <v>62.482799999999997</v>
      </c>
      <c r="Z23" cm="1">
        <f t="array" aca="1" ref="Z23" ca="1">INDIRECT(ADDRESS(Z$1,Z$2,1,1,$A23))</f>
        <v>37.516300000000001</v>
      </c>
      <c r="AA23" cm="1">
        <f t="array" aca="1" ref="AA23" ca="1">INDIRECT(ADDRESS(AA$1,AA$2,1,1,$A23))</f>
        <v>8.3799999999999999E-2</v>
      </c>
      <c r="AB23" cm="1">
        <f t="array" aca="1" ref="AB23" ca="1">INDIRECT(ADDRESS(AB$1,AB$2,1,1,$A23))</f>
        <v>-63.450600000000001</v>
      </c>
      <c r="AC23" cm="1">
        <f t="array" aca="1" ref="AC23" ca="1">INDIRECT(ADDRESS(AC$1,AC$2,1,1,$A23))</f>
        <v>37.516300000000001</v>
      </c>
      <c r="AD23" cm="1">
        <f t="array" aca="1" ref="AD23" ca="1">INDIRECT(ADDRESS(AD$1,AD$2,1,1,$A23))</f>
        <v>6.9000000000000006E-2</v>
      </c>
      <c r="AE23" cm="1">
        <f t="array" aca="1" ref="AE23" ca="1">INDIRECT(ADDRESS(AE$1,AE$2,1,1,$A23))</f>
        <v>-62.478299999999997</v>
      </c>
      <c r="AF23" cm="1">
        <f t="array" aca="1" ref="AF23" ca="1">INDIRECT(ADDRESS(AF$1,AF$2,1,1,$A23))</f>
        <v>-36.462400000000002</v>
      </c>
      <c r="AG23" cm="1">
        <f t="array" aca="1" ref="AG23" ca="1">INDIRECT(ADDRESS(AG$1,AG$2,1,1,$A23))</f>
        <v>8.4000000000000005E-2</v>
      </c>
      <c r="AH23" cm="1">
        <f t="array" aca="1" ref="AH23" ca="1">INDIRECT(ADDRESS(AH$1,AH$2,1,1,$A23))</f>
        <v>61.444099999999999</v>
      </c>
      <c r="AI23" cm="1">
        <f t="array" aca="1" ref="AI23" ca="1">INDIRECT(ADDRESS(AI$1,AI$2,1,1,$A23))</f>
        <v>-37.464599999999997</v>
      </c>
      <c r="AJ23" cm="1">
        <f t="array" aca="1" ref="AJ23" ca="1">INDIRECT(ADDRESS(AJ$1,AJ$2,1,1,$A23))</f>
        <v>6.9500000000000006E-2</v>
      </c>
      <c r="AK23" s="15" cm="1">
        <f t="array" aca="1" ref="AK23" ca="1">INDIRECT(ADDRESS(AK$1,AK$2,1,1,$A23))</f>
        <v>72.880600000000001</v>
      </c>
      <c r="AL23" s="15" cm="1">
        <f t="array" aca="1" ref="AL23" ca="1">INDIRECT(ADDRESS(AL$1,AL$2,1,1,$A23))</f>
        <v>73.712000000000003</v>
      </c>
      <c r="AM23" s="15" cm="1">
        <f t="array" aca="1" ref="AM23" ca="1">INDIRECT(ADDRESS(AM$1,AM$2,1,1,$A23))</f>
        <v>72.339799999999997</v>
      </c>
      <c r="AN23" s="15" cm="1">
        <f t="array" aca="1" ref="AN23" ca="1">INDIRECT(ADDRESS(AN$1,AN$2,1,1,$A23))</f>
        <v>71.965100000000007</v>
      </c>
      <c r="AO23" s="15" cm="1">
        <f t="array" aca="1" ref="AO23" ca="1">INDIRECT(ADDRESS(AO$1,AO$2,1,1,$A23))</f>
        <v>125.93340000000001</v>
      </c>
      <c r="AP23" s="15" cm="1">
        <f t="array" aca="1" ref="AP23" ca="1">INDIRECT(ADDRESS(AP$1,AP$2,1,1,$A23))</f>
        <v>145.2175</v>
      </c>
      <c r="AQ23" s="15" cm="1">
        <f t="array" aca="1" ref="AQ23" ca="1">INDIRECT(ADDRESS(AQ$1,AQ$2,1,1,$A23))</f>
        <v>74.988100000000003</v>
      </c>
      <c r="AR23" s="15" cm="1">
        <f t="array" aca="1" ref="AR23" ca="1">INDIRECT(ADDRESS(AR$1,AR$2,1,1,$A23))</f>
        <v>73.985100000000003</v>
      </c>
      <c r="AS23" s="15" cm="1">
        <f t="array" aca="1" ref="AS23" ca="1">INDIRECT(ADDRESS(AS$1,AS$2,1,1,$A23))</f>
        <v>145.6737</v>
      </c>
      <c r="AT23" s="15" cm="1">
        <f t="array" aca="1" ref="AT23" ca="1">INDIRECT(ADDRESS(AT$1,AT$2,1,1,$A23))</f>
        <v>123.9264</v>
      </c>
      <c r="AV23" s="15">
        <f t="shared" ca="1" si="0"/>
        <v>1.2159546912471342E-5</v>
      </c>
      <c r="AW23" s="15">
        <f t="shared" ca="1" si="1"/>
        <v>1.8836487640783162E-5</v>
      </c>
      <c r="AX23" s="15">
        <f t="shared" ca="1" si="2"/>
        <v>-3.4397446611933447E-5</v>
      </c>
      <c r="AY23" s="15">
        <f t="shared" ca="1" si="3"/>
        <v>-2.0080633504448997E-5</v>
      </c>
      <c r="AZ23" s="15">
        <f t="shared" ca="1" si="4"/>
        <v>-8.6966602452775987E-7</v>
      </c>
      <c r="BA23" s="15">
        <f t="shared" ca="1" si="5"/>
        <v>-7.7838068364144419E-6</v>
      </c>
      <c r="BB23" s="15">
        <f t="shared" ca="1" si="6"/>
        <v>4.498180516065986E-6</v>
      </c>
      <c r="BC23" s="15">
        <f t="shared" ca="1" si="7"/>
        <v>9.2993730334001157E-6</v>
      </c>
      <c r="BD23" s="15">
        <f t="shared" ca="1" si="8"/>
        <v>1.859821074390311E-5</v>
      </c>
      <c r="BE23" s="15">
        <f t="shared" ca="1" si="9"/>
        <v>-5.3337655074869872E-5</v>
      </c>
      <c r="BG23" s="15" cm="1">
        <f t="array" aca="1" ref="BG23" ca="1">INDIRECT(ADDRESS(BG$1,BG$2,1,1,$A23))</f>
        <v>5.5999999999999999E-3</v>
      </c>
      <c r="BH23" s="15" cm="1">
        <f t="array" aca="1" ref="BH23" ca="1">INDIRECT(ADDRESS(BH$1,BH$2,1,1,$A23))</f>
        <v>8.0999999999999996E-3</v>
      </c>
      <c r="BI23" s="15" cm="1">
        <f t="array" aca="1" ref="BI23" ca="1">INDIRECT(ADDRESS(BI$1,BI$2,1,1,$A23))</f>
        <v>5.4000000000000003E-3</v>
      </c>
      <c r="BJ23" s="15" cm="1">
        <f t="array" aca="1" ref="BJ23" ca="1">INDIRECT(ADDRESS(BJ$1,BJ$2,1,1,$A23))</f>
        <v>7.9000000000000008E-3</v>
      </c>
      <c r="BK23" s="15" cm="1">
        <f t="array" aca="1" ref="BK23" ca="1">INDIRECT(ADDRESS(BK$1,BK$2,1,1,$A23))</f>
        <v>7.1000000000000004E-3</v>
      </c>
      <c r="BN23" s="32"/>
    </row>
    <row r="24" spans="1:66" x14ac:dyDescent="0.4">
      <c r="A24" t="s">
        <v>84</v>
      </c>
      <c r="B24" t="str" cm="1">
        <f t="array" aca="1" ref="B24" ca="1">LEFT(INDIRECT(ADDRESS(B$1,B$2,1,1,$A24)),FIND("-",INDIRECT(ADDRESS(B$1,B$2,1,1,$A24)))-1)</f>
        <v>P509</v>
      </c>
      <c r="C24" t="str" cm="1">
        <f t="array" aca="1" ref="C24" ca="1">RIGHT(INDIRECT(ADDRESS(B$1,B$2,1,1,$A24)),LEN(INDIRECT(ADDRESS(B$1,B$2,1,1,$A24)))-FIND("-",INDIRECT(ADDRESS(B$1,B$2,1,1,$A24))))</f>
        <v>south</v>
      </c>
      <c r="D24" s="10" cm="1">
        <f t="array" aca="1" ref="D24" ca="1">DATE(MID(INDIRECT(ADDRESS(D$1,D$2,1,1,$A24)),1,4),MID(INDIRECT(ADDRESS(D$1,D$2,1,1,$A24)),5,2),MID(INDIRECT(ADDRESS(D$1,D$2,1,1,$A24)),7,2))+TIME(MID(INDIRECT(ADDRESS(D$1,D$2,1,1,$A24)),10,2),MID(INDIRECT(ADDRESS(D$1,D$2,1,1,$A24)),12,2),0)</f>
        <v>44537.691666666666</v>
      </c>
      <c r="E24" cm="1">
        <f t="array" aca="1" ref="E24" ca="1">INDIRECT(ADDRESS(E$1,E$2,1,1,$A24))</f>
        <v>0</v>
      </c>
      <c r="F24" s="11" cm="1">
        <f t="array" aca="1" ref="F24" ca="1">VALUE(SUBSTITUTE(INDIRECT(ADDRESS(F$1,F$2,1,1,$A24)),"┬░C",""))</f>
        <v>20</v>
      </c>
      <c r="G24" s="12" cm="1">
        <f t="array" aca="1" ref="G24" ca="1">INDIRECT(ADDRESS(G$1,G$2,1,1,$A24))</f>
        <v>25.3993</v>
      </c>
      <c r="H24" cm="1">
        <f t="array" aca="1" ref="H24" ca="1">INDIRECT(ADDRESS(H$1,H$2,1,1,$A24))</f>
        <v>25.4024</v>
      </c>
      <c r="I24" cm="1">
        <f t="array" aca="1" ref="I24" ca="1">INDIRECT(ADDRESS(I$1,I$2,1,1,$A24))</f>
        <v>25.403099999999998</v>
      </c>
      <c r="J24" cm="1">
        <f t="array" aca="1" ref="J24" ca="1">INDIRECT(ADDRESS(J$1,J$2,1,1,$A24))</f>
        <v>25.404199999999999</v>
      </c>
      <c r="K24" s="13" cm="1">
        <f t="array" aca="1" ref="K24" ca="1">INDIRECT(ADDRESS(K$1,K$2,1,1,$A24))</f>
        <v>25.4025</v>
      </c>
      <c r="L24" s="14" cm="1">
        <f t="array" aca="1" ref="L24" ca="1">SQRT(SUMSQ(Y24:AA24-V24:X24))</f>
        <v>72.87995322391474</v>
      </c>
      <c r="M24" s="15" cm="1">
        <f t="array" aca="1" ref="M24" ca="1">SQRT(SUMSQ(AB24:AD24-V24:X24))</f>
        <v>73.712634426467218</v>
      </c>
      <c r="N24" s="15" cm="1">
        <f t="array" aca="1" ref="N24" ca="1">SQRT(SUMSQ(AE24:AG24-V24:X24))</f>
        <v>72.339848606698098</v>
      </c>
      <c r="O24" s="15" cm="1">
        <f t="array" aca="1" ref="O24" ca="1">SQRT(SUMSQ(AH24:AJ24-V24:X24))</f>
        <v>71.964474326573111</v>
      </c>
      <c r="P24" s="15" cm="1">
        <f t="array" aca="1" ref="P24" ca="1">SQRT(SUMSQ(AB24:AD24-Y24:AA24))</f>
        <v>125.93330086966671</v>
      </c>
      <c r="Q24" s="15" cm="1">
        <f t="array" aca="1" ref="Q24" ca="1">SQRT(SUMSQ(AE24:AG24-Y24:AA24))</f>
        <v>145.21688615681029</v>
      </c>
      <c r="R24" s="15" cm="1">
        <f t="array" aca="1" ref="R24" ca="1">SQRT(SUMSQ(AH24:AJ24-Y24:AA24))</f>
        <v>74.988598224396767</v>
      </c>
      <c r="S24" s="15" cm="1">
        <f t="array" aca="1" ref="S24" ca="1">SQRT(SUMSQ(AE24:AG24-AB24:AD24))</f>
        <v>73.985401192464991</v>
      </c>
      <c r="T24" s="15" cm="1">
        <f t="array" aca="1" ref="T24" ca="1">SQRT(SUMSQ(AH24:AJ24-AB24:AD24))</f>
        <v>145.67368155425331</v>
      </c>
      <c r="U24" s="16" cm="1">
        <f t="array" aca="1" ref="U24" ca="1">SQRT(SUMSQ(AH24:AJ24-AE24:AG24))</f>
        <v>123.92535499122043</v>
      </c>
      <c r="V24" cm="1">
        <f t="array" aca="1" ref="V24" ca="1">INDIRECT(ADDRESS(V$1,V$2,1,1,$A24))</f>
        <v>0</v>
      </c>
      <c r="W24" cm="1">
        <f t="array" aca="1" ref="W24" ca="1">INDIRECT(ADDRESS(W$1,W$2,1,1,$A24))</f>
        <v>0</v>
      </c>
      <c r="X24" cm="1">
        <f t="array" aca="1" ref="X24" ca="1">INDIRECT(ADDRESS(X$1,X$2,1,1,$A24))</f>
        <v>0</v>
      </c>
      <c r="Y24" cm="1">
        <f t="array" aca="1" ref="Y24" ca="1">INDIRECT(ADDRESS(Y$1,Y$2,1,1,$A24))</f>
        <v>62.481999999999999</v>
      </c>
      <c r="Z24" cm="1">
        <f t="array" aca="1" ref="Z24" ca="1">INDIRECT(ADDRESS(Z$1,Z$2,1,1,$A24))</f>
        <v>37.516399999999997</v>
      </c>
      <c r="AA24" cm="1">
        <f t="array" aca="1" ref="AA24" ca="1">INDIRECT(ADDRESS(AA$1,AA$2,1,1,$A24))</f>
        <v>8.3599999999999994E-2</v>
      </c>
      <c r="AB24" cm="1">
        <f t="array" aca="1" ref="AB24" ca="1">INDIRECT(ADDRESS(AB$1,AB$2,1,1,$A24))</f>
        <v>-63.451300000000003</v>
      </c>
      <c r="AC24" cm="1">
        <f t="array" aca="1" ref="AC24" ca="1">INDIRECT(ADDRESS(AC$1,AC$2,1,1,$A24))</f>
        <v>37.516399999999997</v>
      </c>
      <c r="AD24" cm="1">
        <f t="array" aca="1" ref="AD24" ca="1">INDIRECT(ADDRESS(AD$1,AD$2,1,1,$A24))</f>
        <v>6.88E-2</v>
      </c>
      <c r="AE24" cm="1">
        <f t="array" aca="1" ref="AE24" ca="1">INDIRECT(ADDRESS(AE$1,AE$2,1,1,$A24))</f>
        <v>-62.478200000000001</v>
      </c>
      <c r="AF24" cm="1">
        <f t="array" aca="1" ref="AF24" ca="1">INDIRECT(ADDRESS(AF$1,AF$2,1,1,$A24))</f>
        <v>-36.462600000000002</v>
      </c>
      <c r="AG24" cm="1">
        <f t="array" aca="1" ref="AG24" ca="1">INDIRECT(ADDRESS(AG$1,AG$2,1,1,$A24))</f>
        <v>8.3799999999999999E-2</v>
      </c>
      <c r="AH24" cm="1">
        <f t="array" aca="1" ref="AH24" ca="1">INDIRECT(ADDRESS(AH$1,AH$2,1,1,$A24))</f>
        <v>61.443100000000001</v>
      </c>
      <c r="AI24" cm="1">
        <f t="array" aca="1" ref="AI24" ca="1">INDIRECT(ADDRESS(AI$1,AI$2,1,1,$A24))</f>
        <v>-37.465000000000003</v>
      </c>
      <c r="AJ24" cm="1">
        <f t="array" aca="1" ref="AJ24" ca="1">INDIRECT(ADDRESS(AJ$1,AJ$2,1,1,$A24))</f>
        <v>6.93E-2</v>
      </c>
      <c r="AK24" s="15" cm="1">
        <f t="array" aca="1" ref="AK24" ca="1">INDIRECT(ADDRESS(AK$1,AK$2,1,1,$A24))</f>
        <v>72.879900000000006</v>
      </c>
      <c r="AL24" s="15" cm="1">
        <f t="array" aca="1" ref="AL24" ca="1">INDIRECT(ADDRESS(AL$1,AL$2,1,1,$A24))</f>
        <v>73.712699999999998</v>
      </c>
      <c r="AM24" s="15" cm="1">
        <f t="array" aca="1" ref="AM24" ca="1">INDIRECT(ADDRESS(AM$1,AM$2,1,1,$A24))</f>
        <v>72.339799999999997</v>
      </c>
      <c r="AN24" s="15" cm="1">
        <f t="array" aca="1" ref="AN24" ca="1">INDIRECT(ADDRESS(AN$1,AN$2,1,1,$A24))</f>
        <v>71.964500000000001</v>
      </c>
      <c r="AO24" s="15" cm="1">
        <f t="array" aca="1" ref="AO24" ca="1">INDIRECT(ADDRESS(AO$1,AO$2,1,1,$A24))</f>
        <v>125.9333</v>
      </c>
      <c r="AP24" s="15" cm="1">
        <f t="array" aca="1" ref="AP24" ca="1">INDIRECT(ADDRESS(AP$1,AP$2,1,1,$A24))</f>
        <v>145.21680000000001</v>
      </c>
      <c r="AQ24" s="15" cm="1">
        <f t="array" aca="1" ref="AQ24" ca="1">INDIRECT(ADDRESS(AQ$1,AQ$2,1,1,$A24))</f>
        <v>74.988600000000005</v>
      </c>
      <c r="AR24" s="15" cm="1">
        <f t="array" aca="1" ref="AR24" ca="1">INDIRECT(ADDRESS(AR$1,AR$2,1,1,$A24))</f>
        <v>73.985399999999998</v>
      </c>
      <c r="AS24" s="15" cm="1">
        <f t="array" aca="1" ref="AS24" ca="1">INDIRECT(ADDRESS(AS$1,AS$2,1,1,$A24))</f>
        <v>145.6737</v>
      </c>
      <c r="AT24" s="15" cm="1">
        <f t="array" aca="1" ref="AT24" ca="1">INDIRECT(ADDRESS(AT$1,AT$2,1,1,$A24))</f>
        <v>123.92529999999999</v>
      </c>
      <c r="AV24" s="15">
        <f t="shared" ca="1" si="0"/>
        <v>-5.3223914733280253E-5</v>
      </c>
      <c r="AW24" s="15">
        <f t="shared" ca="1" si="1"/>
        <v>6.5573532779694688E-5</v>
      </c>
      <c r="AX24" s="15">
        <f t="shared" ca="1" si="2"/>
        <v>-4.8606698101139045E-5</v>
      </c>
      <c r="AY24" s="15">
        <f t="shared" ca="1" si="3"/>
        <v>2.5673426890193696E-5</v>
      </c>
      <c r="AZ24" s="15">
        <f t="shared" ca="1" si="4"/>
        <v>-8.696667066487862E-7</v>
      </c>
      <c r="BA24" s="15">
        <f t="shared" ca="1" si="5"/>
        <v>-8.6156810283455343E-5</v>
      </c>
      <c r="BB24" s="15">
        <f t="shared" ca="1" si="6"/>
        <v>1.7756032377747033E-6</v>
      </c>
      <c r="BC24" s="15">
        <f t="shared" ca="1" si="7"/>
        <v>-1.1924649925276753E-6</v>
      </c>
      <c r="BD24" s="15">
        <f t="shared" ca="1" si="8"/>
        <v>1.8445746690076703E-5</v>
      </c>
      <c r="BE24" s="15">
        <f t="shared" ca="1" si="9"/>
        <v>-5.4991220437727861E-5</v>
      </c>
      <c r="BG24" s="15" cm="1">
        <f t="array" aca="1" ref="BG24" ca="1">INDIRECT(ADDRESS(BG$1,BG$2,1,1,$A24))</f>
        <v>4.7000000000000002E-3</v>
      </c>
      <c r="BH24" s="15" cm="1">
        <f t="array" aca="1" ref="BH24" ca="1">INDIRECT(ADDRESS(BH$1,BH$2,1,1,$A24))</f>
        <v>8.0000000000000002E-3</v>
      </c>
      <c r="BI24" s="15" cm="1">
        <f t="array" aca="1" ref="BI24" ca="1">INDIRECT(ADDRESS(BI$1,BI$2,1,1,$A24))</f>
        <v>5.7000000000000002E-3</v>
      </c>
      <c r="BJ24" s="15" cm="1">
        <f t="array" aca="1" ref="BJ24" ca="1">INDIRECT(ADDRESS(BJ$1,BJ$2,1,1,$A24))</f>
        <v>6.8999999999999999E-3</v>
      </c>
      <c r="BK24" s="15" cm="1">
        <f t="array" aca="1" ref="BK24" ca="1">INDIRECT(ADDRESS(BK$1,BK$2,1,1,$A24))</f>
        <v>8.9999999999999993E-3</v>
      </c>
      <c r="BN24" s="32"/>
    </row>
    <row r="25" spans="1:66" x14ac:dyDescent="0.4">
      <c r="A25" t="s">
        <v>51</v>
      </c>
      <c r="B25" t="str" cm="1">
        <f t="array" aca="1" ref="B25" ca="1">LEFT(INDIRECT(ADDRESS(B$1,B$2,1,1,$A25)),FIND("-",INDIRECT(ADDRESS(B$1,B$2,1,1,$A25)))-1)</f>
        <v>P509</v>
      </c>
      <c r="C25" t="str" cm="1">
        <f t="array" aca="1" ref="C25" ca="1">RIGHT(INDIRECT(ADDRESS(B$1,B$2,1,1,$A25)),LEN(INDIRECT(ADDRESS(B$1,B$2,1,1,$A25)))-FIND("-",INDIRECT(ADDRESS(B$1,B$2,1,1,$A25))))</f>
        <v>east</v>
      </c>
      <c r="D25" s="10" cm="1">
        <f t="array" aca="1" ref="D25" ca="1">DATE(MID(INDIRECT(ADDRESS(D$1,D$2,1,1,$A25)),1,4),MID(INDIRECT(ADDRESS(D$1,D$2,1,1,$A25)),5,2),MID(INDIRECT(ADDRESS(D$1,D$2,1,1,$A25)),7,2))+TIME(MID(INDIRECT(ADDRESS(D$1,D$2,1,1,$A25)),10,2),MID(INDIRECT(ADDRESS(D$1,D$2,1,1,$A25)),12,2),0)</f>
        <v>44537.695138888892</v>
      </c>
      <c r="E25" cm="1">
        <f t="array" aca="1" ref="E25" ca="1">INDIRECT(ADDRESS(E$1,E$2,1,1,$A25))</f>
        <v>0</v>
      </c>
      <c r="F25" s="11" cm="1">
        <f t="array" aca="1" ref="F25" ca="1">VALUE(SUBSTITUTE(INDIRECT(ADDRESS(F$1,F$2,1,1,$A25)),"┬░C",""))</f>
        <v>20.100000000000001</v>
      </c>
      <c r="G25" s="12" cm="1">
        <f t="array" aca="1" ref="G25" ca="1">INDIRECT(ADDRESS(G$1,G$2,1,1,$A25))</f>
        <v>25.398499999999999</v>
      </c>
      <c r="H25" cm="1">
        <f t="array" aca="1" ref="H25" ca="1">INDIRECT(ADDRESS(H$1,H$2,1,1,$A25))</f>
        <v>25.4024</v>
      </c>
      <c r="I25" cm="1">
        <f t="array" aca="1" ref="I25" ca="1">INDIRECT(ADDRESS(I$1,I$2,1,1,$A25))</f>
        <v>25.4025</v>
      </c>
      <c r="J25" cm="1">
        <f t="array" aca="1" ref="J25" ca="1">INDIRECT(ADDRESS(J$1,J$2,1,1,$A25))</f>
        <v>25.404499999999999</v>
      </c>
      <c r="K25" s="13" cm="1">
        <f t="array" aca="1" ref="K25" ca="1">INDIRECT(ADDRESS(K$1,K$2,1,1,$A25))</f>
        <v>25.402000000000001</v>
      </c>
      <c r="L25" s="14" cm="1">
        <f t="array" aca="1" ref="L25" ca="1">SQRT(SUMSQ(Y25:AA25-V25:X25))</f>
        <v>72.880757530983445</v>
      </c>
      <c r="M25" s="15" cm="1">
        <f t="array" aca="1" ref="M25" ca="1">SQRT(SUMSQ(AB25:AD25-V25:X25))</f>
        <v>73.712931148679743</v>
      </c>
      <c r="N25" s="15" cm="1">
        <f t="array" aca="1" ref="N25" ca="1">SQRT(SUMSQ(AE25:AG25-V25:X25))</f>
        <v>72.340242721392642</v>
      </c>
      <c r="O25" s="15" cm="1">
        <f t="array" aca="1" ref="O25" ca="1">SQRT(SUMSQ(AH25:AJ25-V25:X25))</f>
        <v>71.964929908949401</v>
      </c>
      <c r="P25" s="15" cm="1">
        <f t="array" aca="1" ref="P25" ca="1">SQRT(SUMSQ(AB25:AD25-Y25:AA25))</f>
        <v>125.93530078933388</v>
      </c>
      <c r="Q25" s="15" cm="1">
        <f t="array" aca="1" ref="Q25" ca="1">SQRT(SUMSQ(AE25:AG25-Y25:AA25))</f>
        <v>145.21808535461415</v>
      </c>
      <c r="R25" s="15" cm="1">
        <f t="array" aca="1" ref="R25" ca="1">SQRT(SUMSQ(AH25:AJ25-Y25:AA25))</f>
        <v>74.987403752163601</v>
      </c>
      <c r="S25" s="15" cm="1">
        <f t="array" aca="1" ref="S25" ca="1">SQRT(SUMSQ(AE25:AG25-AB25:AD25))</f>
        <v>73.983695921601537</v>
      </c>
      <c r="T25" s="15" cm="1">
        <f t="array" aca="1" ref="T25" ca="1">SQRT(SUMSQ(AH25:AJ25-AB25:AD25))</f>
        <v>145.6744356717746</v>
      </c>
      <c r="U25" s="16" cm="1">
        <f t="array" aca="1" ref="U25" ca="1">SQRT(SUMSQ(AH25:AJ25-AE25:AG25))</f>
        <v>123.92735888007137</v>
      </c>
      <c r="V25" cm="1">
        <f t="array" aca="1" ref="V25" ca="1">INDIRECT(ADDRESS(V$1,V$2,1,1,$A25))</f>
        <v>0</v>
      </c>
      <c r="W25" cm="1">
        <f t="array" aca="1" ref="W25" ca="1">INDIRECT(ADDRESS(W$1,W$2,1,1,$A25))</f>
        <v>0</v>
      </c>
      <c r="X25" cm="1">
        <f t="array" aca="1" ref="X25" ca="1">INDIRECT(ADDRESS(X$1,X$2,1,1,$A25))</f>
        <v>0</v>
      </c>
      <c r="Y25" cm="1">
        <f t="array" aca="1" ref="Y25" ca="1">INDIRECT(ADDRESS(Y$1,Y$2,1,1,$A25))</f>
        <v>62.4833</v>
      </c>
      <c r="Z25" cm="1">
        <f t="array" aca="1" ref="Z25" ca="1">INDIRECT(ADDRESS(Z$1,Z$2,1,1,$A25))</f>
        <v>37.515799999999999</v>
      </c>
      <c r="AA25" cm="1">
        <f t="array" aca="1" ref="AA25" ca="1">INDIRECT(ADDRESS(AA$1,AA$2,1,1,$A25))</f>
        <v>8.2400000000000001E-2</v>
      </c>
      <c r="AB25" cm="1">
        <f t="array" aca="1" ref="AB25" ca="1">INDIRECT(ADDRESS(AB$1,AB$2,1,1,$A25))</f>
        <v>-63.451999999999998</v>
      </c>
      <c r="AC25" cm="1">
        <f t="array" aca="1" ref="AC25" ca="1">INDIRECT(ADDRESS(AC$1,AC$2,1,1,$A25))</f>
        <v>37.515799999999999</v>
      </c>
      <c r="AD25" cm="1">
        <f t="array" aca="1" ref="AD25" ca="1">INDIRECT(ADDRESS(AD$1,AD$2,1,1,$A25))</f>
        <v>6.83E-2</v>
      </c>
      <c r="AE25" cm="1">
        <f t="array" aca="1" ref="AE25" ca="1">INDIRECT(ADDRESS(AE$1,AE$2,1,1,$A25))</f>
        <v>-62.479300000000002</v>
      </c>
      <c r="AF25" cm="1">
        <f t="array" aca="1" ref="AF25" ca="1">INDIRECT(ADDRESS(AF$1,AF$2,1,1,$A25))</f>
        <v>-36.461500000000001</v>
      </c>
      <c r="AG25" cm="1">
        <f t="array" aca="1" ref="AG25" ca="1">INDIRECT(ADDRESS(AG$1,AG$2,1,1,$A25))</f>
        <v>8.2500000000000004E-2</v>
      </c>
      <c r="AH25" cm="1">
        <f t="array" aca="1" ref="AH25" ca="1">INDIRECT(ADDRESS(AH$1,AH$2,1,1,$A25))</f>
        <v>61.444000000000003</v>
      </c>
      <c r="AI25" cm="1">
        <f t="array" aca="1" ref="AI25" ca="1">INDIRECT(ADDRESS(AI$1,AI$2,1,1,$A25))</f>
        <v>-37.464399999999998</v>
      </c>
      <c r="AJ25" cm="1">
        <f t="array" aca="1" ref="AJ25" ca="1">INDIRECT(ADDRESS(AJ$1,AJ$2,1,1,$A25))</f>
        <v>6.88E-2</v>
      </c>
      <c r="AK25" s="15" cm="1">
        <f t="array" aca="1" ref="AK25" ca="1">INDIRECT(ADDRESS(AK$1,AK$2,1,1,$A25))</f>
        <v>72.880700000000004</v>
      </c>
      <c r="AL25" s="15" cm="1">
        <f t="array" aca="1" ref="AL25" ca="1">INDIRECT(ADDRESS(AL$1,AL$2,1,1,$A25))</f>
        <v>73.712900000000005</v>
      </c>
      <c r="AM25" s="15" cm="1">
        <f t="array" aca="1" ref="AM25" ca="1">INDIRECT(ADDRESS(AM$1,AM$2,1,1,$A25))</f>
        <v>72.340199999999996</v>
      </c>
      <c r="AN25" s="15" cm="1">
        <f t="array" aca="1" ref="AN25" ca="1">INDIRECT(ADDRESS(AN$1,AN$2,1,1,$A25))</f>
        <v>71.9649</v>
      </c>
      <c r="AO25" s="15" cm="1">
        <f t="array" aca="1" ref="AO25" ca="1">INDIRECT(ADDRESS(AO$1,AO$2,1,1,$A25))</f>
        <v>125.9353</v>
      </c>
      <c r="AP25" s="15" cm="1">
        <f t="array" aca="1" ref="AP25" ca="1">INDIRECT(ADDRESS(AP$1,AP$2,1,1,$A25))</f>
        <v>145.21799999999999</v>
      </c>
      <c r="AQ25" s="15" cm="1">
        <f t="array" aca="1" ref="AQ25" ca="1">INDIRECT(ADDRESS(AQ$1,AQ$2,1,1,$A25))</f>
        <v>74.987300000000005</v>
      </c>
      <c r="AR25" s="15" cm="1">
        <f t="array" aca="1" ref="AR25" ca="1">INDIRECT(ADDRESS(AR$1,AR$2,1,1,$A25))</f>
        <v>73.983599999999996</v>
      </c>
      <c r="AS25" s="15" cm="1">
        <f t="array" aca="1" ref="AS25" ca="1">INDIRECT(ADDRESS(AS$1,AS$2,1,1,$A25))</f>
        <v>145.67439999999999</v>
      </c>
      <c r="AT25" s="15" cm="1">
        <f t="array" aca="1" ref="AT25" ca="1">INDIRECT(ADDRESS(AT$1,AT$2,1,1,$A25))</f>
        <v>123.92740000000001</v>
      </c>
      <c r="AV25" s="15">
        <f t="shared" ca="1" si="0"/>
        <v>-5.7530983440301497E-5</v>
      </c>
      <c r="AW25" s="15">
        <f t="shared" ca="1" si="1"/>
        <v>-3.114867973863511E-5</v>
      </c>
      <c r="AX25" s="15">
        <f t="shared" ca="1" si="2"/>
        <v>-4.272139264571706E-5</v>
      </c>
      <c r="AY25" s="15">
        <f t="shared" ca="1" si="3"/>
        <v>-2.9908949400692109E-5</v>
      </c>
      <c r="AZ25" s="15">
        <f t="shared" ca="1" si="4"/>
        <v>-7.8933388181212649E-7</v>
      </c>
      <c r="BA25" s="15">
        <f t="shared" ca="1" si="5"/>
        <v>-8.5354614157040487E-5</v>
      </c>
      <c r="BB25" s="15">
        <f t="shared" ca="1" si="6"/>
        <v>-1.0375216359648221E-4</v>
      </c>
      <c r="BC25" s="15">
        <f t="shared" ca="1" si="7"/>
        <v>-9.5921601541704149E-5</v>
      </c>
      <c r="BD25" s="15">
        <f t="shared" ca="1" si="8"/>
        <v>-3.567177461150095E-5</v>
      </c>
      <c r="BE25" s="15">
        <f t="shared" ca="1" si="9"/>
        <v>4.1119928638977399E-5</v>
      </c>
      <c r="BG25" s="15" cm="1">
        <f t="array" aca="1" ref="BG25" ca="1">INDIRECT(ADDRESS(BG$1,BG$2,1,1,$A25))</f>
        <v>4.4000000000000003E-3</v>
      </c>
      <c r="BH25" s="15" cm="1">
        <f t="array" aca="1" ref="BH25" ca="1">INDIRECT(ADDRESS(BH$1,BH$2,1,1,$A25))</f>
        <v>8.6999999999999994E-3</v>
      </c>
      <c r="BI25" s="15" cm="1">
        <f t="array" aca="1" ref="BI25" ca="1">INDIRECT(ADDRESS(BI$1,BI$2,1,1,$A25))</f>
        <v>5.7000000000000002E-3</v>
      </c>
      <c r="BJ25" s="15" cm="1">
        <f t="array" aca="1" ref="BJ25" ca="1">INDIRECT(ADDRESS(BJ$1,BJ$2,1,1,$A25))</f>
        <v>4.3E-3</v>
      </c>
      <c r="BK25" s="15" cm="1">
        <f t="array" aca="1" ref="BK25" ca="1">INDIRECT(ADDRESS(BK$1,BK$2,1,1,$A25))</f>
        <v>6.8999999999999999E-3</v>
      </c>
      <c r="BN25" s="32"/>
    </row>
    <row r="26" spans="1:66" x14ac:dyDescent="0.4">
      <c r="A26" t="s">
        <v>54</v>
      </c>
      <c r="B26" t="str" cm="1">
        <f t="array" aca="1" ref="B26" ca="1">LEFT(INDIRECT(ADDRESS(B$1,B$2,1,1,$A26)),FIND("-",INDIRECT(ADDRESS(B$1,B$2,1,1,$A26)))-1)</f>
        <v>P509</v>
      </c>
      <c r="C26" t="str" cm="1">
        <f t="array" aca="1" ref="C26" ca="1">RIGHT(INDIRECT(ADDRESS(B$1,B$2,1,1,$A26)),LEN(INDIRECT(ADDRESS(B$1,B$2,1,1,$A26)))-FIND("-",INDIRECT(ADDRESS(B$1,B$2,1,1,$A26))))</f>
        <v>east</v>
      </c>
      <c r="D26" s="10" cm="1">
        <f t="array" aca="1" ref="D26" ca="1">DATE(MID(INDIRECT(ADDRESS(D$1,D$2,1,1,$A26)),1,4),MID(INDIRECT(ADDRESS(D$1,D$2,1,1,$A26)),5,2),MID(INDIRECT(ADDRESS(D$1,D$2,1,1,$A26)),7,2))+TIME(MID(INDIRECT(ADDRESS(D$1,D$2,1,1,$A26)),10,2),MID(INDIRECT(ADDRESS(D$1,D$2,1,1,$A26)),12,2),0)</f>
        <v>44537.697916666664</v>
      </c>
      <c r="E26" cm="1">
        <f t="array" aca="1" ref="E26" ca="1">INDIRECT(ADDRESS(E$1,E$2,1,1,$A26))</f>
        <v>0</v>
      </c>
      <c r="F26" s="11" cm="1">
        <f t="array" aca="1" ref="F26" ca="1">VALUE(SUBSTITUTE(INDIRECT(ADDRESS(F$1,F$2,1,1,$A26)),"┬░C",""))</f>
        <v>20.100000000000001</v>
      </c>
      <c r="G26" s="12" cm="1">
        <f t="array" aca="1" ref="G26" ca="1">INDIRECT(ADDRESS(G$1,G$2,1,1,$A26))</f>
        <v>25.3993</v>
      </c>
      <c r="H26" cm="1">
        <f t="array" aca="1" ref="H26" ca="1">INDIRECT(ADDRESS(H$1,H$2,1,1,$A26))</f>
        <v>25.402999999999999</v>
      </c>
      <c r="I26" cm="1">
        <f t="array" aca="1" ref="I26" ca="1">INDIRECT(ADDRESS(I$1,I$2,1,1,$A26))</f>
        <v>25.402899999999999</v>
      </c>
      <c r="J26" cm="1">
        <f t="array" aca="1" ref="J26" ca="1">INDIRECT(ADDRESS(J$1,J$2,1,1,$A26))</f>
        <v>25.405100000000001</v>
      </c>
      <c r="K26" s="13" cm="1">
        <f t="array" aca="1" ref="K26" ca="1">INDIRECT(ADDRESS(K$1,K$2,1,1,$A26))</f>
        <v>25.402999999999999</v>
      </c>
      <c r="L26" s="14" cm="1">
        <f t="array" aca="1" ref="L26" ca="1">SQRT(SUMSQ(Y26:AA26-V26:X26))</f>
        <v>72.88146061763581</v>
      </c>
      <c r="M26" s="15" cm="1">
        <f t="array" aca="1" ref="M26" ca="1">SQRT(SUMSQ(AB26:AD26-V26:X26))</f>
        <v>73.712344300869987</v>
      </c>
      <c r="N26" s="15" cm="1">
        <f t="array" aca="1" ref="N26" ca="1">SQRT(SUMSQ(AE26:AG26-V26:X26))</f>
        <v>72.340084535822882</v>
      </c>
      <c r="O26" s="15" cm="1">
        <f t="array" aca="1" ref="O26" ca="1">SQRT(SUMSQ(AH26:AJ26-V26:X26))</f>
        <v>71.965100574445117</v>
      </c>
      <c r="P26" s="15" cm="1">
        <f t="array" aca="1" ref="P26" ca="1">SQRT(SUMSQ(AB26:AD26-Y26:AA26))</f>
        <v>125.93520078933452</v>
      </c>
      <c r="Q26" s="15" cm="1">
        <f t="array" aca="1" ref="Q26" ca="1">SQRT(SUMSQ(AE26:AG26-Y26:AA26))</f>
        <v>145.218633330334</v>
      </c>
      <c r="R26" s="15" cm="1">
        <f t="array" aca="1" ref="R26" ca="1">SQRT(SUMSQ(AH26:AJ26-Y26:AA26))</f>
        <v>74.987610682632109</v>
      </c>
      <c r="S26" s="15" cm="1">
        <f t="array" aca="1" ref="S26" ca="1">SQRT(SUMSQ(AE26:AG26-AB26:AD26))</f>
        <v>73.984089334261597</v>
      </c>
      <c r="T26" s="15" cm="1">
        <f t="array" aca="1" ref="T26" ca="1">SQRT(SUMSQ(AH26:AJ26-AB26:AD26))</f>
        <v>145.67402419607964</v>
      </c>
      <c r="U26" s="16" cm="1">
        <f t="array" aca="1" ref="U26" ca="1">SQRT(SUMSQ(AH26:AJ26-AE26:AG26))</f>
        <v>123.92725728724896</v>
      </c>
      <c r="V26" cm="1">
        <f t="array" aca="1" ref="V26" ca="1">INDIRECT(ADDRESS(V$1,V$2,1,1,$A26))</f>
        <v>0</v>
      </c>
      <c r="W26" cm="1">
        <f t="array" aca="1" ref="W26" ca="1">INDIRECT(ADDRESS(W$1,W$2,1,1,$A26))</f>
        <v>0</v>
      </c>
      <c r="X26" cm="1">
        <f t="array" aca="1" ref="X26" ca="1">INDIRECT(ADDRESS(X$1,X$2,1,1,$A26))</f>
        <v>0</v>
      </c>
      <c r="Y26" cm="1">
        <f t="array" aca="1" ref="Y26" ca="1">INDIRECT(ADDRESS(Y$1,Y$2,1,1,$A26))</f>
        <v>62.484000000000002</v>
      </c>
      <c r="Z26" cm="1">
        <f t="array" aca="1" ref="Z26" ca="1">INDIRECT(ADDRESS(Z$1,Z$2,1,1,$A26))</f>
        <v>37.515999999999998</v>
      </c>
      <c r="AA26" cm="1">
        <f t="array" aca="1" ref="AA26" ca="1">INDIRECT(ADDRESS(AA$1,AA$2,1,1,$A26))</f>
        <v>8.2400000000000001E-2</v>
      </c>
      <c r="AB26" cm="1">
        <f t="array" aca="1" ref="AB26" ca="1">INDIRECT(ADDRESS(AB$1,AB$2,1,1,$A26))</f>
        <v>-63.4512</v>
      </c>
      <c r="AC26" cm="1">
        <f t="array" aca="1" ref="AC26" ca="1">INDIRECT(ADDRESS(AC$1,AC$2,1,1,$A26))</f>
        <v>37.515999999999998</v>
      </c>
      <c r="AD26" cm="1">
        <f t="array" aca="1" ref="AD26" ca="1">INDIRECT(ADDRESS(AD$1,AD$2,1,1,$A26))</f>
        <v>6.83E-2</v>
      </c>
      <c r="AE26" cm="1">
        <f t="array" aca="1" ref="AE26" ca="1">INDIRECT(ADDRESS(AE$1,AE$2,1,1,$A26))</f>
        <v>-62.478999999999999</v>
      </c>
      <c r="AF26" cm="1">
        <f t="array" aca="1" ref="AF26" ca="1">INDIRECT(ADDRESS(AF$1,AF$2,1,1,$A26))</f>
        <v>-36.4617</v>
      </c>
      <c r="AG26" cm="1">
        <f t="array" aca="1" ref="AG26" ca="1">INDIRECT(ADDRESS(AG$1,AG$2,1,1,$A26))</f>
        <v>8.2600000000000007E-2</v>
      </c>
      <c r="AH26" cm="1">
        <f t="array" aca="1" ref="AH26" ca="1">INDIRECT(ADDRESS(AH$1,AH$2,1,1,$A26))</f>
        <v>61.444200000000002</v>
      </c>
      <c r="AI26" cm="1">
        <f t="array" aca="1" ref="AI26" ca="1">INDIRECT(ADDRESS(AI$1,AI$2,1,1,$A26))</f>
        <v>-37.464399999999998</v>
      </c>
      <c r="AJ26" cm="1">
        <f t="array" aca="1" ref="AJ26" ca="1">INDIRECT(ADDRESS(AJ$1,AJ$2,1,1,$A26))</f>
        <v>6.8699999999999997E-2</v>
      </c>
      <c r="AK26" s="15" cm="1">
        <f t="array" aca="1" ref="AK26" ca="1">INDIRECT(ADDRESS(AK$1,AK$2,1,1,$A26))</f>
        <v>72.881500000000003</v>
      </c>
      <c r="AL26" s="15" cm="1">
        <f t="array" aca="1" ref="AL26" ca="1">INDIRECT(ADDRESS(AL$1,AL$2,1,1,$A26))</f>
        <v>73.712400000000002</v>
      </c>
      <c r="AM26" s="15" cm="1">
        <f t="array" aca="1" ref="AM26" ca="1">INDIRECT(ADDRESS(AM$1,AM$2,1,1,$A26))</f>
        <v>72.340100000000007</v>
      </c>
      <c r="AN26" s="15" cm="1">
        <f t="array" aca="1" ref="AN26" ca="1">INDIRECT(ADDRESS(AN$1,AN$2,1,1,$A26))</f>
        <v>71.965100000000007</v>
      </c>
      <c r="AO26" s="15" cm="1">
        <f t="array" aca="1" ref="AO26" ca="1">INDIRECT(ADDRESS(AO$1,AO$2,1,1,$A26))</f>
        <v>125.9353</v>
      </c>
      <c r="AP26" s="15" cm="1">
        <f t="array" aca="1" ref="AP26" ca="1">INDIRECT(ADDRESS(AP$1,AP$2,1,1,$A26))</f>
        <v>145.21860000000001</v>
      </c>
      <c r="AQ26" s="15" cm="1">
        <f t="array" aca="1" ref="AQ26" ca="1">INDIRECT(ADDRESS(AQ$1,AQ$2,1,1,$A26))</f>
        <v>74.9876</v>
      </c>
      <c r="AR26" s="15" cm="1">
        <f t="array" aca="1" ref="AR26" ca="1">INDIRECT(ADDRESS(AR$1,AR$2,1,1,$A26))</f>
        <v>73.984099999999998</v>
      </c>
      <c r="AS26" s="15" cm="1">
        <f t="array" aca="1" ref="AS26" ca="1">INDIRECT(ADDRESS(AS$1,AS$2,1,1,$A26))</f>
        <v>145.67410000000001</v>
      </c>
      <c r="AT26" s="15" cm="1">
        <f t="array" aca="1" ref="AT26" ca="1">INDIRECT(ADDRESS(AT$1,AT$2,1,1,$A26))</f>
        <v>123.9273</v>
      </c>
      <c r="AV26" s="15">
        <f t="shared" ca="1" si="0"/>
        <v>3.9382364192874775E-5</v>
      </c>
      <c r="AW26" s="15">
        <f t="shared" ca="1" si="1"/>
        <v>5.5699130015796072E-5</v>
      </c>
      <c r="AX26" s="15">
        <f t="shared" ca="1" si="2"/>
        <v>1.5464177124613343E-5</v>
      </c>
      <c r="AY26" s="15">
        <f t="shared" ca="1" si="3"/>
        <v>-5.7444511014637101E-7</v>
      </c>
      <c r="AZ26" s="15">
        <f t="shared" ca="1" si="4"/>
        <v>9.9210665482019067E-5</v>
      </c>
      <c r="BA26" s="15">
        <f t="shared" ca="1" si="5"/>
        <v>-3.3330333991443695E-5</v>
      </c>
      <c r="BB26" s="15">
        <f t="shared" ca="1" si="6"/>
        <v>-1.068263210868281E-5</v>
      </c>
      <c r="BC26" s="15">
        <f t="shared" ca="1" si="7"/>
        <v>1.066573840091678E-5</v>
      </c>
      <c r="BD26" s="15">
        <f t="shared" ca="1" si="8"/>
        <v>7.580392036743433E-5</v>
      </c>
      <c r="BE26" s="15">
        <f t="shared" ca="1" si="9"/>
        <v>4.27127510391756E-5</v>
      </c>
      <c r="BG26" s="15" cm="1">
        <f t="array" aca="1" ref="BG26" ca="1">INDIRECT(ADDRESS(BG$1,BG$2,1,1,$A26))</f>
        <v>5.1000000000000004E-3</v>
      </c>
      <c r="BH26" s="15" cm="1">
        <f t="array" aca="1" ref="BH26" ca="1">INDIRECT(ADDRESS(BH$1,BH$2,1,1,$A26))</f>
        <v>7.6E-3</v>
      </c>
      <c r="BI26" s="15" cm="1">
        <f t="array" aca="1" ref="BI26" ca="1">INDIRECT(ADDRESS(BI$1,BI$2,1,1,$A26))</f>
        <v>5.8999999999999999E-3</v>
      </c>
      <c r="BJ26" s="15" cm="1">
        <f t="array" aca="1" ref="BJ26" ca="1">INDIRECT(ADDRESS(BJ$1,BJ$2,1,1,$A26))</f>
        <v>6.8999999999999999E-3</v>
      </c>
      <c r="BK26" s="15" cm="1">
        <f t="array" aca="1" ref="BK26" ca="1">INDIRECT(ADDRESS(BK$1,BK$2,1,1,$A26))</f>
        <v>4.0000000000000001E-3</v>
      </c>
      <c r="BN26" s="32"/>
    </row>
    <row r="27" spans="1:66" x14ac:dyDescent="0.4">
      <c r="A27" t="s">
        <v>57</v>
      </c>
      <c r="B27" t="str" cm="1">
        <f t="array" aca="1" ref="B27" ca="1">LEFT(INDIRECT(ADDRESS(B$1,B$2,1,1,$A27)),FIND("-",INDIRECT(ADDRESS(B$1,B$2,1,1,$A27)))-1)</f>
        <v>P509</v>
      </c>
      <c r="C27" t="str" cm="1">
        <f t="array" aca="1" ref="C27" ca="1">RIGHT(INDIRECT(ADDRESS(B$1,B$2,1,1,$A27)),LEN(INDIRECT(ADDRESS(B$1,B$2,1,1,$A27)))-FIND("-",INDIRECT(ADDRESS(B$1,B$2,1,1,$A27))))</f>
        <v>east</v>
      </c>
      <c r="D27" s="10" cm="1">
        <f t="array" aca="1" ref="D27" ca="1">DATE(MID(INDIRECT(ADDRESS(D$1,D$2,1,1,$A27)),1,4),MID(INDIRECT(ADDRESS(D$1,D$2,1,1,$A27)),5,2),MID(INDIRECT(ADDRESS(D$1,D$2,1,1,$A27)),7,2))+TIME(MID(INDIRECT(ADDRESS(D$1,D$2,1,1,$A27)),10,2),MID(INDIRECT(ADDRESS(D$1,D$2,1,1,$A27)),12,2),0)</f>
        <v>44537.7</v>
      </c>
      <c r="E27" cm="1">
        <f t="array" aca="1" ref="E27" ca="1">INDIRECT(ADDRESS(E$1,E$2,1,1,$A27))</f>
        <v>0</v>
      </c>
      <c r="F27" s="11" cm="1">
        <f t="array" aca="1" ref="F27" ca="1">VALUE(SUBSTITUTE(INDIRECT(ADDRESS(F$1,F$2,1,1,$A27)),"┬░C",""))</f>
        <v>20.100000000000001</v>
      </c>
      <c r="G27" s="12" cm="1">
        <f t="array" aca="1" ref="G27" ca="1">INDIRECT(ADDRESS(G$1,G$2,1,1,$A27))</f>
        <v>25.398499999999999</v>
      </c>
      <c r="H27" cm="1">
        <f t="array" aca="1" ref="H27" ca="1">INDIRECT(ADDRESS(H$1,H$2,1,1,$A27))</f>
        <v>25.403400000000001</v>
      </c>
      <c r="I27" cm="1">
        <f t="array" aca="1" ref="I27" ca="1">INDIRECT(ADDRESS(I$1,I$2,1,1,$A27))</f>
        <v>25.402999999999999</v>
      </c>
      <c r="J27" cm="1">
        <f t="array" aca="1" ref="J27" ca="1">INDIRECT(ADDRESS(J$1,J$2,1,1,$A27))</f>
        <v>25.404800000000002</v>
      </c>
      <c r="K27" s="13" cm="1">
        <f t="array" aca="1" ref="K27" ca="1">INDIRECT(ADDRESS(K$1,K$2,1,1,$A27))</f>
        <v>25.4023</v>
      </c>
      <c r="L27" s="14" cm="1">
        <f t="array" aca="1" ref="L27" ca="1">SQRT(SUMSQ(Y27:AA27-V27:X27))</f>
        <v>72.880191993915602</v>
      </c>
      <c r="M27" s="15" cm="1">
        <f t="array" aca="1" ref="M27" ca="1">SQRT(SUMSQ(AB27:AD27-V27:X27))</f>
        <v>73.712622014618361</v>
      </c>
      <c r="N27" s="15" cm="1">
        <f t="array" aca="1" ref="N27" ca="1">SQRT(SUMSQ(AE27:AG27-V27:X27))</f>
        <v>72.340631965583484</v>
      </c>
      <c r="O27" s="15" cm="1">
        <f t="array" aca="1" ref="O27" ca="1">SQRT(SUMSQ(AH27:AJ27-V27:X27))</f>
        <v>71.965465086317622</v>
      </c>
      <c r="P27" s="15" cm="1">
        <f t="array" aca="1" ref="P27" ca="1">SQRT(SUMSQ(AB27:AD27-Y27:AA27))</f>
        <v>125.93440082328578</v>
      </c>
      <c r="Q27" s="15" cm="1">
        <f t="array" aca="1" ref="Q27" ca="1">SQRT(SUMSQ(AE27:AG27-Y27:AA27))</f>
        <v>145.21790980898328</v>
      </c>
      <c r="R27" s="15" cm="1">
        <f t="array" aca="1" ref="R27" ca="1">SQRT(SUMSQ(AH27:AJ27-Y27:AA27))</f>
        <v>74.98799266615957</v>
      </c>
      <c r="S27" s="15" cm="1">
        <f t="array" aca="1" ref="S27" ca="1">SQRT(SUMSQ(AE27:AG27-AB27:AD27))</f>
        <v>73.984190698351227</v>
      </c>
      <c r="T27" s="15" cm="1">
        <f t="array" aca="1" ref="T27" ca="1">SQRT(SUMSQ(AH27:AJ27-AB27:AD27))</f>
        <v>145.67465876294341</v>
      </c>
      <c r="U27" s="16" cm="1">
        <f t="array" aca="1" ref="U27" ca="1">SQRT(SUMSQ(AH27:AJ27-AE27:AG27))</f>
        <v>123.92765972441342</v>
      </c>
      <c r="V27" cm="1">
        <f t="array" aca="1" ref="V27" ca="1">INDIRECT(ADDRESS(V$1,V$2,1,1,$A27))</f>
        <v>0</v>
      </c>
      <c r="W27" cm="1">
        <f t="array" aca="1" ref="W27" ca="1">INDIRECT(ADDRESS(W$1,W$2,1,1,$A27))</f>
        <v>0</v>
      </c>
      <c r="X27" cm="1">
        <f t="array" aca="1" ref="X27" ca="1">INDIRECT(ADDRESS(X$1,X$2,1,1,$A27))</f>
        <v>0</v>
      </c>
      <c r="Y27" cm="1">
        <f t="array" aca="1" ref="Y27" ca="1">INDIRECT(ADDRESS(Y$1,Y$2,1,1,$A27))</f>
        <v>62.482700000000001</v>
      </c>
      <c r="Z27" cm="1">
        <f t="array" aca="1" ref="Z27" ca="1">INDIRECT(ADDRESS(Z$1,Z$2,1,1,$A27))</f>
        <v>37.515700000000002</v>
      </c>
      <c r="AA27" cm="1">
        <f t="array" aca="1" ref="AA27" ca="1">INDIRECT(ADDRESS(AA$1,AA$2,1,1,$A27))</f>
        <v>8.2699999999999996E-2</v>
      </c>
      <c r="AB27" cm="1">
        <f t="array" aca="1" ref="AB27" ca="1">INDIRECT(ADDRESS(AB$1,AB$2,1,1,$A27))</f>
        <v>-63.451700000000002</v>
      </c>
      <c r="AC27" cm="1">
        <f t="array" aca="1" ref="AC27" ca="1">INDIRECT(ADDRESS(AC$1,AC$2,1,1,$A27))</f>
        <v>37.515700000000002</v>
      </c>
      <c r="AD27" cm="1">
        <f t="array" aca="1" ref="AD27" ca="1">INDIRECT(ADDRESS(AD$1,AD$2,1,1,$A27))</f>
        <v>6.83E-2</v>
      </c>
      <c r="AE27" cm="1">
        <f t="array" aca="1" ref="AE27" ca="1">INDIRECT(ADDRESS(AE$1,AE$2,1,1,$A27))</f>
        <v>-62.479399999999998</v>
      </c>
      <c r="AF27" cm="1">
        <f t="array" aca="1" ref="AF27" ca="1">INDIRECT(ADDRESS(AF$1,AF$2,1,1,$A27))</f>
        <v>-36.4621</v>
      </c>
      <c r="AG27" cm="1">
        <f t="array" aca="1" ref="AG27" ca="1">INDIRECT(ADDRESS(AG$1,AG$2,1,1,$A27))</f>
        <v>8.2900000000000001E-2</v>
      </c>
      <c r="AH27" cm="1">
        <f t="array" aca="1" ref="AH27" ca="1">INDIRECT(ADDRESS(AH$1,AH$2,1,1,$A27))</f>
        <v>61.444200000000002</v>
      </c>
      <c r="AI27" cm="1">
        <f t="array" aca="1" ref="AI27" ca="1">INDIRECT(ADDRESS(AI$1,AI$2,1,1,$A27))</f>
        <v>-37.4651</v>
      </c>
      <c r="AJ27" cm="1">
        <f t="array" aca="1" ref="AJ27" ca="1">INDIRECT(ADDRESS(AJ$1,AJ$2,1,1,$A27))</f>
        <v>6.88E-2</v>
      </c>
      <c r="AK27" s="15" cm="1">
        <f t="array" aca="1" ref="AK27" ca="1">INDIRECT(ADDRESS(AK$1,AK$2,1,1,$A27))</f>
        <v>72.880200000000002</v>
      </c>
      <c r="AL27" s="15" cm="1">
        <f t="array" aca="1" ref="AL27" ca="1">INDIRECT(ADDRESS(AL$1,AL$2,1,1,$A27))</f>
        <v>73.712599999999995</v>
      </c>
      <c r="AM27" s="15" cm="1">
        <f t="array" aca="1" ref="AM27" ca="1">INDIRECT(ADDRESS(AM$1,AM$2,1,1,$A27))</f>
        <v>72.340599999999995</v>
      </c>
      <c r="AN27" s="15" cm="1">
        <f t="array" aca="1" ref="AN27" ca="1">INDIRECT(ADDRESS(AN$1,AN$2,1,1,$A27))</f>
        <v>71.965400000000002</v>
      </c>
      <c r="AO27" s="15" cm="1">
        <f t="array" aca="1" ref="AO27" ca="1">INDIRECT(ADDRESS(AO$1,AO$2,1,1,$A27))</f>
        <v>125.9344</v>
      </c>
      <c r="AP27" s="15" cm="1">
        <f t="array" aca="1" ref="AP27" ca="1">INDIRECT(ADDRESS(AP$1,AP$2,1,1,$A27))</f>
        <v>145.21789999999999</v>
      </c>
      <c r="AQ27" s="15" cm="1">
        <f t="array" aca="1" ref="AQ27" ca="1">INDIRECT(ADDRESS(AQ$1,AQ$2,1,1,$A27))</f>
        <v>74.987899999999996</v>
      </c>
      <c r="AR27" s="15" cm="1">
        <f t="array" aca="1" ref="AR27" ca="1">INDIRECT(ADDRESS(AR$1,AR$2,1,1,$A27))</f>
        <v>73.984200000000001</v>
      </c>
      <c r="AS27" s="15" cm="1">
        <f t="array" aca="1" ref="AS27" ca="1">INDIRECT(ADDRESS(AS$1,AS$2,1,1,$A27))</f>
        <v>145.6746</v>
      </c>
      <c r="AT27" s="15" cm="1">
        <f t="array" aca="1" ref="AT27" ca="1">INDIRECT(ADDRESS(AT$1,AT$2,1,1,$A27))</f>
        <v>123.9277</v>
      </c>
      <c r="AV27" s="15">
        <f t="shared" ca="1" si="0"/>
        <v>8.0060843998808195E-6</v>
      </c>
      <c r="AW27" s="15">
        <f t="shared" ca="1" si="1"/>
        <v>-2.2014618366483774E-5</v>
      </c>
      <c r="AX27" s="15">
        <f t="shared" ca="1" si="2"/>
        <v>-3.1965583488613447E-5</v>
      </c>
      <c r="AY27" s="15">
        <f t="shared" ca="1" si="3"/>
        <v>-6.5086317619034162E-5</v>
      </c>
      <c r="AZ27" s="15">
        <f t="shared" ca="1" si="4"/>
        <v>-8.232857879875155E-7</v>
      </c>
      <c r="BA27" s="15">
        <f t="shared" ca="1" si="5"/>
        <v>-9.808983293169149E-6</v>
      </c>
      <c r="BB27" s="15">
        <f t="shared" ca="1" si="6"/>
        <v>-9.2666159574150697E-5</v>
      </c>
      <c r="BC27" s="15">
        <f t="shared" ca="1" si="7"/>
        <v>9.3016487738850628E-6</v>
      </c>
      <c r="BD27" s="15">
        <f t="shared" ca="1" si="8"/>
        <v>-5.8762943410783919E-5</v>
      </c>
      <c r="BE27" s="15">
        <f t="shared" ca="1" si="9"/>
        <v>4.0275586584925804E-5</v>
      </c>
      <c r="BG27" s="15" cm="1">
        <f t="array" aca="1" ref="BG27" ca="1">INDIRECT(ADDRESS(BG$1,BG$2,1,1,$A27))</f>
        <v>5.3E-3</v>
      </c>
      <c r="BH27" s="15" cm="1">
        <f t="array" aca="1" ref="BH27" ca="1">INDIRECT(ADDRESS(BH$1,BH$2,1,1,$A27))</f>
        <v>7.1999999999999998E-3</v>
      </c>
      <c r="BI27" s="15" cm="1">
        <f t="array" aca="1" ref="BI27" ca="1">INDIRECT(ADDRESS(BI$1,BI$2,1,1,$A27))</f>
        <v>5.8999999999999999E-3</v>
      </c>
      <c r="BJ27" s="15" cm="1">
        <f t="array" aca="1" ref="BJ27" ca="1">INDIRECT(ADDRESS(BJ$1,BJ$2,1,1,$A27))</f>
        <v>7.7000000000000002E-3</v>
      </c>
      <c r="BK27" s="15" cm="1">
        <f t="array" aca="1" ref="BK27" ca="1">INDIRECT(ADDRESS(BK$1,BK$2,1,1,$A27))</f>
        <v>5.1000000000000004E-3</v>
      </c>
      <c r="BN27" s="32"/>
    </row>
    <row r="28" spans="1:66" x14ac:dyDescent="0.4">
      <c r="A28" t="s">
        <v>60</v>
      </c>
      <c r="B28" t="str" cm="1">
        <f t="array" aca="1" ref="B28" ca="1">LEFT(INDIRECT(ADDRESS(B$1,B$2,1,1,$A28)),FIND("-",INDIRECT(ADDRESS(B$1,B$2,1,1,$A28)))-1)</f>
        <v>P509</v>
      </c>
      <c r="C28" t="str" cm="1">
        <f t="array" aca="1" ref="C28" ca="1">RIGHT(INDIRECT(ADDRESS(B$1,B$2,1,1,$A28)),LEN(INDIRECT(ADDRESS(B$1,B$2,1,1,$A28)))-FIND("-",INDIRECT(ADDRESS(B$1,B$2,1,1,$A28))))</f>
        <v>east</v>
      </c>
      <c r="D28" s="10" cm="1">
        <f t="array" aca="1" ref="D28" ca="1">DATE(MID(INDIRECT(ADDRESS(D$1,D$2,1,1,$A28)),1,4),MID(INDIRECT(ADDRESS(D$1,D$2,1,1,$A28)),5,2),MID(INDIRECT(ADDRESS(D$1,D$2,1,1,$A28)),7,2))+TIME(MID(INDIRECT(ADDRESS(D$1,D$2,1,1,$A28)),10,2),MID(INDIRECT(ADDRESS(D$1,D$2,1,1,$A28)),12,2),0)</f>
        <v>44537.70208333333</v>
      </c>
      <c r="E28" cm="1">
        <f t="array" aca="1" ref="E28" ca="1">INDIRECT(ADDRESS(E$1,E$2,1,1,$A28))</f>
        <v>0</v>
      </c>
      <c r="F28" s="11" cm="1">
        <f t="array" aca="1" ref="F28" ca="1">VALUE(SUBSTITUTE(INDIRECT(ADDRESS(F$1,F$2,1,1,$A28)),"┬░C",""))</f>
        <v>20.100000000000001</v>
      </c>
      <c r="G28" s="12" cm="1">
        <f t="array" aca="1" ref="G28" ca="1">INDIRECT(ADDRESS(G$1,G$2,1,1,$A28))</f>
        <v>25.398199999999999</v>
      </c>
      <c r="H28" cm="1">
        <f t="array" aca="1" ref="H28" ca="1">INDIRECT(ADDRESS(H$1,H$2,1,1,$A28))</f>
        <v>25.4026</v>
      </c>
      <c r="I28" cm="1">
        <f t="array" aca="1" ref="I28" ca="1">INDIRECT(ADDRESS(I$1,I$2,1,1,$A28))</f>
        <v>25.403099999999998</v>
      </c>
      <c r="J28" cm="1">
        <f t="array" aca="1" ref="J28" ca="1">INDIRECT(ADDRESS(J$1,J$2,1,1,$A28))</f>
        <v>25.405200000000001</v>
      </c>
      <c r="K28" s="13" cm="1">
        <f t="array" aca="1" ref="K28" ca="1">INDIRECT(ADDRESS(K$1,K$2,1,1,$A28))</f>
        <v>25.403300000000002</v>
      </c>
      <c r="L28" s="14" cm="1">
        <f t="array" aca="1" ref="L28" ca="1">SQRT(SUMSQ(Y28:AA28-V28:X28))</f>
        <v>72.880826111810777</v>
      </c>
      <c r="M28" s="15" cm="1">
        <f t="array" aca="1" ref="M28" ca="1">SQRT(SUMSQ(AB28:AD28-V28:X28))</f>
        <v>73.712566985419798</v>
      </c>
      <c r="N28" s="15" cm="1">
        <f t="array" aca="1" ref="N28" ca="1">SQRT(SUMSQ(AE28:AG28-V28:X28))</f>
        <v>72.33963814161639</v>
      </c>
      <c r="O28" s="15" cm="1">
        <f t="array" aca="1" ref="O28" ca="1">SQRT(SUMSQ(AH28:AJ28-V28:X28))</f>
        <v>71.965289787577447</v>
      </c>
      <c r="P28" s="15" cm="1">
        <f t="array" aca="1" ref="P28" ca="1">SQRT(SUMSQ(AB28:AD28-Y28:AA28))</f>
        <v>125.93460082328446</v>
      </c>
      <c r="Q28" s="15" cm="1">
        <f t="array" aca="1" ref="Q28" ca="1">SQRT(SUMSQ(AE28:AG28-Y28:AA28))</f>
        <v>145.21754976944075</v>
      </c>
      <c r="R28" s="15" cm="1">
        <f t="array" aca="1" ref="R28" ca="1">SQRT(SUMSQ(AH28:AJ28-Y28:AA28))</f>
        <v>74.987898216378895</v>
      </c>
      <c r="S28" s="15" cm="1">
        <f t="array" aca="1" ref="S28" ca="1">SQRT(SUMSQ(AE28:AG28-AB28:AD28))</f>
        <v>73.98399728833256</v>
      </c>
      <c r="T28" s="15" cm="1">
        <f t="array" aca="1" ref="T28" ca="1">SQRT(SUMSQ(AH28:AJ28-AB28:AD28))</f>
        <v>145.67443581915805</v>
      </c>
      <c r="U28" s="16" cm="1">
        <f t="array" aca="1" ref="U28" ca="1">SQRT(SUMSQ(AH28:AJ28-AE28:AG28))</f>
        <v>123.92696055673277</v>
      </c>
      <c r="V28" cm="1">
        <f t="array" aca="1" ref="V28" ca="1">INDIRECT(ADDRESS(V$1,V$2,1,1,$A28))</f>
        <v>0</v>
      </c>
      <c r="W28" cm="1">
        <f t="array" aca="1" ref="W28" ca="1">INDIRECT(ADDRESS(W$1,W$2,1,1,$A28))</f>
        <v>0</v>
      </c>
      <c r="X28" cm="1">
        <f t="array" aca="1" ref="X28" ca="1">INDIRECT(ADDRESS(X$1,X$2,1,1,$A28))</f>
        <v>0</v>
      </c>
      <c r="Y28" cm="1">
        <f t="array" aca="1" ref="Y28" ca="1">INDIRECT(ADDRESS(Y$1,Y$2,1,1,$A28))</f>
        <v>62.483199999999997</v>
      </c>
      <c r="Z28" cm="1">
        <f t="array" aca="1" ref="Z28" ca="1">INDIRECT(ADDRESS(Z$1,Z$2,1,1,$A28))</f>
        <v>37.516100000000002</v>
      </c>
      <c r="AA28" cm="1">
        <f t="array" aca="1" ref="AA28" ca="1">INDIRECT(ADDRESS(AA$1,AA$2,1,1,$A28))</f>
        <v>8.2299999999999998E-2</v>
      </c>
      <c r="AB28" cm="1">
        <f t="array" aca="1" ref="AB28" ca="1">INDIRECT(ADDRESS(AB$1,AB$2,1,1,$A28))</f>
        <v>-63.4514</v>
      </c>
      <c r="AC28" cm="1">
        <f t="array" aca="1" ref="AC28" ca="1">INDIRECT(ADDRESS(AC$1,AC$2,1,1,$A28))</f>
        <v>37.516100000000002</v>
      </c>
      <c r="AD28" cm="1">
        <f t="array" aca="1" ref="AD28" ca="1">INDIRECT(ADDRESS(AD$1,AD$2,1,1,$A28))</f>
        <v>6.7900000000000002E-2</v>
      </c>
      <c r="AE28" cm="1">
        <f t="array" aca="1" ref="AE28" ca="1">INDIRECT(ADDRESS(AE$1,AE$2,1,1,$A28))</f>
        <v>-62.4786</v>
      </c>
      <c r="AF28" cm="1">
        <f t="array" aca="1" ref="AF28" ca="1">INDIRECT(ADDRESS(AF$1,AF$2,1,1,$A28))</f>
        <v>-36.461500000000001</v>
      </c>
      <c r="AG28" cm="1">
        <f t="array" aca="1" ref="AG28" ca="1">INDIRECT(ADDRESS(AG$1,AG$2,1,1,$A28))</f>
        <v>8.2500000000000004E-2</v>
      </c>
      <c r="AH28" cm="1">
        <f t="array" aca="1" ref="AH28" ca="1">INDIRECT(ADDRESS(AH$1,AH$2,1,1,$A28))</f>
        <v>61.444299999999998</v>
      </c>
      <c r="AI28" cm="1">
        <f t="array" aca="1" ref="AI28" ca="1">INDIRECT(ADDRESS(AI$1,AI$2,1,1,$A28))</f>
        <v>-37.464599999999997</v>
      </c>
      <c r="AJ28" cm="1">
        <f t="array" aca="1" ref="AJ28" ca="1">INDIRECT(ADDRESS(AJ$1,AJ$2,1,1,$A28))</f>
        <v>6.8400000000000002E-2</v>
      </c>
      <c r="AK28" s="15" cm="1">
        <f t="array" aca="1" ref="AK28" ca="1">INDIRECT(ADDRESS(AK$1,AK$2,1,1,$A28))</f>
        <v>72.880799999999994</v>
      </c>
      <c r="AL28" s="15" cm="1">
        <f t="array" aca="1" ref="AL28" ca="1">INDIRECT(ADDRESS(AL$1,AL$2,1,1,$A28))</f>
        <v>73.712599999999995</v>
      </c>
      <c r="AM28" s="15" cm="1">
        <f t="array" aca="1" ref="AM28" ca="1">INDIRECT(ADDRESS(AM$1,AM$2,1,1,$A28))</f>
        <v>72.339699999999993</v>
      </c>
      <c r="AN28" s="15" cm="1">
        <f t="array" aca="1" ref="AN28" ca="1">INDIRECT(ADDRESS(AN$1,AN$2,1,1,$A28))</f>
        <v>71.965299999999999</v>
      </c>
      <c r="AO28" s="15" cm="1">
        <f t="array" aca="1" ref="AO28" ca="1">INDIRECT(ADDRESS(AO$1,AO$2,1,1,$A28))</f>
        <v>125.9346</v>
      </c>
      <c r="AP28" s="15" cm="1">
        <f t="array" aca="1" ref="AP28" ca="1">INDIRECT(ADDRESS(AP$1,AP$2,1,1,$A28))</f>
        <v>145.2176</v>
      </c>
      <c r="AQ28" s="15" cm="1">
        <f t="array" aca="1" ref="AQ28" ca="1">INDIRECT(ADDRESS(AQ$1,AQ$2,1,1,$A28))</f>
        <v>74.987899999999996</v>
      </c>
      <c r="AR28" s="15" cm="1">
        <f t="array" aca="1" ref="AR28" ca="1">INDIRECT(ADDRESS(AR$1,AR$2,1,1,$A28))</f>
        <v>73.983999999999995</v>
      </c>
      <c r="AS28" s="15" cm="1">
        <f t="array" aca="1" ref="AS28" ca="1">INDIRECT(ADDRESS(AS$1,AS$2,1,1,$A28))</f>
        <v>145.67449999999999</v>
      </c>
      <c r="AT28" s="15" cm="1">
        <f t="array" aca="1" ref="AT28" ca="1">INDIRECT(ADDRESS(AT$1,AT$2,1,1,$A28))</f>
        <v>123.92700000000001</v>
      </c>
      <c r="AV28" s="15">
        <f t="shared" ca="1" si="0"/>
        <v>-2.6111810782936118E-5</v>
      </c>
      <c r="AW28" s="15">
        <f t="shared" ca="1" si="1"/>
        <v>3.3014580196777388E-5</v>
      </c>
      <c r="AX28" s="15">
        <f t="shared" ca="1" si="2"/>
        <v>6.1858383602952927E-5</v>
      </c>
      <c r="AY28" s="15">
        <f t="shared" ca="1" si="3"/>
        <v>1.0212422552058342E-5</v>
      </c>
      <c r="AZ28" s="15">
        <f t="shared" ca="1" si="4"/>
        <v>-8.2328445216717228E-7</v>
      </c>
      <c r="BA28" s="15">
        <f t="shared" ca="1" si="5"/>
        <v>5.0230559253350293E-5</v>
      </c>
      <c r="BB28" s="15">
        <f t="shared" ca="1" si="6"/>
        <v>1.7836211014810033E-6</v>
      </c>
      <c r="BC28" s="15">
        <f t="shared" ca="1" si="7"/>
        <v>2.7116674345961655E-6</v>
      </c>
      <c r="BD28" s="15">
        <f t="shared" ca="1" si="8"/>
        <v>6.4180841945926659E-5</v>
      </c>
      <c r="BE28" s="15">
        <f t="shared" ca="1" si="9"/>
        <v>3.9443267240812929E-5</v>
      </c>
      <c r="BG28" s="15" cm="1">
        <f t="array" aca="1" ref="BG28" ca="1">INDIRECT(ADDRESS(BG$1,BG$2,1,1,$A28))</f>
        <v>5.3E-3</v>
      </c>
      <c r="BH28" s="15" cm="1">
        <f t="array" aca="1" ref="BH28" ca="1">INDIRECT(ADDRESS(BH$1,BH$2,1,1,$A28))</f>
        <v>7.7000000000000002E-3</v>
      </c>
      <c r="BI28" s="15" cm="1">
        <f t="array" aca="1" ref="BI28" ca="1">INDIRECT(ADDRESS(BI$1,BI$2,1,1,$A28))</f>
        <v>5.4999999999999997E-3</v>
      </c>
      <c r="BJ28" s="15" cm="1">
        <f t="array" aca="1" ref="BJ28" ca="1">INDIRECT(ADDRESS(BJ$1,BJ$2,1,1,$A28))</f>
        <v>5.5999999999999999E-3</v>
      </c>
      <c r="BK28" s="15" cm="1">
        <f t="array" aca="1" ref="BK28" ca="1">INDIRECT(ADDRESS(BK$1,BK$2,1,1,$A28))</f>
        <v>3.3E-3</v>
      </c>
      <c r="BN28" s="32"/>
    </row>
    <row r="29" spans="1:66" x14ac:dyDescent="0.4">
      <c r="A29" t="s">
        <v>63</v>
      </c>
      <c r="B29" t="str" cm="1">
        <f t="array" aca="1" ref="B29" ca="1">LEFT(INDIRECT(ADDRESS(B$1,B$2,1,1,$A29)),FIND("-",INDIRECT(ADDRESS(B$1,B$2,1,1,$A29)))-1)</f>
        <v>P509</v>
      </c>
      <c r="C29" t="str" cm="1">
        <f t="array" aca="1" ref="C29" ca="1">RIGHT(INDIRECT(ADDRESS(B$1,B$2,1,1,$A29)),LEN(INDIRECT(ADDRESS(B$1,B$2,1,1,$A29)))-FIND("-",INDIRECT(ADDRESS(B$1,B$2,1,1,$A29))))</f>
        <v>east</v>
      </c>
      <c r="D29" s="10" cm="1">
        <f t="array" aca="1" ref="D29" ca="1">DATE(MID(INDIRECT(ADDRESS(D$1,D$2,1,1,$A29)),1,4),MID(INDIRECT(ADDRESS(D$1,D$2,1,1,$A29)),5,2),MID(INDIRECT(ADDRESS(D$1,D$2,1,1,$A29)),7,2))+TIME(MID(INDIRECT(ADDRESS(D$1,D$2,1,1,$A29)),10,2),MID(INDIRECT(ADDRESS(D$1,D$2,1,1,$A29)),12,2),0)</f>
        <v>44537.704861111109</v>
      </c>
      <c r="E29" cm="1">
        <f t="array" aca="1" ref="E29" ca="1">INDIRECT(ADDRESS(E$1,E$2,1,1,$A29))</f>
        <v>0</v>
      </c>
      <c r="F29" s="11" cm="1">
        <f t="array" aca="1" ref="F29" ca="1">VALUE(SUBSTITUTE(INDIRECT(ADDRESS(F$1,F$2,1,1,$A29)),"┬░C",""))</f>
        <v>20.100000000000001</v>
      </c>
      <c r="G29" s="12" cm="1">
        <f t="array" aca="1" ref="G29" ca="1">INDIRECT(ADDRESS(G$1,G$2,1,1,$A29))</f>
        <v>25.399000000000001</v>
      </c>
      <c r="H29" cm="1">
        <f t="array" aca="1" ref="H29" ca="1">INDIRECT(ADDRESS(H$1,H$2,1,1,$A29))</f>
        <v>25.403500000000001</v>
      </c>
      <c r="I29" cm="1">
        <f t="array" aca="1" ref="I29" ca="1">INDIRECT(ADDRESS(I$1,I$2,1,1,$A29))</f>
        <v>25.403700000000001</v>
      </c>
      <c r="J29" cm="1">
        <f t="array" aca="1" ref="J29" ca="1">INDIRECT(ADDRESS(J$1,J$2,1,1,$A29))</f>
        <v>25.405100000000001</v>
      </c>
      <c r="K29" s="13" cm="1">
        <f t="array" aca="1" ref="K29" ca="1">INDIRECT(ADDRESS(K$1,K$2,1,1,$A29))</f>
        <v>25.402899999999999</v>
      </c>
      <c r="L29" s="14" cm="1">
        <f t="array" aca="1" ref="L29" ca="1">SQRT(SUMSQ(Y29:AA29-V29:X29))</f>
        <v>72.881221025103585</v>
      </c>
      <c r="M29" s="15" cm="1">
        <f t="array" aca="1" ref="M29" ca="1">SQRT(SUMSQ(AB29:AD29-V29:X29))</f>
        <v>73.712364147000471</v>
      </c>
      <c r="N29" s="15" cm="1">
        <f t="array" aca="1" ref="N29" ca="1">SQRT(SUMSQ(AE29:AG29-V29:X29))</f>
        <v>72.339581337674332</v>
      </c>
      <c r="O29" s="15" cm="1">
        <f t="array" aca="1" ref="O29" ca="1">SQRT(SUMSQ(AH29:AJ29-V29:X29))</f>
        <v>71.964974050228079</v>
      </c>
      <c r="P29" s="15" cm="1">
        <f t="array" aca="1" ref="P29" ca="1">SQRT(SUMSQ(AB29:AD29-Y29:AA29))</f>
        <v>125.93530080056981</v>
      </c>
      <c r="Q29" s="15" cm="1">
        <f t="array" aca="1" ref="Q29" ca="1">SQRT(SUMSQ(AE29:AG29-Y29:AA29))</f>
        <v>145.21789397536378</v>
      </c>
      <c r="R29" s="15" cm="1">
        <f t="array" aca="1" ref="R29" ca="1">SQRT(SUMSQ(AH29:AJ29-Y29:AA29))</f>
        <v>74.986403866434344</v>
      </c>
      <c r="S29" s="15" cm="1">
        <f t="array" aca="1" ref="S29" ca="1">SQRT(SUMSQ(AE29:AG29-AB29:AD29))</f>
        <v>73.984001194379857</v>
      </c>
      <c r="T29" s="15" cm="1">
        <f t="array" aca="1" ref="T29" ca="1">SQRT(SUMSQ(AH29:AJ29-AB29:AD29))</f>
        <v>145.67392096353416</v>
      </c>
      <c r="U29" s="16" cm="1">
        <f t="array" aca="1" ref="U29" ca="1">SQRT(SUMSQ(AH29:AJ29-AE29:AG29))</f>
        <v>123.92694840179031</v>
      </c>
      <c r="V29" cm="1">
        <f t="array" aca="1" ref="V29" ca="1">INDIRECT(ADDRESS(V$1,V$2,1,1,$A29))</f>
        <v>0</v>
      </c>
      <c r="W29" cm="1">
        <f t="array" aca="1" ref="W29" ca="1">INDIRECT(ADDRESS(W$1,W$2,1,1,$A29))</f>
        <v>0</v>
      </c>
      <c r="X29" cm="1">
        <f t="array" aca="1" ref="X29" ca="1">INDIRECT(ADDRESS(X$1,X$2,1,1,$A29))</f>
        <v>0</v>
      </c>
      <c r="Y29" cm="1">
        <f t="array" aca="1" ref="Y29" ca="1">INDIRECT(ADDRESS(Y$1,Y$2,1,1,$A29))</f>
        <v>62.483899999999998</v>
      </c>
      <c r="Z29" cm="1">
        <f t="array" aca="1" ref="Z29" ca="1">INDIRECT(ADDRESS(Z$1,Z$2,1,1,$A29))</f>
        <v>37.515700000000002</v>
      </c>
      <c r="AA29" cm="1">
        <f t="array" aca="1" ref="AA29" ca="1">INDIRECT(ADDRESS(AA$1,AA$2,1,1,$A29))</f>
        <v>8.2900000000000001E-2</v>
      </c>
      <c r="AB29" cm="1">
        <f t="array" aca="1" ref="AB29" ca="1">INDIRECT(ADDRESS(AB$1,AB$2,1,1,$A29))</f>
        <v>-63.4514</v>
      </c>
      <c r="AC29" cm="1">
        <f t="array" aca="1" ref="AC29" ca="1">INDIRECT(ADDRESS(AC$1,AC$2,1,1,$A29))</f>
        <v>37.515700000000002</v>
      </c>
      <c r="AD29" cm="1">
        <f t="array" aca="1" ref="AD29" ca="1">INDIRECT(ADDRESS(AD$1,AD$2,1,1,$A29))</f>
        <v>6.8699999999999997E-2</v>
      </c>
      <c r="AE29" cm="1">
        <f t="array" aca="1" ref="AE29" ca="1">INDIRECT(ADDRESS(AE$1,AE$2,1,1,$A29))</f>
        <v>-62.478299999999997</v>
      </c>
      <c r="AF29" cm="1">
        <f t="array" aca="1" ref="AF29" ca="1">INDIRECT(ADDRESS(AF$1,AF$2,1,1,$A29))</f>
        <v>-36.4619</v>
      </c>
      <c r="AG29" cm="1">
        <f t="array" aca="1" ref="AG29" ca="1">INDIRECT(ADDRESS(AG$1,AG$2,1,1,$A29))</f>
        <v>8.3099999999999993E-2</v>
      </c>
      <c r="AH29" cm="1">
        <f t="array" aca="1" ref="AH29" ca="1">INDIRECT(ADDRESS(AH$1,AH$2,1,1,$A29))</f>
        <v>61.444600000000001</v>
      </c>
      <c r="AI29" cm="1">
        <f t="array" aca="1" ref="AI29" ca="1">INDIRECT(ADDRESS(AI$1,AI$2,1,1,$A29))</f>
        <v>-37.463500000000003</v>
      </c>
      <c r="AJ29" cm="1">
        <f t="array" aca="1" ref="AJ29" ca="1">INDIRECT(ADDRESS(AJ$1,AJ$2,1,1,$A29))</f>
        <v>6.9199999999999998E-2</v>
      </c>
      <c r="AK29" s="15" cm="1">
        <f t="array" aca="1" ref="AK29" ca="1">INDIRECT(ADDRESS(AK$1,AK$2,1,1,$A29))</f>
        <v>72.881200000000007</v>
      </c>
      <c r="AL29" s="15" cm="1">
        <f t="array" aca="1" ref="AL29" ca="1">INDIRECT(ADDRESS(AL$1,AL$2,1,1,$A29))</f>
        <v>73.712299999999999</v>
      </c>
      <c r="AM29" s="15" cm="1">
        <f t="array" aca="1" ref="AM29" ca="1">INDIRECT(ADDRESS(AM$1,AM$2,1,1,$A29))</f>
        <v>72.339600000000004</v>
      </c>
      <c r="AN29" s="15" cm="1">
        <f t="array" aca="1" ref="AN29" ca="1">INDIRECT(ADDRESS(AN$1,AN$2,1,1,$A29))</f>
        <v>71.965000000000003</v>
      </c>
      <c r="AO29" s="15" cm="1">
        <f t="array" aca="1" ref="AO29" ca="1">INDIRECT(ADDRESS(AO$1,AO$2,1,1,$A29))</f>
        <v>125.93519999999999</v>
      </c>
      <c r="AP29" s="15" cm="1">
        <f t="array" aca="1" ref="AP29" ca="1">INDIRECT(ADDRESS(AP$1,AP$2,1,1,$A29))</f>
        <v>145.21789999999999</v>
      </c>
      <c r="AQ29" s="15" cm="1">
        <f t="array" aca="1" ref="AQ29" ca="1">INDIRECT(ADDRESS(AQ$1,AQ$2,1,1,$A29))</f>
        <v>74.986400000000003</v>
      </c>
      <c r="AR29" s="15" cm="1">
        <f t="array" aca="1" ref="AR29" ca="1">INDIRECT(ADDRESS(AR$1,AR$2,1,1,$A29))</f>
        <v>73.983999999999995</v>
      </c>
      <c r="AS29" s="15" cm="1">
        <f t="array" aca="1" ref="AS29" ca="1">INDIRECT(ADDRESS(AS$1,AS$2,1,1,$A29))</f>
        <v>145.6739</v>
      </c>
      <c r="AT29" s="15" cm="1">
        <f t="array" aca="1" ref="AT29" ca="1">INDIRECT(ADDRESS(AT$1,AT$2,1,1,$A29))</f>
        <v>123.92700000000001</v>
      </c>
      <c r="AV29" s="15">
        <f t="shared" ca="1" si="0"/>
        <v>-2.1025103578153903E-5</v>
      </c>
      <c r="AW29" s="15">
        <f t="shared" ca="1" si="1"/>
        <v>-6.4147000472303262E-5</v>
      </c>
      <c r="AX29" s="15">
        <f t="shared" ca="1" si="2"/>
        <v>1.8662325672380575E-5</v>
      </c>
      <c r="AY29" s="15">
        <f t="shared" ca="1" si="3"/>
        <v>2.5949771924160814E-5</v>
      </c>
      <c r="AZ29" s="15">
        <f t="shared" ca="1" si="4"/>
        <v>-1.0080056981109919E-4</v>
      </c>
      <c r="BA29" s="15">
        <f t="shared" ca="1" si="5"/>
        <v>6.0246362068028247E-6</v>
      </c>
      <c r="BB29" s="15">
        <f t="shared" ca="1" si="6"/>
        <v>-3.8664343406935586E-6</v>
      </c>
      <c r="BC29" s="15">
        <f t="shared" ca="1" si="7"/>
        <v>-1.1943798625679847E-6</v>
      </c>
      <c r="BD29" s="15">
        <f t="shared" ca="1" si="8"/>
        <v>-2.0963534154816443E-5</v>
      </c>
      <c r="BE29" s="15">
        <f t="shared" ca="1" si="9"/>
        <v>5.1598209694247998E-5</v>
      </c>
      <c r="BG29" s="15" cm="1">
        <f t="array" aca="1" ref="BG29" ca="1">INDIRECT(ADDRESS(BG$1,BG$2,1,1,$A29))</f>
        <v>5.1000000000000004E-3</v>
      </c>
      <c r="BH29" s="15" cm="1">
        <f t="array" aca="1" ref="BH29" ca="1">INDIRECT(ADDRESS(BH$1,BH$2,1,1,$A29))</f>
        <v>9.7000000000000003E-3</v>
      </c>
      <c r="BI29" s="15" cm="1">
        <f t="array" aca="1" ref="BI29" ca="1">INDIRECT(ADDRESS(BI$1,BI$2,1,1,$A29))</f>
        <v>5.4999999999999997E-3</v>
      </c>
      <c r="BJ29" s="15" cm="1">
        <f t="array" aca="1" ref="BJ29" ca="1">INDIRECT(ADDRESS(BJ$1,BJ$2,1,1,$A29))</f>
        <v>5.0000000000000001E-3</v>
      </c>
      <c r="BK29" s="15" cm="1">
        <f t="array" aca="1" ref="BK29" ca="1">INDIRECT(ADDRESS(BK$1,BK$2,1,1,$A29))</f>
        <v>4.7000000000000002E-3</v>
      </c>
      <c r="BN29" s="32"/>
    </row>
    <row r="30" spans="1:66" x14ac:dyDescent="0.4">
      <c r="A30" t="s">
        <v>66</v>
      </c>
      <c r="B30" t="str" cm="1">
        <f t="array" aca="1" ref="B30" ca="1">LEFT(INDIRECT(ADDRESS(B$1,B$2,1,1,$A30)),FIND("-",INDIRECT(ADDRESS(B$1,B$2,1,1,$A30)))-1)</f>
        <v>P509</v>
      </c>
      <c r="C30" t="str" cm="1">
        <f t="array" aca="1" ref="C30" ca="1">RIGHT(INDIRECT(ADDRESS(B$1,B$2,1,1,$A30)),LEN(INDIRECT(ADDRESS(B$1,B$2,1,1,$A30)))-FIND("-",INDIRECT(ADDRESS(B$1,B$2,1,1,$A30))))</f>
        <v>east</v>
      </c>
      <c r="D30" s="10" cm="1">
        <f t="array" aca="1" ref="D30" ca="1">DATE(MID(INDIRECT(ADDRESS(D$1,D$2,1,1,$A30)),1,4),MID(INDIRECT(ADDRESS(D$1,D$2,1,1,$A30)),5,2),MID(INDIRECT(ADDRESS(D$1,D$2,1,1,$A30)),7,2))+TIME(MID(INDIRECT(ADDRESS(D$1,D$2,1,1,$A30)),10,2),MID(INDIRECT(ADDRESS(D$1,D$2,1,1,$A30)),12,2),0)</f>
        <v>44537.706944444442</v>
      </c>
      <c r="E30" cm="1">
        <f t="array" aca="1" ref="E30" ca="1">INDIRECT(ADDRESS(E$1,E$2,1,1,$A30))</f>
        <v>0</v>
      </c>
      <c r="F30" s="11" cm="1">
        <f t="array" aca="1" ref="F30" ca="1">VALUE(SUBSTITUTE(INDIRECT(ADDRESS(F$1,F$2,1,1,$A30)),"┬░C",""))</f>
        <v>20.100000000000001</v>
      </c>
      <c r="G30" s="12" cm="1">
        <f t="array" aca="1" ref="G30" ca="1">INDIRECT(ADDRESS(G$1,G$2,1,1,$A30))</f>
        <v>25.398900000000001</v>
      </c>
      <c r="H30" cm="1">
        <f t="array" aca="1" ref="H30" ca="1">INDIRECT(ADDRESS(H$1,H$2,1,1,$A30))</f>
        <v>25.404</v>
      </c>
      <c r="I30" cm="1">
        <f t="array" aca="1" ref="I30" ca="1">INDIRECT(ADDRESS(I$1,I$2,1,1,$A30))</f>
        <v>25.403099999999998</v>
      </c>
      <c r="J30" cm="1">
        <f t="array" aca="1" ref="J30" ca="1">INDIRECT(ADDRESS(J$1,J$2,1,1,$A30))</f>
        <v>25.404299999999999</v>
      </c>
      <c r="K30" s="13" cm="1">
        <f t="array" aca="1" ref="K30" ca="1">INDIRECT(ADDRESS(K$1,K$2,1,1,$A30))</f>
        <v>25.4026</v>
      </c>
      <c r="L30" s="14" cm="1">
        <f t="array" aca="1" ref="L30" ca="1">SQRT(SUMSQ(Y30:AA30-V30:X30))</f>
        <v>72.880535221141173</v>
      </c>
      <c r="M30" s="15" cm="1">
        <f t="array" aca="1" ref="M30" ca="1">SQRT(SUMSQ(AB30:AD30-V30:X30))</f>
        <v>73.712876767156502</v>
      </c>
      <c r="N30" s="15" cm="1">
        <f t="array" aca="1" ref="N30" ca="1">SQRT(SUMSQ(AE30:AG30-V30:X30))</f>
        <v>72.34040147980933</v>
      </c>
      <c r="O30" s="15" cm="1">
        <f t="array" aca="1" ref="O30" ca="1">SQRT(SUMSQ(AH30:AJ30-V30:X30))</f>
        <v>71.964484555994702</v>
      </c>
      <c r="P30" s="15" cm="1">
        <f t="array" aca="1" ref="P30" ca="1">SQRT(SUMSQ(AB30:AD30-Y30:AA30))</f>
        <v>125.9345008005749</v>
      </c>
      <c r="Q30" s="15" cm="1">
        <f t="array" aca="1" ref="Q30" ca="1">SQRT(SUMSQ(AE30:AG30-Y30:AA30))</f>
        <v>145.21801513593277</v>
      </c>
      <c r="R30" s="15" cm="1">
        <f t="array" aca="1" ref="R30" ca="1">SQRT(SUMSQ(AH30:AJ30-Y30:AA30))</f>
        <v>74.987602365257686</v>
      </c>
      <c r="S30" s="15" cm="1">
        <f t="array" aca="1" ref="S30" ca="1">SQRT(SUMSQ(AE30:AG30-AB30:AD30))</f>
        <v>73.983888037531514</v>
      </c>
      <c r="T30" s="15" cm="1">
        <f t="array" aca="1" ref="T30" ca="1">SQRT(SUMSQ(AH30:AJ30-AB30:AD30))</f>
        <v>145.67393846017893</v>
      </c>
      <c r="U30" s="16" cm="1">
        <f t="array" aca="1" ref="U30" ca="1">SQRT(SUMSQ(AH30:AJ30-AE30:AG30))</f>
        <v>123.92725889444179</v>
      </c>
      <c r="V30" cm="1">
        <f t="array" aca="1" ref="V30" ca="1">INDIRECT(ADDRESS(V$1,V$2,1,1,$A30))</f>
        <v>0</v>
      </c>
      <c r="W30" cm="1">
        <f t="array" aca="1" ref="W30" ca="1">INDIRECT(ADDRESS(W$1,W$2,1,1,$A30))</f>
        <v>0</v>
      </c>
      <c r="X30" cm="1">
        <f t="array" aca="1" ref="X30" ca="1">INDIRECT(ADDRESS(X$1,X$2,1,1,$A30))</f>
        <v>0</v>
      </c>
      <c r="Y30" cm="1">
        <f t="array" aca="1" ref="Y30" ca="1">INDIRECT(ADDRESS(Y$1,Y$2,1,1,$A30))</f>
        <v>62.482799999999997</v>
      </c>
      <c r="Z30" cm="1">
        <f t="array" aca="1" ref="Z30" ca="1">INDIRECT(ADDRESS(Z$1,Z$2,1,1,$A30))</f>
        <v>37.516199999999998</v>
      </c>
      <c r="AA30" cm="1">
        <f t="array" aca="1" ref="AA30" ca="1">INDIRECT(ADDRESS(AA$1,AA$2,1,1,$A30))</f>
        <v>8.2799999999999999E-2</v>
      </c>
      <c r="AB30" cm="1">
        <f t="array" aca="1" ref="AB30" ca="1">INDIRECT(ADDRESS(AB$1,AB$2,1,1,$A30))</f>
        <v>-63.451700000000002</v>
      </c>
      <c r="AC30" cm="1">
        <f t="array" aca="1" ref="AC30" ca="1">INDIRECT(ADDRESS(AC$1,AC$2,1,1,$A30))</f>
        <v>37.516199999999998</v>
      </c>
      <c r="AD30" cm="1">
        <f t="array" aca="1" ref="AD30" ca="1">INDIRECT(ADDRESS(AD$1,AD$2,1,1,$A30))</f>
        <v>6.8599999999999994E-2</v>
      </c>
      <c r="AE30" cm="1">
        <f t="array" aca="1" ref="AE30" ca="1">INDIRECT(ADDRESS(AE$1,AE$2,1,1,$A30))</f>
        <v>-62.479599999999998</v>
      </c>
      <c r="AF30" cm="1">
        <f t="array" aca="1" ref="AF30" ca="1">INDIRECT(ADDRESS(AF$1,AF$2,1,1,$A30))</f>
        <v>-36.461300000000001</v>
      </c>
      <c r="AG30" cm="1">
        <f t="array" aca="1" ref="AG30" ca="1">INDIRECT(ADDRESS(AG$1,AG$2,1,1,$A30))</f>
        <v>8.2900000000000001E-2</v>
      </c>
      <c r="AH30" cm="1">
        <f t="array" aca="1" ref="AH30" ca="1">INDIRECT(ADDRESS(AH$1,AH$2,1,1,$A30))</f>
        <v>61.443600000000004</v>
      </c>
      <c r="AI30" cm="1">
        <f t="array" aca="1" ref="AI30" ca="1">INDIRECT(ADDRESS(AI$1,AI$2,1,1,$A30))</f>
        <v>-37.464199999999998</v>
      </c>
      <c r="AJ30" cm="1">
        <f t="array" aca="1" ref="AJ30" ca="1">INDIRECT(ADDRESS(AJ$1,AJ$2,1,1,$A30))</f>
        <v>6.9099999999999995E-2</v>
      </c>
      <c r="AK30" s="15" cm="1">
        <f t="array" aca="1" ref="AK30" ca="1">INDIRECT(ADDRESS(AK$1,AK$2,1,1,$A30))</f>
        <v>72.880499999999998</v>
      </c>
      <c r="AL30" s="15" cm="1">
        <f t="array" aca="1" ref="AL30" ca="1">INDIRECT(ADDRESS(AL$1,AL$2,1,1,$A30))</f>
        <v>73.712900000000005</v>
      </c>
      <c r="AM30" s="15" cm="1">
        <f t="array" aca="1" ref="AM30" ca="1">INDIRECT(ADDRESS(AM$1,AM$2,1,1,$A30))</f>
        <v>72.340400000000002</v>
      </c>
      <c r="AN30" s="15" cm="1">
        <f t="array" aca="1" ref="AN30" ca="1">INDIRECT(ADDRESS(AN$1,AN$2,1,1,$A30))</f>
        <v>71.964500000000001</v>
      </c>
      <c r="AO30" s="15" cm="1">
        <f t="array" aca="1" ref="AO30" ca="1">INDIRECT(ADDRESS(AO$1,AO$2,1,1,$A30))</f>
        <v>125.9345</v>
      </c>
      <c r="AP30" s="15" cm="1">
        <f t="array" aca="1" ref="AP30" ca="1">INDIRECT(ADDRESS(AP$1,AP$2,1,1,$A30))</f>
        <v>145.21799999999999</v>
      </c>
      <c r="AQ30" s="15" cm="1">
        <f t="array" aca="1" ref="AQ30" ca="1">INDIRECT(ADDRESS(AQ$1,AQ$2,1,1,$A30))</f>
        <v>74.9876</v>
      </c>
      <c r="AR30" s="15" cm="1">
        <f t="array" aca="1" ref="AR30" ca="1">INDIRECT(ADDRESS(AR$1,AR$2,1,1,$A30))</f>
        <v>73.983900000000006</v>
      </c>
      <c r="AS30" s="15" cm="1">
        <f t="array" aca="1" ref="AS30" ca="1">INDIRECT(ADDRESS(AS$1,AS$2,1,1,$A30))</f>
        <v>145.67400000000001</v>
      </c>
      <c r="AT30" s="15" cm="1">
        <f t="array" aca="1" ref="AT30" ca="1">INDIRECT(ADDRESS(AT$1,AT$2,1,1,$A30))</f>
        <v>123.9273</v>
      </c>
      <c r="AV30" s="15">
        <f t="shared" ca="1" si="0"/>
        <v>-3.5221141175156845E-5</v>
      </c>
      <c r="AW30" s="15">
        <f t="shared" ca="1" si="1"/>
        <v>2.3232843503251388E-5</v>
      </c>
      <c r="AX30" s="15">
        <f t="shared" ca="1" si="2"/>
        <v>-1.4798093275203428E-6</v>
      </c>
      <c r="AY30" s="15">
        <f t="shared" ca="1" si="3"/>
        <v>1.5444005299514174E-5</v>
      </c>
      <c r="AZ30" s="15">
        <f t="shared" ca="1" si="4"/>
        <v>-8.0057489526552672E-7</v>
      </c>
      <c r="BA30" s="15">
        <f t="shared" ca="1" si="5"/>
        <v>-1.5135932784460238E-5</v>
      </c>
      <c r="BB30" s="15">
        <f t="shared" ca="1" si="6"/>
        <v>-2.3652576857102758E-6</v>
      </c>
      <c r="BC30" s="15">
        <f t="shared" ca="1" si="7"/>
        <v>1.1962468491333311E-5</v>
      </c>
      <c r="BD30" s="15">
        <f t="shared" ca="1" si="8"/>
        <v>6.1539821075484724E-5</v>
      </c>
      <c r="BE30" s="15">
        <f t="shared" ca="1" si="9"/>
        <v>4.11055582105746E-5</v>
      </c>
      <c r="BG30" s="15" cm="1">
        <f t="array" aca="1" ref="BG30" ca="1">INDIRECT(ADDRESS(BG$1,BG$2,1,1,$A30))</f>
        <v>5.8999999999999999E-3</v>
      </c>
      <c r="BH30" s="15" cm="1">
        <f t="array" aca="1" ref="BH30" ca="1">INDIRECT(ADDRESS(BH$1,BH$2,1,1,$A30))</f>
        <v>8.0999999999999996E-3</v>
      </c>
      <c r="BI30" s="15" cm="1">
        <f t="array" aca="1" ref="BI30" ca="1">INDIRECT(ADDRESS(BI$1,BI$2,1,1,$A30))</f>
        <v>4.7999999999999996E-3</v>
      </c>
      <c r="BJ30" s="15" cm="1">
        <f t="array" aca="1" ref="BJ30" ca="1">INDIRECT(ADDRESS(BJ$1,BJ$2,1,1,$A30))</f>
        <v>4.4999999999999997E-3</v>
      </c>
      <c r="BK30" s="15" cm="1">
        <f t="array" aca="1" ref="BK30" ca="1">INDIRECT(ADDRESS(BK$1,BK$2,1,1,$A30))</f>
        <v>5.3E-3</v>
      </c>
      <c r="BN30" s="32"/>
    </row>
    <row r="31" spans="1:66" x14ac:dyDescent="0.4">
      <c r="A31" t="s">
        <v>70</v>
      </c>
      <c r="B31" t="str" cm="1">
        <f t="array" aca="1" ref="B31" ca="1">LEFT(INDIRECT(ADDRESS(B$1,B$2,1,1,$A31)),FIND("-",INDIRECT(ADDRESS(B$1,B$2,1,1,$A31)))-1)</f>
        <v>P509</v>
      </c>
      <c r="C31" t="str" cm="1">
        <f t="array" aca="1" ref="C31" ca="1">RIGHT(INDIRECT(ADDRESS(B$1,B$2,1,1,$A31)),LEN(INDIRECT(ADDRESS(B$1,B$2,1,1,$A31)))-FIND("-",INDIRECT(ADDRESS(B$1,B$2,1,1,$A31))))</f>
        <v>south</v>
      </c>
      <c r="D31" s="10" cm="1">
        <f t="array" aca="1" ref="D31" ca="1">DATE(MID(INDIRECT(ADDRESS(D$1,D$2,1,1,$A31)),1,4),MID(INDIRECT(ADDRESS(D$1,D$2,1,1,$A31)),5,2),MID(INDIRECT(ADDRESS(D$1,D$2,1,1,$A31)),7,2))+TIME(MID(INDIRECT(ADDRESS(D$1,D$2,1,1,$A31)),10,2),MID(INDIRECT(ADDRESS(D$1,D$2,1,1,$A31)),12,2),0)</f>
        <v>44537.710416666669</v>
      </c>
      <c r="E31" cm="1">
        <f t="array" aca="1" ref="E31" ca="1">INDIRECT(ADDRESS(E$1,E$2,1,1,$A31))</f>
        <v>0</v>
      </c>
      <c r="F31" s="11" cm="1">
        <f t="array" aca="1" ref="F31" ca="1">VALUE(SUBSTITUTE(INDIRECT(ADDRESS(F$1,F$2,1,1,$A31)),"┬░C",""))</f>
        <v>20.100000000000001</v>
      </c>
      <c r="G31" s="12" cm="1">
        <f t="array" aca="1" ref="G31" ca="1">INDIRECT(ADDRESS(G$1,G$2,1,1,$A31))</f>
        <v>25.3994</v>
      </c>
      <c r="H31" cm="1">
        <f t="array" aca="1" ref="H31" ca="1">INDIRECT(ADDRESS(H$1,H$2,1,1,$A31))</f>
        <v>25.403300000000002</v>
      </c>
      <c r="I31" cm="1">
        <f t="array" aca="1" ref="I31" ca="1">INDIRECT(ADDRESS(I$1,I$2,1,1,$A31))</f>
        <v>25.403099999999998</v>
      </c>
      <c r="J31" cm="1">
        <f t="array" aca="1" ref="J31" ca="1">INDIRECT(ADDRESS(J$1,J$2,1,1,$A31))</f>
        <v>25.404800000000002</v>
      </c>
      <c r="K31" s="13" cm="1">
        <f t="array" aca="1" ref="K31" ca="1">INDIRECT(ADDRESS(K$1,K$2,1,1,$A31))</f>
        <v>25.4025</v>
      </c>
      <c r="L31" s="14" cm="1">
        <f t="array" aca="1" ref="L31" ca="1">SQRT(SUMSQ(Y31:AA31-V31:X31))</f>
        <v>72.879626458771043</v>
      </c>
      <c r="M31" s="15" cm="1">
        <f t="array" aca="1" ref="M31" ca="1">SQRT(SUMSQ(AB31:AD31-V31:X31))</f>
        <v>73.711969120150357</v>
      </c>
      <c r="N31" s="15" cm="1">
        <f t="array" aca="1" ref="N31" ca="1">SQRT(SUMSQ(AE31:AG31-V31:X31))</f>
        <v>72.339682260430195</v>
      </c>
      <c r="O31" s="15" cm="1">
        <f t="array" aca="1" ref="O31" ca="1">SQRT(SUMSQ(AH31:AJ31-V31:X31))</f>
        <v>71.964682665388025</v>
      </c>
      <c r="P31" s="15" cm="1">
        <f t="array" aca="1" ref="P31" ca="1">SQRT(SUMSQ(AB31:AD31-Y31:AA31))</f>
        <v>125.93310078934768</v>
      </c>
      <c r="Q31" s="15" cm="1">
        <f t="array" aca="1" ref="Q31" ca="1">SQRT(SUMSQ(AE31:AG31-Y31:AA31))</f>
        <v>145.216395994013</v>
      </c>
      <c r="R31" s="15" cm="1">
        <f t="array" aca="1" ref="R31" ca="1">SQRT(SUMSQ(AH31:AJ31-Y31:AA31))</f>
        <v>74.988199518057499</v>
      </c>
      <c r="S31" s="15" cm="1">
        <f t="array" aca="1" ref="S31" ca="1">SQRT(SUMSQ(AE31:AG31-AB31:AD31))</f>
        <v>73.984095906282448</v>
      </c>
      <c r="T31" s="15" cm="1">
        <f t="array" aca="1" ref="T31" ca="1">SQRT(SUMSQ(AH31:AJ31-AB31:AD31))</f>
        <v>145.67321845850734</v>
      </c>
      <c r="U31" s="16" cm="1">
        <f t="array" aca="1" ref="U31" ca="1">SQRT(SUMSQ(AH31:AJ31-AE31:AG31))</f>
        <v>123.92546219114941</v>
      </c>
      <c r="V31" cm="1">
        <f t="array" aca="1" ref="V31" ca="1">INDIRECT(ADDRESS(V$1,V$2,1,1,$A31))</f>
        <v>0</v>
      </c>
      <c r="W31" cm="1">
        <f t="array" aca="1" ref="W31" ca="1">INDIRECT(ADDRESS(W$1,W$2,1,1,$A31))</f>
        <v>0</v>
      </c>
      <c r="X31" cm="1">
        <f t="array" aca="1" ref="X31" ca="1">INDIRECT(ADDRESS(X$1,X$2,1,1,$A31))</f>
        <v>0</v>
      </c>
      <c r="Y31" cm="1">
        <f t="array" aca="1" ref="Y31" ca="1">INDIRECT(ADDRESS(Y$1,Y$2,1,1,$A31))</f>
        <v>62.482100000000003</v>
      </c>
      <c r="Z31" cm="1">
        <f t="array" aca="1" ref="Z31" ca="1">INDIRECT(ADDRESS(Z$1,Z$2,1,1,$A31))</f>
        <v>37.515599999999999</v>
      </c>
      <c r="AA31" cm="1">
        <f t="array" aca="1" ref="AA31" ca="1">INDIRECT(ADDRESS(AA$1,AA$2,1,1,$A31))</f>
        <v>8.3000000000000004E-2</v>
      </c>
      <c r="AB31" cm="1">
        <f t="array" aca="1" ref="AB31" ca="1">INDIRECT(ADDRESS(AB$1,AB$2,1,1,$A31))</f>
        <v>-63.451000000000001</v>
      </c>
      <c r="AC31" cm="1">
        <f t="array" aca="1" ref="AC31" ca="1">INDIRECT(ADDRESS(AC$1,AC$2,1,1,$A31))</f>
        <v>37.515599999999999</v>
      </c>
      <c r="AD31" cm="1">
        <f t="array" aca="1" ref="AD31" ca="1">INDIRECT(ADDRESS(AD$1,AD$2,1,1,$A31))</f>
        <v>6.8900000000000003E-2</v>
      </c>
      <c r="AE31" cm="1">
        <f t="array" aca="1" ref="AE31" ca="1">INDIRECT(ADDRESS(AE$1,AE$2,1,1,$A31))</f>
        <v>-62.478299999999997</v>
      </c>
      <c r="AF31" cm="1">
        <f t="array" aca="1" ref="AF31" ca="1">INDIRECT(ADDRESS(AF$1,AF$2,1,1,$A31))</f>
        <v>-36.4621</v>
      </c>
      <c r="AG31" cm="1">
        <f t="array" aca="1" ref="AG31" ca="1">INDIRECT(ADDRESS(AG$1,AG$2,1,1,$A31))</f>
        <v>8.3199999999999996E-2</v>
      </c>
      <c r="AH31" cm="1">
        <f t="array" aca="1" ref="AH31" ca="1">INDIRECT(ADDRESS(AH$1,AH$2,1,1,$A31))</f>
        <v>61.443100000000001</v>
      </c>
      <c r="AI31" cm="1">
        <f t="array" aca="1" ref="AI31" ca="1">INDIRECT(ADDRESS(AI$1,AI$2,1,1,$A31))</f>
        <v>-37.465400000000002</v>
      </c>
      <c r="AJ31" cm="1">
        <f t="array" aca="1" ref="AJ31" ca="1">INDIRECT(ADDRESS(AJ$1,AJ$2,1,1,$A31))</f>
        <v>6.9400000000000003E-2</v>
      </c>
      <c r="AK31" s="15" cm="1">
        <f t="array" aca="1" ref="AK31" ca="1">INDIRECT(ADDRESS(AK$1,AK$2,1,1,$A31))</f>
        <v>72.879599999999996</v>
      </c>
      <c r="AL31" s="15" cm="1">
        <f t="array" aca="1" ref="AL31" ca="1">INDIRECT(ADDRESS(AL$1,AL$2,1,1,$A31))</f>
        <v>73.712000000000003</v>
      </c>
      <c r="AM31" s="15" cm="1">
        <f t="array" aca="1" ref="AM31" ca="1">INDIRECT(ADDRESS(AM$1,AM$2,1,1,$A31))</f>
        <v>72.339699999999993</v>
      </c>
      <c r="AN31" s="15" cm="1">
        <f t="array" aca="1" ref="AN31" ca="1">INDIRECT(ADDRESS(AN$1,AN$2,1,1,$A31))</f>
        <v>71.964699999999993</v>
      </c>
      <c r="AO31" s="15" cm="1">
        <f t="array" aca="1" ref="AO31" ca="1">INDIRECT(ADDRESS(AO$1,AO$2,1,1,$A31))</f>
        <v>125.9332</v>
      </c>
      <c r="AP31" s="15" cm="1">
        <f t="array" aca="1" ref="AP31" ca="1">INDIRECT(ADDRESS(AP$1,AP$2,1,1,$A31))</f>
        <v>145.21639999999999</v>
      </c>
      <c r="AQ31" s="15" cm="1">
        <f t="array" aca="1" ref="AQ31" ca="1">INDIRECT(ADDRESS(AQ$1,AQ$2,1,1,$A31))</f>
        <v>74.988200000000006</v>
      </c>
      <c r="AR31" s="15" cm="1">
        <f t="array" aca="1" ref="AR31" ca="1">INDIRECT(ADDRESS(AR$1,AR$2,1,1,$A31))</f>
        <v>73.984099999999998</v>
      </c>
      <c r="AS31" s="15" cm="1">
        <f t="array" aca="1" ref="AS31" ca="1">INDIRECT(ADDRESS(AS$1,AS$2,1,1,$A31))</f>
        <v>145.67330000000001</v>
      </c>
      <c r="AT31" s="15" cm="1">
        <f t="array" aca="1" ref="AT31" ca="1">INDIRECT(ADDRESS(AT$1,AT$2,1,1,$A31))</f>
        <v>123.9254</v>
      </c>
      <c r="AV31" s="15">
        <f t="shared" ca="1" si="0"/>
        <v>-2.645877104612282E-5</v>
      </c>
      <c r="AW31" s="15">
        <f t="shared" ca="1" si="1"/>
        <v>3.0879849646225921E-5</v>
      </c>
      <c r="AX31" s="15">
        <f t="shared" ca="1" si="2"/>
        <v>1.7739569798891353E-5</v>
      </c>
      <c r="AY31" s="15">
        <f t="shared" ca="1" si="3"/>
        <v>1.7334611968067293E-5</v>
      </c>
      <c r="AZ31" s="15">
        <f t="shared" ca="1" si="4"/>
        <v>9.9210652322767601E-5</v>
      </c>
      <c r="BA31" s="15">
        <f t="shared" ca="1" si="5"/>
        <v>4.005986994570776E-6</v>
      </c>
      <c r="BB31" s="15">
        <f t="shared" ca="1" si="6"/>
        <v>4.8194250723554433E-7</v>
      </c>
      <c r="BC31" s="15">
        <f t="shared" ca="1" si="7"/>
        <v>4.0937175498356737E-6</v>
      </c>
      <c r="BD31" s="15">
        <f t="shared" ca="1" si="8"/>
        <v>8.1541492676251437E-5</v>
      </c>
      <c r="BE31" s="15">
        <f t="shared" ca="1" si="9"/>
        <v>-6.2191149410750768E-5</v>
      </c>
      <c r="BG31" s="15" cm="1">
        <f t="array" aca="1" ref="BG31" ca="1">INDIRECT(ADDRESS(BG$1,BG$2,1,1,$A31))</f>
        <v>5.8999999999999999E-3</v>
      </c>
      <c r="BH31" s="15" cm="1">
        <f t="array" aca="1" ref="BH31" ca="1">INDIRECT(ADDRESS(BH$1,BH$2,1,1,$A31))</f>
        <v>7.0000000000000001E-3</v>
      </c>
      <c r="BI31" s="15" cm="1">
        <f t="array" aca="1" ref="BI31" ca="1">INDIRECT(ADDRESS(BI$1,BI$2,1,1,$A31))</f>
        <v>5.8999999999999999E-3</v>
      </c>
      <c r="BJ31" s="15" cm="1">
        <f t="array" aca="1" ref="BJ31" ca="1">INDIRECT(ADDRESS(BJ$1,BJ$2,1,1,$A31))</f>
        <v>7.1000000000000004E-3</v>
      </c>
      <c r="BK31" s="15" cm="1">
        <f t="array" aca="1" ref="BK31" ca="1">INDIRECT(ADDRESS(BK$1,BK$2,1,1,$A31))</f>
        <v>4.0000000000000001E-3</v>
      </c>
      <c r="BN31" s="32"/>
    </row>
    <row r="32" spans="1:66" x14ac:dyDescent="0.4">
      <c r="A32" t="s">
        <v>73</v>
      </c>
      <c r="B32" t="str" cm="1">
        <f t="array" aca="1" ref="B32" ca="1">LEFT(INDIRECT(ADDRESS(B$1,B$2,1,1,$A32)),FIND("-",INDIRECT(ADDRESS(B$1,B$2,1,1,$A32)))-1)</f>
        <v>P509</v>
      </c>
      <c r="C32" t="str" cm="1">
        <f t="array" aca="1" ref="C32" ca="1">RIGHT(INDIRECT(ADDRESS(B$1,B$2,1,1,$A32)),LEN(INDIRECT(ADDRESS(B$1,B$2,1,1,$A32)))-FIND("-",INDIRECT(ADDRESS(B$1,B$2,1,1,$A32))))</f>
        <v>south</v>
      </c>
      <c r="D32" s="10" cm="1">
        <f t="array" aca="1" ref="D32" ca="1">DATE(MID(INDIRECT(ADDRESS(D$1,D$2,1,1,$A32)),1,4),MID(INDIRECT(ADDRESS(D$1,D$2,1,1,$A32)),5,2),MID(INDIRECT(ADDRESS(D$1,D$2,1,1,$A32)),7,2))+TIME(MID(INDIRECT(ADDRESS(D$1,D$2,1,1,$A32)),10,2),MID(INDIRECT(ADDRESS(D$1,D$2,1,1,$A32)),12,2),0)</f>
        <v>44537.713194444441</v>
      </c>
      <c r="E32" cm="1">
        <f t="array" aca="1" ref="E32" ca="1">INDIRECT(ADDRESS(E$1,E$2,1,1,$A32))</f>
        <v>0</v>
      </c>
      <c r="F32" s="11" cm="1">
        <f t="array" aca="1" ref="F32" ca="1">VALUE(SUBSTITUTE(INDIRECT(ADDRESS(F$1,F$2,1,1,$A32)),"┬░C",""))</f>
        <v>20.100000000000001</v>
      </c>
      <c r="G32" s="12" cm="1">
        <f t="array" aca="1" ref="G32" ca="1">INDIRECT(ADDRESS(G$1,G$2,1,1,$A32))</f>
        <v>25.3993</v>
      </c>
      <c r="H32" cm="1">
        <f t="array" aca="1" ref="H32" ca="1">INDIRECT(ADDRESS(H$1,H$2,1,1,$A32))</f>
        <v>25.403099999999998</v>
      </c>
      <c r="I32" cm="1">
        <f t="array" aca="1" ref="I32" ca="1">INDIRECT(ADDRESS(I$1,I$2,1,1,$A32))</f>
        <v>25.402999999999999</v>
      </c>
      <c r="J32" cm="1">
        <f t="array" aca="1" ref="J32" ca="1">INDIRECT(ADDRESS(J$1,J$2,1,1,$A32))</f>
        <v>25.404900000000001</v>
      </c>
      <c r="K32" s="13" cm="1">
        <f t="array" aca="1" ref="K32" ca="1">INDIRECT(ADDRESS(K$1,K$2,1,1,$A32))</f>
        <v>25.4023</v>
      </c>
      <c r="L32" s="14" cm="1">
        <f t="array" aca="1" ref="L32" ca="1">SQRT(SUMSQ(Y32:AA32-V32:X32))</f>
        <v>72.880209326057781</v>
      </c>
      <c r="M32" s="15" cm="1">
        <f t="array" aca="1" ref="M32" ca="1">SQRT(SUMSQ(AB32:AD32-V32:X32))</f>
        <v>73.711519249775336</v>
      </c>
      <c r="N32" s="15" cm="1">
        <f t="array" aca="1" ref="N32" ca="1">SQRT(SUMSQ(AE32:AG32-V32:X32))</f>
        <v>72.339430289434816</v>
      </c>
      <c r="O32" s="15" cm="1">
        <f t="array" aca="1" ref="O32" ca="1">SQRT(SUMSQ(AH32:AJ32-V32:X32))</f>
        <v>71.964834586692405</v>
      </c>
      <c r="P32" s="15" cm="1">
        <f t="array" aca="1" ref="P32" ca="1">SQRT(SUMSQ(AB32:AD32-Y32:AA32))</f>
        <v>125.93290076711486</v>
      </c>
      <c r="Q32" s="15" cm="1">
        <f t="array" aca="1" ref="Q32" ca="1">SQRT(SUMSQ(AE32:AG32-Y32:AA32))</f>
        <v>145.21673332563984</v>
      </c>
      <c r="R32" s="15" cm="1">
        <f t="array" aca="1" ref="R32" ca="1">SQRT(SUMSQ(AH32:AJ32-Y32:AA32))</f>
        <v>74.988302261752793</v>
      </c>
      <c r="S32" s="15" cm="1">
        <f t="array" aca="1" ref="S32" ca="1">SQRT(SUMSQ(AE32:AG32-AB32:AD32))</f>
        <v>73.985095781447768</v>
      </c>
      <c r="T32" s="15" cm="1">
        <f t="array" aca="1" ref="T32" ca="1">SQRT(SUMSQ(AH32:AJ32-AB32:AD32))</f>
        <v>145.6729269873438</v>
      </c>
      <c r="U32" s="16" cm="1">
        <f t="array" aca="1" ref="U32" ca="1">SQRT(SUMSQ(AH32:AJ32-AE32:AG32))</f>
        <v>123.92505491001405</v>
      </c>
      <c r="V32" cm="1">
        <f t="array" aca="1" ref="V32" ca="1">INDIRECT(ADDRESS(V$1,V$2,1,1,$A32))</f>
        <v>0</v>
      </c>
      <c r="W32" cm="1">
        <f t="array" aca="1" ref="W32" ca="1">INDIRECT(ADDRESS(W$1,W$2,1,1,$A32))</f>
        <v>0</v>
      </c>
      <c r="X32" cm="1">
        <f t="array" aca="1" ref="X32" ca="1">INDIRECT(ADDRESS(X$1,X$2,1,1,$A32))</f>
        <v>0</v>
      </c>
      <c r="Y32" cm="1">
        <f t="array" aca="1" ref="Y32" ca="1">INDIRECT(ADDRESS(Y$1,Y$2,1,1,$A32))</f>
        <v>62.482599999999998</v>
      </c>
      <c r="Z32" cm="1">
        <f t="array" aca="1" ref="Z32" ca="1">INDIRECT(ADDRESS(Z$1,Z$2,1,1,$A32))</f>
        <v>37.515900000000002</v>
      </c>
      <c r="AA32" cm="1">
        <f t="array" aca="1" ref="AA32" ca="1">INDIRECT(ADDRESS(AA$1,AA$2,1,1,$A32))</f>
        <v>8.2799999999999999E-2</v>
      </c>
      <c r="AB32" cm="1">
        <f t="array" aca="1" ref="AB32" ca="1">INDIRECT(ADDRESS(AB$1,AB$2,1,1,$A32))</f>
        <v>-63.450299999999999</v>
      </c>
      <c r="AC32" cm="1">
        <f t="array" aca="1" ref="AC32" ca="1">INDIRECT(ADDRESS(AC$1,AC$2,1,1,$A32))</f>
        <v>37.515900000000002</v>
      </c>
      <c r="AD32" cm="1">
        <f t="array" aca="1" ref="AD32" ca="1">INDIRECT(ADDRESS(AD$1,AD$2,1,1,$A32))</f>
        <v>6.8900000000000003E-2</v>
      </c>
      <c r="AE32" cm="1">
        <f t="array" aca="1" ref="AE32" ca="1">INDIRECT(ADDRESS(AE$1,AE$2,1,1,$A32))</f>
        <v>-62.477600000000002</v>
      </c>
      <c r="AF32" cm="1">
        <f t="array" aca="1" ref="AF32" ca="1">INDIRECT(ADDRESS(AF$1,AF$2,1,1,$A32))</f>
        <v>-36.462800000000001</v>
      </c>
      <c r="AG32" cm="1">
        <f t="array" aca="1" ref="AG32" ca="1">INDIRECT(ADDRESS(AG$1,AG$2,1,1,$A32))</f>
        <v>8.3000000000000004E-2</v>
      </c>
      <c r="AH32" cm="1">
        <f t="array" aca="1" ref="AH32" ca="1">INDIRECT(ADDRESS(AH$1,AH$2,1,1,$A32))</f>
        <v>61.443399999999997</v>
      </c>
      <c r="AI32" cm="1">
        <f t="array" aca="1" ref="AI32" ca="1">INDIRECT(ADDRESS(AI$1,AI$2,1,1,$A32))</f>
        <v>-37.465200000000003</v>
      </c>
      <c r="AJ32" cm="1">
        <f t="array" aca="1" ref="AJ32" ca="1">INDIRECT(ADDRESS(AJ$1,AJ$2,1,1,$A32))</f>
        <v>6.93E-2</v>
      </c>
      <c r="AK32" s="15" cm="1">
        <f t="array" aca="1" ref="AK32" ca="1">INDIRECT(ADDRESS(AK$1,AK$2,1,1,$A32))</f>
        <v>72.880200000000002</v>
      </c>
      <c r="AL32" s="15" cm="1">
        <f t="array" aca="1" ref="AL32" ca="1">INDIRECT(ADDRESS(AL$1,AL$2,1,1,$A32))</f>
        <v>73.711500000000001</v>
      </c>
      <c r="AM32" s="15" cm="1">
        <f t="array" aca="1" ref="AM32" ca="1">INDIRECT(ADDRESS(AM$1,AM$2,1,1,$A32))</f>
        <v>72.339399999999998</v>
      </c>
      <c r="AN32" s="15" cm="1">
        <f t="array" aca="1" ref="AN32" ca="1">INDIRECT(ADDRESS(AN$1,AN$2,1,1,$A32))</f>
        <v>71.964799999999997</v>
      </c>
      <c r="AO32" s="15" cm="1">
        <f t="array" aca="1" ref="AO32" ca="1">INDIRECT(ADDRESS(AO$1,AO$2,1,1,$A32))</f>
        <v>125.9329</v>
      </c>
      <c r="AP32" s="15" cm="1">
        <f t="array" aca="1" ref="AP32" ca="1">INDIRECT(ADDRESS(AP$1,AP$2,1,1,$A32))</f>
        <v>145.2167</v>
      </c>
      <c r="AQ32" s="15" cm="1">
        <f t="array" aca="1" ref="AQ32" ca="1">INDIRECT(ADDRESS(AQ$1,AQ$2,1,1,$A32))</f>
        <v>74.988299999999995</v>
      </c>
      <c r="AR32" s="15" cm="1">
        <f t="array" aca="1" ref="AR32" ca="1">INDIRECT(ADDRESS(AR$1,AR$2,1,1,$A32))</f>
        <v>73.985100000000003</v>
      </c>
      <c r="AS32" s="15" cm="1">
        <f t="array" aca="1" ref="AS32" ca="1">INDIRECT(ADDRESS(AS$1,AS$2,1,1,$A32))</f>
        <v>145.6729</v>
      </c>
      <c r="AT32" s="15" cm="1">
        <f t="array" aca="1" ref="AT32" ca="1">INDIRECT(ADDRESS(AT$1,AT$2,1,1,$A32))</f>
        <v>123.925</v>
      </c>
      <c r="AV32" s="15">
        <f t="shared" ca="1" si="0"/>
        <v>-9.32605777848039E-6</v>
      </c>
      <c r="AW32" s="15">
        <f t="shared" ca="1" si="1"/>
        <v>-1.9249775334628794E-5</v>
      </c>
      <c r="AX32" s="15">
        <f t="shared" ca="1" si="2"/>
        <v>-3.0289434818087102E-5</v>
      </c>
      <c r="AY32" s="15">
        <f t="shared" ca="1" si="3"/>
        <v>-3.458669240785639E-5</v>
      </c>
      <c r="AZ32" s="15">
        <f t="shared" ca="1" si="4"/>
        <v>-7.6711485519354028E-7</v>
      </c>
      <c r="BA32" s="15">
        <f t="shared" ca="1" si="5"/>
        <v>-3.332563983349246E-5</v>
      </c>
      <c r="BB32" s="15">
        <f t="shared" ca="1" si="6"/>
        <v>-2.2617527974944096E-6</v>
      </c>
      <c r="BC32" s="15">
        <f t="shared" ca="1" si="7"/>
        <v>4.2185522346471771E-6</v>
      </c>
      <c r="BD32" s="15">
        <f t="shared" ca="1" si="8"/>
        <v>-2.6987343801465613E-5</v>
      </c>
      <c r="BE32" s="15">
        <f t="shared" ca="1" si="9"/>
        <v>-5.4910014057441003E-5</v>
      </c>
      <c r="BG32" s="15" cm="1">
        <f t="array" aca="1" ref="BG32" ca="1">INDIRECT(ADDRESS(BG$1,BG$2,1,1,$A32))</f>
        <v>6.0000000000000001E-3</v>
      </c>
      <c r="BH32" s="15" cm="1">
        <f t="array" aca="1" ref="BH32" ca="1">INDIRECT(ADDRESS(BH$1,BH$2,1,1,$A32))</f>
        <v>7.1000000000000004E-3</v>
      </c>
      <c r="BI32" s="15" cm="1">
        <f t="array" aca="1" ref="BI32" ca="1">INDIRECT(ADDRESS(BI$1,BI$2,1,1,$A32))</f>
        <v>5.0000000000000001E-3</v>
      </c>
      <c r="BJ32" s="15" cm="1">
        <f t="array" aca="1" ref="BJ32" ca="1">INDIRECT(ADDRESS(BJ$1,BJ$2,1,1,$A32))</f>
        <v>6.6E-3</v>
      </c>
      <c r="BK32" s="15" cm="1">
        <f t="array" aca="1" ref="BK32" ca="1">INDIRECT(ADDRESS(BK$1,BK$2,1,1,$A32))</f>
        <v>6.1000000000000004E-3</v>
      </c>
      <c r="BN32" s="32"/>
    </row>
    <row r="33" spans="1:66" x14ac:dyDescent="0.4">
      <c r="A33" t="s">
        <v>76</v>
      </c>
      <c r="B33" t="str" cm="1">
        <f t="array" aca="1" ref="B33" ca="1">LEFT(INDIRECT(ADDRESS(B$1,B$2,1,1,$A33)),FIND("-",INDIRECT(ADDRESS(B$1,B$2,1,1,$A33)))-1)</f>
        <v>P509</v>
      </c>
      <c r="C33" t="str" cm="1">
        <f t="array" aca="1" ref="C33" ca="1">RIGHT(INDIRECT(ADDRESS(B$1,B$2,1,1,$A33)),LEN(INDIRECT(ADDRESS(B$1,B$2,1,1,$A33)))-FIND("-",INDIRECT(ADDRESS(B$1,B$2,1,1,$A33))))</f>
        <v>south</v>
      </c>
      <c r="D33" s="10" cm="1">
        <f t="array" aca="1" ref="D33" ca="1">DATE(MID(INDIRECT(ADDRESS(D$1,D$2,1,1,$A33)),1,4),MID(INDIRECT(ADDRESS(D$1,D$2,1,1,$A33)),5,2),MID(INDIRECT(ADDRESS(D$1,D$2,1,1,$A33)),7,2))+TIME(MID(INDIRECT(ADDRESS(D$1,D$2,1,1,$A33)),10,2),MID(INDIRECT(ADDRESS(D$1,D$2,1,1,$A33)),12,2),0)</f>
        <v>44537.715277777781</v>
      </c>
      <c r="E33" cm="1">
        <f t="array" aca="1" ref="E33" ca="1">INDIRECT(ADDRESS(E$1,E$2,1,1,$A33))</f>
        <v>0</v>
      </c>
      <c r="F33" s="11" cm="1">
        <f t="array" aca="1" ref="F33" ca="1">VALUE(SUBSTITUTE(INDIRECT(ADDRESS(F$1,F$2,1,1,$A33)),"┬░C",""))</f>
        <v>20.100000000000001</v>
      </c>
      <c r="G33" s="12" cm="1">
        <f t="array" aca="1" ref="G33" ca="1">INDIRECT(ADDRESS(G$1,G$2,1,1,$A33))</f>
        <v>25.3993</v>
      </c>
      <c r="H33" cm="1">
        <f t="array" aca="1" ref="H33" ca="1">INDIRECT(ADDRESS(H$1,H$2,1,1,$A33))</f>
        <v>25.403099999999998</v>
      </c>
      <c r="I33" cm="1">
        <f t="array" aca="1" ref="I33" ca="1">INDIRECT(ADDRESS(I$1,I$2,1,1,$A33))</f>
        <v>25.403300000000002</v>
      </c>
      <c r="J33" cm="1">
        <f t="array" aca="1" ref="J33" ca="1">INDIRECT(ADDRESS(J$1,J$2,1,1,$A33))</f>
        <v>25.405100000000001</v>
      </c>
      <c r="K33" s="13" cm="1">
        <f t="array" aca="1" ref="K33" ca="1">INDIRECT(ADDRESS(K$1,K$2,1,1,$A33))</f>
        <v>25.4024</v>
      </c>
      <c r="L33" s="14" cm="1">
        <f t="array" aca="1" ref="L33" ca="1">SQRT(SUMSQ(Y33:AA33-V33:X33))</f>
        <v>72.880021392491372</v>
      </c>
      <c r="M33" s="15" cm="1">
        <f t="array" aca="1" ref="M33" ca="1">SQRT(SUMSQ(AB33:AD33-V33:X33))</f>
        <v>73.712274678305789</v>
      </c>
      <c r="N33" s="15" cm="1">
        <f t="array" aca="1" ref="N33" ca="1">SQRT(SUMSQ(AE33:AG33-V33:X33))</f>
        <v>72.339934627424157</v>
      </c>
      <c r="O33" s="15" cm="1">
        <f t="array" aca="1" ref="O33" ca="1">SQRT(SUMSQ(AH33:AJ33-V33:X33))</f>
        <v>71.96427053760776</v>
      </c>
      <c r="P33" s="15" cm="1">
        <f t="array" aca="1" ref="P33" ca="1">SQRT(SUMSQ(AB33:AD33-Y33:AA33))</f>
        <v>125.93320080058317</v>
      </c>
      <c r="Q33" s="15" cm="1">
        <f t="array" aca="1" ref="Q33" ca="1">SQRT(SUMSQ(AE33:AG33-Y33:AA33))</f>
        <v>145.21704242178325</v>
      </c>
      <c r="R33" s="15" cm="1">
        <f t="array" aca="1" ref="R33" ca="1">SQRT(SUMSQ(AH33:AJ33-Y33:AA33))</f>
        <v>74.988505050707602</v>
      </c>
      <c r="S33" s="15" cm="1">
        <f t="array" aca="1" ref="S33" ca="1">SQRT(SUMSQ(AE33:AG33-AB33:AD33))</f>
        <v>73.985195830584928</v>
      </c>
      <c r="T33" s="15" cm="1">
        <f t="array" aca="1" ref="T33" ca="1">SQRT(SUMSQ(AH33:AJ33-AB33:AD33))</f>
        <v>145.67311566785409</v>
      </c>
      <c r="U33" s="16" cm="1">
        <f t="array" aca="1" ref="U33" ca="1">SQRT(SUMSQ(AH33:AJ33-AE33:AG33))</f>
        <v>123.92515573792916</v>
      </c>
      <c r="V33" cm="1">
        <f t="array" aca="1" ref="V33" ca="1">INDIRECT(ADDRESS(V$1,V$2,1,1,$A33))</f>
        <v>0</v>
      </c>
      <c r="W33" cm="1">
        <f t="array" aca="1" ref="W33" ca="1">INDIRECT(ADDRESS(W$1,W$2,1,1,$A33))</f>
        <v>0</v>
      </c>
      <c r="X33" cm="1">
        <f t="array" aca="1" ref="X33" ca="1">INDIRECT(ADDRESS(X$1,X$2,1,1,$A33))</f>
        <v>0</v>
      </c>
      <c r="Y33" cm="1">
        <f t="array" aca="1" ref="Y33" ca="1">INDIRECT(ADDRESS(Y$1,Y$2,1,1,$A33))</f>
        <v>62.482199999999999</v>
      </c>
      <c r="Z33" cm="1">
        <f t="array" aca="1" ref="Z33" ca="1">INDIRECT(ADDRESS(Z$1,Z$2,1,1,$A33))</f>
        <v>37.516199999999998</v>
      </c>
      <c r="AA33" cm="1">
        <f t="array" aca="1" ref="AA33" ca="1">INDIRECT(ADDRESS(AA$1,AA$2,1,1,$A33))</f>
        <v>8.3299999999999999E-2</v>
      </c>
      <c r="AB33" cm="1">
        <f t="array" aca="1" ref="AB33" ca="1">INDIRECT(ADDRESS(AB$1,AB$2,1,1,$A33))</f>
        <v>-63.451000000000001</v>
      </c>
      <c r="AC33" cm="1">
        <f t="array" aca="1" ref="AC33" ca="1">INDIRECT(ADDRESS(AC$1,AC$2,1,1,$A33))</f>
        <v>37.516199999999998</v>
      </c>
      <c r="AD33" cm="1">
        <f t="array" aca="1" ref="AD33" ca="1">INDIRECT(ADDRESS(AD$1,AD$2,1,1,$A33))</f>
        <v>6.9099999999999995E-2</v>
      </c>
      <c r="AE33" cm="1">
        <f t="array" aca="1" ref="AE33" ca="1">INDIRECT(ADDRESS(AE$1,AE$2,1,1,$A33))</f>
        <v>-62.478299999999997</v>
      </c>
      <c r="AF33" cm="1">
        <f t="array" aca="1" ref="AF33" ca="1">INDIRECT(ADDRESS(AF$1,AF$2,1,1,$A33))</f>
        <v>-36.462600000000002</v>
      </c>
      <c r="AG33" cm="1">
        <f t="array" aca="1" ref="AG33" ca="1">INDIRECT(ADDRESS(AG$1,AG$2,1,1,$A33))</f>
        <v>8.3500000000000005E-2</v>
      </c>
      <c r="AH33" cm="1">
        <f t="array" aca="1" ref="AH33" ca="1">INDIRECT(ADDRESS(AH$1,AH$2,1,1,$A33))</f>
        <v>61.442799999999998</v>
      </c>
      <c r="AI33" cm="1">
        <f t="array" aca="1" ref="AI33" ca="1">INDIRECT(ADDRESS(AI$1,AI$2,1,1,$A33))</f>
        <v>-37.4651</v>
      </c>
      <c r="AJ33" cm="1">
        <f t="array" aca="1" ref="AJ33" ca="1">INDIRECT(ADDRESS(AJ$1,AJ$2,1,1,$A33))</f>
        <v>6.9599999999999995E-2</v>
      </c>
      <c r="AK33" s="15" cm="1">
        <f t="array" aca="1" ref="AK33" ca="1">INDIRECT(ADDRESS(AK$1,AK$2,1,1,$A33))</f>
        <v>72.88</v>
      </c>
      <c r="AL33" s="15" cm="1">
        <f t="array" aca="1" ref="AL33" ca="1">INDIRECT(ADDRESS(AL$1,AL$2,1,1,$A33))</f>
        <v>73.712199999999996</v>
      </c>
      <c r="AM33" s="15" cm="1">
        <f t="array" aca="1" ref="AM33" ca="1">INDIRECT(ADDRESS(AM$1,AM$2,1,1,$A33))</f>
        <v>72.3399</v>
      </c>
      <c r="AN33" s="15" cm="1">
        <f t="array" aca="1" ref="AN33" ca="1">INDIRECT(ADDRESS(AN$1,AN$2,1,1,$A33))</f>
        <v>71.964200000000005</v>
      </c>
      <c r="AO33" s="15" cm="1">
        <f t="array" aca="1" ref="AO33" ca="1">INDIRECT(ADDRESS(AO$1,AO$2,1,1,$A33))</f>
        <v>125.9331</v>
      </c>
      <c r="AP33" s="15" cm="1">
        <f t="array" aca="1" ref="AP33" ca="1">INDIRECT(ADDRESS(AP$1,AP$2,1,1,$A33))</f>
        <v>145.21700000000001</v>
      </c>
      <c r="AQ33" s="15" cm="1">
        <f t="array" aca="1" ref="AQ33" ca="1">INDIRECT(ADDRESS(AQ$1,AQ$2,1,1,$A33))</f>
        <v>74.988500000000002</v>
      </c>
      <c r="AR33" s="15" cm="1">
        <f t="array" aca="1" ref="AR33" ca="1">INDIRECT(ADDRESS(AR$1,AR$2,1,1,$A33))</f>
        <v>73.985200000000006</v>
      </c>
      <c r="AS33" s="15" cm="1">
        <f t="array" aca="1" ref="AS33" ca="1">INDIRECT(ADDRESS(AS$1,AS$2,1,1,$A33))</f>
        <v>145.67310000000001</v>
      </c>
      <c r="AT33" s="15" cm="1">
        <f t="array" aca="1" ref="AT33" ca="1">INDIRECT(ADDRESS(AT$1,AT$2,1,1,$A33))</f>
        <v>123.9251</v>
      </c>
      <c r="AV33" s="15">
        <f t="shared" ca="1" si="0"/>
        <v>-2.1392491376559519E-5</v>
      </c>
      <c r="AW33" s="15">
        <f t="shared" ca="1" si="1"/>
        <v>-7.4678305793440813E-5</v>
      </c>
      <c r="AX33" s="15">
        <f t="shared" ca="1" si="2"/>
        <v>-3.4627424156497E-5</v>
      </c>
      <c r="AY33" s="15">
        <f t="shared" ca="1" si="3"/>
        <v>-7.053760775477258E-5</v>
      </c>
      <c r="AZ33" s="15">
        <f t="shared" ca="1" si="4"/>
        <v>-1.0080058316930263E-4</v>
      </c>
      <c r="BA33" s="15">
        <f t="shared" ca="1" si="5"/>
        <v>-4.2421783234658506E-5</v>
      </c>
      <c r="BB33" s="15">
        <f t="shared" ca="1" si="6"/>
        <v>-5.0507075997074935E-6</v>
      </c>
      <c r="BC33" s="15">
        <f t="shared" ca="1" si="7"/>
        <v>4.1694150780813288E-6</v>
      </c>
      <c r="BD33" s="15">
        <f t="shared" ca="1" si="8"/>
        <v>-1.5667854086132138E-5</v>
      </c>
      <c r="BE33" s="15">
        <f t="shared" ca="1" si="9"/>
        <v>-5.5737929159249688E-5</v>
      </c>
      <c r="BG33" s="15" cm="1">
        <f t="array" aca="1" ref="BG33" ca="1">INDIRECT(ADDRESS(BG$1,BG$2,1,1,$A33))</f>
        <v>5.1000000000000004E-3</v>
      </c>
      <c r="BH33" s="15" cm="1">
        <f t="array" aca="1" ref="BH33" ca="1">INDIRECT(ADDRESS(BH$1,BH$2,1,1,$A33))</f>
        <v>7.0000000000000001E-3</v>
      </c>
      <c r="BI33" s="15" cm="1">
        <f t="array" aca="1" ref="BI33" ca="1">INDIRECT(ADDRESS(BI$1,BI$2,1,1,$A33))</f>
        <v>4.7000000000000002E-3</v>
      </c>
      <c r="BJ33" s="15" cm="1">
        <f t="array" aca="1" ref="BJ33" ca="1">INDIRECT(ADDRESS(BJ$1,BJ$2,1,1,$A33))</f>
        <v>7.0000000000000001E-3</v>
      </c>
      <c r="BK33" s="15" cm="1">
        <f t="array" aca="1" ref="BK33" ca="1">INDIRECT(ADDRESS(BK$1,BK$2,1,1,$A33))</f>
        <v>4.4000000000000003E-3</v>
      </c>
      <c r="BN33" s="32"/>
    </row>
    <row r="34" spans="1:66" x14ac:dyDescent="0.4">
      <c r="A34" t="s">
        <v>79</v>
      </c>
      <c r="B34" t="str" cm="1">
        <f t="array" aca="1" ref="B34" ca="1">LEFT(INDIRECT(ADDRESS(B$1,B$2,1,1,$A34)),FIND("-",INDIRECT(ADDRESS(B$1,B$2,1,1,$A34)))-1)</f>
        <v>P509</v>
      </c>
      <c r="C34" t="str" cm="1">
        <f t="array" aca="1" ref="C34" ca="1">RIGHT(INDIRECT(ADDRESS(B$1,B$2,1,1,$A34)),LEN(INDIRECT(ADDRESS(B$1,B$2,1,1,$A34)))-FIND("-",INDIRECT(ADDRESS(B$1,B$2,1,1,$A34))))</f>
        <v>south</v>
      </c>
      <c r="D34" s="10" cm="1">
        <f t="array" aca="1" ref="D34" ca="1">DATE(MID(INDIRECT(ADDRESS(D$1,D$2,1,1,$A34)),1,4),MID(INDIRECT(ADDRESS(D$1,D$2,1,1,$A34)),5,2),MID(INDIRECT(ADDRESS(D$1,D$2,1,1,$A34)),7,2))+TIME(MID(INDIRECT(ADDRESS(D$1,D$2,1,1,$A34)),10,2),MID(INDIRECT(ADDRESS(D$1,D$2,1,1,$A34)),12,2),0)</f>
        <v>44537.717361111114</v>
      </c>
      <c r="E34" cm="1">
        <f t="array" aca="1" ref="E34" ca="1">INDIRECT(ADDRESS(E$1,E$2,1,1,$A34))</f>
        <v>0</v>
      </c>
      <c r="F34" s="11" cm="1">
        <f t="array" aca="1" ref="F34" ca="1">VALUE(SUBSTITUTE(INDIRECT(ADDRESS(F$1,F$2,1,1,$A34)),"┬░C",""))</f>
        <v>20.100000000000001</v>
      </c>
      <c r="G34" s="12" cm="1">
        <f t="array" aca="1" ref="G34" ca="1">INDIRECT(ADDRESS(G$1,G$2,1,1,$A34))</f>
        <v>25.398800000000001</v>
      </c>
      <c r="H34" cm="1">
        <f t="array" aca="1" ref="H34" ca="1">INDIRECT(ADDRESS(H$1,H$2,1,1,$A34))</f>
        <v>25.403199999999998</v>
      </c>
      <c r="I34" cm="1">
        <f t="array" aca="1" ref="I34" ca="1">INDIRECT(ADDRESS(I$1,I$2,1,1,$A34))</f>
        <v>25.402899999999999</v>
      </c>
      <c r="J34" cm="1">
        <f t="array" aca="1" ref="J34" ca="1">INDIRECT(ADDRESS(J$1,J$2,1,1,$A34))</f>
        <v>25.405100000000001</v>
      </c>
      <c r="K34" s="13" cm="1">
        <f t="array" aca="1" ref="K34" ca="1">INDIRECT(ADDRESS(K$1,K$2,1,1,$A34))</f>
        <v>25.4025</v>
      </c>
      <c r="L34" s="14" cm="1">
        <f t="array" aca="1" ref="L34" ca="1">SQRT(SUMSQ(Y34:AA34-V34:X34))</f>
        <v>72.880740604565759</v>
      </c>
      <c r="M34" s="15" cm="1">
        <f t="array" aca="1" ref="M34" ca="1">SQRT(SUMSQ(AB34:AD34-V34:X34))</f>
        <v>73.711276725003202</v>
      </c>
      <c r="N34" s="15" cm="1">
        <f t="array" aca="1" ref="N34" ca="1">SQRT(SUMSQ(AE34:AG34-V34:X34))</f>
        <v>72.338688603125775</v>
      </c>
      <c r="O34" s="15" cm="1">
        <f t="array" aca="1" ref="O34" ca="1">SQRT(SUMSQ(AH34:AJ34-V34:X34))</f>
        <v>71.964711822184071</v>
      </c>
      <c r="P34" s="15" cm="1">
        <f t="array" aca="1" ref="P34" ca="1">SQRT(SUMSQ(AB34:AD34-Y34:AA34))</f>
        <v>125.93300073435874</v>
      </c>
      <c r="Q34" s="15" cm="1">
        <f t="array" aca="1" ref="Q34" ca="1">SQRT(SUMSQ(AE34:AG34-Y34:AA34))</f>
        <v>145.21652611700227</v>
      </c>
      <c r="R34" s="15" cm="1">
        <f t="array" aca="1" ref="R34" ca="1">SQRT(SUMSQ(AH34:AJ34-Y34:AA34))</f>
        <v>74.988107754363284</v>
      </c>
      <c r="S34" s="15" cm="1">
        <f t="array" aca="1" ref="S34" ca="1">SQRT(SUMSQ(AE34:AG34-AB34:AD34))</f>
        <v>73.985200976208759</v>
      </c>
      <c r="T34" s="15" cm="1">
        <f t="array" aca="1" ref="T34" ca="1">SQRT(SUMSQ(AH34:AJ34-AB34:AD34))</f>
        <v>145.67256683610677</v>
      </c>
      <c r="U34" s="16" cm="1">
        <f t="array" aca="1" ref="U34" ca="1">SQRT(SUMSQ(AH34:AJ34-AE34:AG34))</f>
        <v>123.92435246306513</v>
      </c>
      <c r="V34" cm="1">
        <f t="array" aca="1" ref="V34" ca="1">INDIRECT(ADDRESS(V$1,V$2,1,1,$A34))</f>
        <v>0</v>
      </c>
      <c r="W34" cm="1">
        <f t="array" aca="1" ref="W34" ca="1">INDIRECT(ADDRESS(W$1,W$2,1,1,$A34))</f>
        <v>0</v>
      </c>
      <c r="X34" cm="1">
        <f t="array" aca="1" ref="X34" ca="1">INDIRECT(ADDRESS(X$1,X$2,1,1,$A34))</f>
        <v>0</v>
      </c>
      <c r="Y34" cm="1">
        <f t="array" aca="1" ref="Y34" ca="1">INDIRECT(ADDRESS(Y$1,Y$2,1,1,$A34))</f>
        <v>62.4831</v>
      </c>
      <c r="Z34" cm="1">
        <f t="array" aca="1" ref="Z34" ca="1">INDIRECT(ADDRESS(Z$1,Z$2,1,1,$A34))</f>
        <v>37.516100000000002</v>
      </c>
      <c r="AA34" cm="1">
        <f t="array" aca="1" ref="AA34" ca="1">INDIRECT(ADDRESS(AA$1,AA$2,1,1,$A34))</f>
        <v>8.2500000000000004E-2</v>
      </c>
      <c r="AB34" cm="1">
        <f t="array" aca="1" ref="AB34" ca="1">INDIRECT(ADDRESS(AB$1,AB$2,1,1,$A34))</f>
        <v>-63.4499</v>
      </c>
      <c r="AC34" cm="1">
        <f t="array" aca="1" ref="AC34" ca="1">INDIRECT(ADDRESS(AC$1,AC$2,1,1,$A34))</f>
        <v>37.516100000000002</v>
      </c>
      <c r="AD34" cm="1">
        <f t="array" aca="1" ref="AD34" ca="1">INDIRECT(ADDRESS(AD$1,AD$2,1,1,$A34))</f>
        <v>6.8900000000000003E-2</v>
      </c>
      <c r="AE34" cm="1">
        <f t="array" aca="1" ref="AE34" ca="1">INDIRECT(ADDRESS(AE$1,AE$2,1,1,$A34))</f>
        <v>-62.476799999999997</v>
      </c>
      <c r="AF34" cm="1">
        <f t="array" aca="1" ref="AF34" ca="1">INDIRECT(ADDRESS(AF$1,AF$2,1,1,$A34))</f>
        <v>-36.462699999999998</v>
      </c>
      <c r="AG34" cm="1">
        <f t="array" aca="1" ref="AG34" ca="1">INDIRECT(ADDRESS(AG$1,AG$2,1,1,$A34))</f>
        <v>8.2699999999999996E-2</v>
      </c>
      <c r="AH34" cm="1">
        <f t="array" aca="1" ref="AH34" ca="1">INDIRECT(ADDRESS(AH$1,AH$2,1,1,$A34))</f>
        <v>61.4435</v>
      </c>
      <c r="AI34" cm="1">
        <f t="array" aca="1" ref="AI34" ca="1">INDIRECT(ADDRESS(AI$1,AI$2,1,1,$A34))</f>
        <v>-37.464799999999997</v>
      </c>
      <c r="AJ34" cm="1">
        <f t="array" aca="1" ref="AJ34" ca="1">INDIRECT(ADDRESS(AJ$1,AJ$2,1,1,$A34))</f>
        <v>6.9400000000000003E-2</v>
      </c>
      <c r="AK34" s="15" cm="1">
        <f t="array" aca="1" ref="AK34" ca="1">INDIRECT(ADDRESS(AK$1,AK$2,1,1,$A34))</f>
        <v>72.880700000000004</v>
      </c>
      <c r="AL34" s="15" cm="1">
        <f t="array" aca="1" ref="AL34" ca="1">INDIRECT(ADDRESS(AL$1,AL$2,1,1,$A34))</f>
        <v>73.711299999999994</v>
      </c>
      <c r="AM34" s="15" cm="1">
        <f t="array" aca="1" ref="AM34" ca="1">INDIRECT(ADDRESS(AM$1,AM$2,1,1,$A34))</f>
        <v>72.338700000000003</v>
      </c>
      <c r="AN34" s="15" cm="1">
        <f t="array" aca="1" ref="AN34" ca="1">INDIRECT(ADDRESS(AN$1,AN$2,1,1,$A34))</f>
        <v>71.964699999999993</v>
      </c>
      <c r="AO34" s="15" cm="1">
        <f t="array" aca="1" ref="AO34" ca="1">INDIRECT(ADDRESS(AO$1,AO$2,1,1,$A34))</f>
        <v>125.93300000000001</v>
      </c>
      <c r="AP34" s="15" cm="1">
        <f t="array" aca="1" ref="AP34" ca="1">INDIRECT(ADDRESS(AP$1,AP$2,1,1,$A34))</f>
        <v>145.2165</v>
      </c>
      <c r="AQ34" s="15" cm="1">
        <f t="array" aca="1" ref="AQ34" ca="1">INDIRECT(ADDRESS(AQ$1,AQ$2,1,1,$A34))</f>
        <v>74.988100000000003</v>
      </c>
      <c r="AR34" s="15" cm="1">
        <f t="array" aca="1" ref="AR34" ca="1">INDIRECT(ADDRESS(AR$1,AR$2,1,1,$A34))</f>
        <v>73.985200000000006</v>
      </c>
      <c r="AS34" s="15" cm="1">
        <f t="array" aca="1" ref="AS34" ca="1">INDIRECT(ADDRESS(AS$1,AS$2,1,1,$A34))</f>
        <v>145.67259999999999</v>
      </c>
      <c r="AT34" s="15" cm="1">
        <f t="array" aca="1" ref="AT34" ca="1">INDIRECT(ADDRESS(AT$1,AT$2,1,1,$A34))</f>
        <v>123.92440000000001</v>
      </c>
      <c r="AV34" s="15">
        <f t="shared" ca="1" si="0"/>
        <v>-4.0604565754165378E-5</v>
      </c>
      <c r="AW34" s="15">
        <f t="shared" ca="1" si="1"/>
        <v>2.3274996792110869E-5</v>
      </c>
      <c r="AX34" s="15">
        <f t="shared" ca="1" si="2"/>
        <v>1.1396874228353226E-5</v>
      </c>
      <c r="AY34" s="15">
        <f t="shared" ca="1" si="3"/>
        <v>-1.1822184077914244E-5</v>
      </c>
      <c r="AZ34" s="15">
        <f t="shared" ca="1" si="4"/>
        <v>-7.3435873559901665E-7</v>
      </c>
      <c r="BA34" s="15">
        <f t="shared" ca="1" si="5"/>
        <v>-2.6117002278169821E-5</v>
      </c>
      <c r="BB34" s="15">
        <f t="shared" ca="1" si="6"/>
        <v>-7.7543632812648866E-6</v>
      </c>
      <c r="BC34" s="15">
        <f t="shared" ca="1" si="7"/>
        <v>-9.7620875294524012E-7</v>
      </c>
      <c r="BD34" s="15">
        <f t="shared" ca="1" si="8"/>
        <v>3.3163893220944374E-5</v>
      </c>
      <c r="BE34" s="15">
        <f t="shared" ca="1" si="9"/>
        <v>4.7536934872027814E-5</v>
      </c>
      <c r="BG34" s="15" cm="1">
        <f t="array" aca="1" ref="BG34" ca="1">INDIRECT(ADDRESS(BG$1,BG$2,1,1,$A34))</f>
        <v>6.4000000000000003E-3</v>
      </c>
      <c r="BH34" s="15" cm="1">
        <f t="array" aca="1" ref="BH34" ca="1">INDIRECT(ADDRESS(BH$1,BH$2,1,1,$A34))</f>
        <v>7.7000000000000002E-3</v>
      </c>
      <c r="BI34" s="15" cm="1">
        <f t="array" aca="1" ref="BI34" ca="1">INDIRECT(ADDRESS(BI$1,BI$2,1,1,$A34))</f>
        <v>5.1000000000000004E-3</v>
      </c>
      <c r="BJ34" s="15" cm="1">
        <f t="array" aca="1" ref="BJ34" ca="1">INDIRECT(ADDRESS(BJ$1,BJ$2,1,1,$A34))</f>
        <v>7.7000000000000002E-3</v>
      </c>
      <c r="BK34" s="15" cm="1">
        <f t="array" aca="1" ref="BK34" ca="1">INDIRECT(ADDRESS(BK$1,BK$2,1,1,$A34))</f>
        <v>6.4999999999999997E-3</v>
      </c>
      <c r="BN34" s="32"/>
    </row>
    <row r="35" spans="1:66" x14ac:dyDescent="0.4">
      <c r="A35" t="s">
        <v>82</v>
      </c>
      <c r="B35" t="str" cm="1">
        <f t="array" aca="1" ref="B35" ca="1">LEFT(INDIRECT(ADDRESS(B$1,B$2,1,1,$A35)),FIND("-",INDIRECT(ADDRESS(B$1,B$2,1,1,$A35)))-1)</f>
        <v>P509</v>
      </c>
      <c r="C35" t="str" cm="1">
        <f t="array" aca="1" ref="C35" ca="1">RIGHT(INDIRECT(ADDRESS(B$1,B$2,1,1,$A35)),LEN(INDIRECT(ADDRESS(B$1,B$2,1,1,$A35)))-FIND("-",INDIRECT(ADDRESS(B$1,B$2,1,1,$A35))))</f>
        <v>south</v>
      </c>
      <c r="D35" s="10" cm="1">
        <f t="array" aca="1" ref="D35" ca="1">DATE(MID(INDIRECT(ADDRESS(D$1,D$2,1,1,$A35)),1,4),MID(INDIRECT(ADDRESS(D$1,D$2,1,1,$A35)),5,2),MID(INDIRECT(ADDRESS(D$1,D$2,1,1,$A35)),7,2))+TIME(MID(INDIRECT(ADDRESS(D$1,D$2,1,1,$A35)),10,2),MID(INDIRECT(ADDRESS(D$1,D$2,1,1,$A35)),12,2),0)</f>
        <v>44537.720138888886</v>
      </c>
      <c r="E35" cm="1">
        <f t="array" aca="1" ref="E35" ca="1">INDIRECT(ADDRESS(E$1,E$2,1,1,$A35))</f>
        <v>0</v>
      </c>
      <c r="F35" s="11" cm="1">
        <f t="array" aca="1" ref="F35" ca="1">VALUE(SUBSTITUTE(INDIRECT(ADDRESS(F$1,F$2,1,1,$A35)),"┬░C",""))</f>
        <v>20.100000000000001</v>
      </c>
      <c r="G35" s="12" cm="1">
        <f t="array" aca="1" ref="G35" ca="1">INDIRECT(ADDRESS(G$1,G$2,1,1,$A35))</f>
        <v>25.399100000000001</v>
      </c>
      <c r="H35" cm="1">
        <f t="array" aca="1" ref="H35" ca="1">INDIRECT(ADDRESS(H$1,H$2,1,1,$A35))</f>
        <v>25.402200000000001</v>
      </c>
      <c r="I35" cm="1">
        <f t="array" aca="1" ref="I35" ca="1">INDIRECT(ADDRESS(I$1,I$2,1,1,$A35))</f>
        <v>25.403300000000002</v>
      </c>
      <c r="J35" cm="1">
        <f t="array" aca="1" ref="J35" ca="1">INDIRECT(ADDRESS(J$1,J$2,1,1,$A35))</f>
        <v>25.404499999999999</v>
      </c>
      <c r="K35" s="13" cm="1">
        <f t="array" aca="1" ref="K35" ca="1">INDIRECT(ADDRESS(K$1,K$2,1,1,$A35))</f>
        <v>25.402699999999999</v>
      </c>
      <c r="L35" s="14" cm="1">
        <f t="array" aca="1" ref="L35" ca="1">SQRT(SUMSQ(Y35:AA35-V35:X35))</f>
        <v>72.879849584367292</v>
      </c>
      <c r="M35" s="15" cm="1">
        <f t="array" aca="1" ref="M35" ca="1">SQRT(SUMSQ(AB35:AD35-V35:X35))</f>
        <v>73.712188132017886</v>
      </c>
      <c r="N35" s="15" cm="1">
        <f t="array" aca="1" ref="N35" ca="1">SQRT(SUMSQ(AE35:AG35-V35:X35))</f>
        <v>72.340063976264219</v>
      </c>
      <c r="O35" s="15" cm="1">
        <f t="array" aca="1" ref="O35" ca="1">SQRT(SUMSQ(AH35:AJ35-V35:X35))</f>
        <v>71.964886454853797</v>
      </c>
      <c r="P35" s="15" cm="1">
        <f t="array" aca="1" ref="P35" ca="1">SQRT(SUMSQ(AB35:AD35-Y35:AA35))</f>
        <v>125.93290082329557</v>
      </c>
      <c r="Q35" s="15" cm="1">
        <f t="array" aca="1" ref="Q35" ca="1">SQRT(SUMSQ(AE35:AG35-Y35:AA35))</f>
        <v>145.21700388181131</v>
      </c>
      <c r="R35" s="15" cm="1">
        <f t="array" aca="1" ref="R35" ca="1">SQRT(SUMSQ(AH35:AJ35-Y35:AA35))</f>
        <v>74.988693983960005</v>
      </c>
      <c r="S35" s="15" cm="1">
        <f t="array" aca="1" ref="S35" ca="1">SQRT(SUMSQ(AE35:AG35-AB35:AD35))</f>
        <v>73.98579713269298</v>
      </c>
      <c r="T35" s="15" cm="1">
        <f t="array" aca="1" ref="T35" ca="1">SQRT(SUMSQ(AH35:AJ35-AB35:AD35))</f>
        <v>145.67364729075055</v>
      </c>
      <c r="U35" s="16" cm="1">
        <f t="array" aca="1" ref="U35" ca="1">SQRT(SUMSQ(AH35:AJ35-AE35:AG35))</f>
        <v>123.92555251226439</v>
      </c>
      <c r="V35" cm="1">
        <f t="array" aca="1" ref="V35" ca="1">INDIRECT(ADDRESS(V$1,V$2,1,1,$A35))</f>
        <v>0</v>
      </c>
      <c r="W35" cm="1">
        <f t="array" aca="1" ref="W35" ca="1">INDIRECT(ADDRESS(W$1,W$2,1,1,$A35))</f>
        <v>0</v>
      </c>
      <c r="X35" cm="1">
        <f t="array" aca="1" ref="X35" ca="1">INDIRECT(ADDRESS(X$1,X$2,1,1,$A35))</f>
        <v>0</v>
      </c>
      <c r="Y35" cm="1">
        <f t="array" aca="1" ref="Y35" ca="1">INDIRECT(ADDRESS(Y$1,Y$2,1,1,$A35))</f>
        <v>62.481999999999999</v>
      </c>
      <c r="Z35" cm="1">
        <f t="array" aca="1" ref="Z35" ca="1">INDIRECT(ADDRESS(Z$1,Z$2,1,1,$A35))</f>
        <v>37.516199999999998</v>
      </c>
      <c r="AA35" cm="1">
        <f t="array" aca="1" ref="AA35" ca="1">INDIRECT(ADDRESS(AA$1,AA$2,1,1,$A35))</f>
        <v>8.3000000000000004E-2</v>
      </c>
      <c r="AB35" cm="1">
        <f t="array" aca="1" ref="AB35" ca="1">INDIRECT(ADDRESS(AB$1,AB$2,1,1,$A35))</f>
        <v>-63.450899999999997</v>
      </c>
      <c r="AC35" cm="1">
        <f t="array" aca="1" ref="AC35" ca="1">INDIRECT(ADDRESS(AC$1,AC$2,1,1,$A35))</f>
        <v>37.516199999999998</v>
      </c>
      <c r="AD35" cm="1">
        <f t="array" aca="1" ref="AD35" ca="1">INDIRECT(ADDRESS(AD$1,AD$2,1,1,$A35))</f>
        <v>6.8599999999999994E-2</v>
      </c>
      <c r="AE35" cm="1">
        <f t="array" aca="1" ref="AE35" ca="1">INDIRECT(ADDRESS(AE$1,AE$2,1,1,$A35))</f>
        <v>-62.478099999999998</v>
      </c>
      <c r="AF35" cm="1">
        <f t="array" aca="1" ref="AF35" ca="1">INDIRECT(ADDRESS(AF$1,AF$2,1,1,$A35))</f>
        <v>-36.463200000000001</v>
      </c>
      <c r="AG35" cm="1">
        <f t="array" aca="1" ref="AG35" ca="1">INDIRECT(ADDRESS(AG$1,AG$2,1,1,$A35))</f>
        <v>8.3199999999999996E-2</v>
      </c>
      <c r="AH35" cm="1">
        <f t="array" aca="1" ref="AH35" ca="1">INDIRECT(ADDRESS(AH$1,AH$2,1,1,$A35))</f>
        <v>61.443399999999997</v>
      </c>
      <c r="AI35" cm="1">
        <f t="array" aca="1" ref="AI35" ca="1">INDIRECT(ADDRESS(AI$1,AI$2,1,1,$A35))</f>
        <v>-37.465299999999999</v>
      </c>
      <c r="AJ35" cm="1">
        <f t="array" aca="1" ref="AJ35" ca="1">INDIRECT(ADDRESS(AJ$1,AJ$2,1,1,$A35))</f>
        <v>6.9099999999999995E-2</v>
      </c>
      <c r="AK35" s="15" cm="1">
        <f t="array" aca="1" ref="AK35" ca="1">INDIRECT(ADDRESS(AK$1,AK$2,1,1,$A35))</f>
        <v>72.879800000000003</v>
      </c>
      <c r="AL35" s="15" cm="1">
        <f t="array" aca="1" ref="AL35" ca="1">INDIRECT(ADDRESS(AL$1,AL$2,1,1,$A35))</f>
        <v>73.712199999999996</v>
      </c>
      <c r="AM35" s="15" cm="1">
        <f t="array" aca="1" ref="AM35" ca="1">INDIRECT(ADDRESS(AM$1,AM$2,1,1,$A35))</f>
        <v>72.340100000000007</v>
      </c>
      <c r="AN35" s="15" cm="1">
        <f t="array" aca="1" ref="AN35" ca="1">INDIRECT(ADDRESS(AN$1,AN$2,1,1,$A35))</f>
        <v>71.9649</v>
      </c>
      <c r="AO35" s="15" cm="1">
        <f t="array" aca="1" ref="AO35" ca="1">INDIRECT(ADDRESS(AO$1,AO$2,1,1,$A35))</f>
        <v>125.9329</v>
      </c>
      <c r="AP35" s="15" cm="1">
        <f t="array" aca="1" ref="AP35" ca="1">INDIRECT(ADDRESS(AP$1,AP$2,1,1,$A35))</f>
        <v>145.21700000000001</v>
      </c>
      <c r="AQ35" s="15" cm="1">
        <f t="array" aca="1" ref="AQ35" ca="1">INDIRECT(ADDRESS(AQ$1,AQ$2,1,1,$A35))</f>
        <v>74.988699999999994</v>
      </c>
      <c r="AR35" s="15" cm="1">
        <f t="array" aca="1" ref="AR35" ca="1">INDIRECT(ADDRESS(AR$1,AR$2,1,1,$A35))</f>
        <v>73.985799999999998</v>
      </c>
      <c r="AS35" s="15" cm="1">
        <f t="array" aca="1" ref="AS35" ca="1">INDIRECT(ADDRESS(AS$1,AS$2,1,1,$A35))</f>
        <v>145.6737</v>
      </c>
      <c r="AT35" s="15" cm="1">
        <f t="array" aca="1" ref="AT35" ca="1">INDIRECT(ADDRESS(AT$1,AT$2,1,1,$A35))</f>
        <v>123.9256</v>
      </c>
      <c r="AV35" s="15">
        <f t="shared" ca="1" si="0"/>
        <v>-4.9584367289412512E-5</v>
      </c>
      <c r="AW35" s="15">
        <f t="shared" ca="1" si="1"/>
        <v>1.1867982109947661E-5</v>
      </c>
      <c r="AX35" s="15">
        <f t="shared" ca="1" si="2"/>
        <v>3.602373578814877E-5</v>
      </c>
      <c r="AY35" s="15">
        <f t="shared" ca="1" si="3"/>
        <v>1.3545146202886826E-5</v>
      </c>
      <c r="AZ35" s="15">
        <f t="shared" ca="1" si="4"/>
        <v>-8.2329556505555956E-7</v>
      </c>
      <c r="BA35" s="15">
        <f t="shared" ca="1" si="5"/>
        <v>-3.881811295514126E-6</v>
      </c>
      <c r="BB35" s="15">
        <f t="shared" ca="1" si="6"/>
        <v>6.0160399897313255E-6</v>
      </c>
      <c r="BC35" s="15">
        <f t="shared" ca="1" si="7"/>
        <v>2.8673070175955218E-6</v>
      </c>
      <c r="BD35" s="15">
        <f t="shared" ca="1" si="8"/>
        <v>5.2709249445115347E-5</v>
      </c>
      <c r="BE35" s="15">
        <f t="shared" ca="1" si="9"/>
        <v>4.748773561402686E-5</v>
      </c>
      <c r="BG35" s="15" cm="1">
        <f t="array" aca="1" ref="BG35" ca="1">INDIRECT(ADDRESS(BG$1,BG$2,1,1,$A35))</f>
        <v>4.7000000000000002E-3</v>
      </c>
      <c r="BH35" s="15" cm="1">
        <f t="array" aca="1" ref="BH35" ca="1">INDIRECT(ADDRESS(BH$1,BH$2,1,1,$A35))</f>
        <v>8.3999999999999995E-3</v>
      </c>
      <c r="BI35" s="15" cm="1">
        <f t="array" aca="1" ref="BI35" ca="1">INDIRECT(ADDRESS(BI$1,BI$2,1,1,$A35))</f>
        <v>4.7000000000000002E-3</v>
      </c>
      <c r="BJ35" s="15" cm="1">
        <f t="array" aca="1" ref="BJ35" ca="1">INDIRECT(ADDRESS(BJ$1,BJ$2,1,1,$A35))</f>
        <v>8.3000000000000001E-3</v>
      </c>
      <c r="BK35" s="15" cm="1">
        <f t="array" aca="1" ref="BK35" ca="1">INDIRECT(ADDRESS(BK$1,BK$2,1,1,$A35))</f>
        <v>4.4999999999999997E-3</v>
      </c>
      <c r="BN35" s="32"/>
    </row>
    <row r="36" spans="1:66" x14ac:dyDescent="0.4">
      <c r="A36" t="s">
        <v>85</v>
      </c>
      <c r="B36" t="str" cm="1">
        <f t="array" aca="1" ref="B36" ca="1">LEFT(INDIRECT(ADDRESS(B$1,B$2,1,1,$A36)),FIND("-",INDIRECT(ADDRESS(B$1,B$2,1,1,$A36)))-1)</f>
        <v>P509</v>
      </c>
      <c r="C36" t="str" cm="1">
        <f t="array" aca="1" ref="C36" ca="1">RIGHT(INDIRECT(ADDRESS(B$1,B$2,1,1,$A36)),LEN(INDIRECT(ADDRESS(B$1,B$2,1,1,$A36)))-FIND("-",INDIRECT(ADDRESS(B$1,B$2,1,1,$A36))))</f>
        <v>south</v>
      </c>
      <c r="D36" s="10" cm="1">
        <f t="array" aca="1" ref="D36" ca="1">DATE(MID(INDIRECT(ADDRESS(D$1,D$2,1,1,$A36)),1,4),MID(INDIRECT(ADDRESS(D$1,D$2,1,1,$A36)),5,2),MID(INDIRECT(ADDRESS(D$1,D$2,1,1,$A36)),7,2))+TIME(MID(INDIRECT(ADDRESS(D$1,D$2,1,1,$A36)),10,2),MID(INDIRECT(ADDRESS(D$1,D$2,1,1,$A36)),12,2),0)</f>
        <v>44537.722222222219</v>
      </c>
      <c r="E36" cm="1">
        <f t="array" aca="1" ref="E36" ca="1">INDIRECT(ADDRESS(E$1,E$2,1,1,$A36))</f>
        <v>0</v>
      </c>
      <c r="F36" s="11" cm="1">
        <f t="array" aca="1" ref="F36" ca="1">VALUE(SUBSTITUTE(INDIRECT(ADDRESS(F$1,F$2,1,1,$A36)),"┬░C",""))</f>
        <v>20.100000000000001</v>
      </c>
      <c r="G36" s="12" cm="1">
        <f t="array" aca="1" ref="G36" ca="1">INDIRECT(ADDRESS(G$1,G$2,1,1,$A36))</f>
        <v>25.3992</v>
      </c>
      <c r="H36" cm="1">
        <f t="array" aca="1" ref="H36" ca="1">INDIRECT(ADDRESS(H$1,H$2,1,1,$A36))</f>
        <v>25.403099999999998</v>
      </c>
      <c r="I36" cm="1">
        <f t="array" aca="1" ref="I36" ca="1">INDIRECT(ADDRESS(I$1,I$2,1,1,$A36))</f>
        <v>25.403600000000001</v>
      </c>
      <c r="J36" cm="1">
        <f t="array" aca="1" ref="J36" ca="1">INDIRECT(ADDRESS(J$1,J$2,1,1,$A36))</f>
        <v>25.4053</v>
      </c>
      <c r="K36" s="13" cm="1">
        <f t="array" aca="1" ref="K36" ca="1">INDIRECT(ADDRESS(K$1,K$2,1,1,$A36))</f>
        <v>25.4024</v>
      </c>
      <c r="L36" s="14" cm="1">
        <f t="array" aca="1" ref="L36" ca="1">SQRT(SUMSQ(Y36:AA36-V36:X36))</f>
        <v>72.880003489160188</v>
      </c>
      <c r="M36" s="15" cm="1">
        <f t="array" aca="1" ref="M36" ca="1">SQRT(SUMSQ(AB36:AD36-V36:X36))</f>
        <v>73.711913811337169</v>
      </c>
      <c r="N36" s="15" cm="1">
        <f t="array" aca="1" ref="N36" ca="1">SQRT(SUMSQ(AE36:AG36-V36:X36))</f>
        <v>72.339747052502204</v>
      </c>
      <c r="O36" s="15" cm="1">
        <f t="array" aca="1" ref="O36" ca="1">SQRT(SUMSQ(AH36:AJ36-V36:X36))</f>
        <v>71.964663156579846</v>
      </c>
      <c r="P36" s="15" cm="1">
        <f t="array" aca="1" ref="P36" ca="1">SQRT(SUMSQ(AB36:AD36-Y36:AA36))</f>
        <v>125.93300083476927</v>
      </c>
      <c r="Q36" s="15" cm="1">
        <f t="array" aca="1" ref="Q36" ca="1">SQRT(SUMSQ(AE36:AG36-Y36:AA36))</f>
        <v>145.21684761844955</v>
      </c>
      <c r="R36" s="15" cm="1">
        <f t="array" aca="1" ref="R36" ca="1">SQRT(SUMSQ(AH36:AJ36-Y36:AA36))</f>
        <v>74.988400976817744</v>
      </c>
      <c r="S36" s="15" cm="1">
        <f t="array" aca="1" ref="S36" ca="1">SQRT(SUMSQ(AE36:AG36-AB36:AD36))</f>
        <v>73.986002395655902</v>
      </c>
      <c r="T36" s="15" cm="1">
        <f t="array" aca="1" ref="T36" ca="1">SQRT(SUMSQ(AH36:AJ36-AB36:AD36))</f>
        <v>145.67314993096704</v>
      </c>
      <c r="U36" s="16" cm="1">
        <f t="array" aca="1" ref="U36" ca="1">SQRT(SUMSQ(AH36:AJ36-AE36:AG36))</f>
        <v>123.9247485191719</v>
      </c>
      <c r="V36" cm="1">
        <f t="array" aca="1" ref="V36" ca="1">INDIRECT(ADDRESS(V$1,V$2,1,1,$A36))</f>
        <v>0</v>
      </c>
      <c r="W36" cm="1">
        <f t="array" aca="1" ref="W36" ca="1">INDIRECT(ADDRESS(W$1,W$2,1,1,$A36))</f>
        <v>0</v>
      </c>
      <c r="X36" cm="1">
        <f t="array" aca="1" ref="X36" ca="1">INDIRECT(ADDRESS(X$1,X$2,1,1,$A36))</f>
        <v>0</v>
      </c>
      <c r="Y36" cm="1">
        <f t="array" aca="1" ref="Y36" ca="1">INDIRECT(ADDRESS(Y$1,Y$2,1,1,$A36))</f>
        <v>62.482300000000002</v>
      </c>
      <c r="Z36" cm="1">
        <f t="array" aca="1" ref="Z36" ca="1">INDIRECT(ADDRESS(Z$1,Z$2,1,1,$A36))</f>
        <v>37.515999999999998</v>
      </c>
      <c r="AA36" cm="1">
        <f t="array" aca="1" ref="AA36" ca="1">INDIRECT(ADDRESS(AA$1,AA$2,1,1,$A36))</f>
        <v>8.2699999999999996E-2</v>
      </c>
      <c r="AB36" cm="1">
        <f t="array" aca="1" ref="AB36" ca="1">INDIRECT(ADDRESS(AB$1,AB$2,1,1,$A36))</f>
        <v>-63.450699999999998</v>
      </c>
      <c r="AC36" cm="1">
        <f t="array" aca="1" ref="AC36" ca="1">INDIRECT(ADDRESS(AC$1,AC$2,1,1,$A36))</f>
        <v>37.515999999999998</v>
      </c>
      <c r="AD36" cm="1">
        <f t="array" aca="1" ref="AD36" ca="1">INDIRECT(ADDRESS(AD$1,AD$2,1,1,$A36))</f>
        <v>6.8199999999999997E-2</v>
      </c>
      <c r="AE36" cm="1">
        <f t="array" aca="1" ref="AE36" ca="1">INDIRECT(ADDRESS(AE$1,AE$2,1,1,$A36))</f>
        <v>-62.477499999999999</v>
      </c>
      <c r="AF36" cm="1">
        <f t="array" aca="1" ref="AF36" ca="1">INDIRECT(ADDRESS(AF$1,AF$2,1,1,$A36))</f>
        <v>-36.4636</v>
      </c>
      <c r="AG36" cm="1">
        <f t="array" aca="1" ref="AG36" ca="1">INDIRECT(ADDRESS(AG$1,AG$2,1,1,$A36))</f>
        <v>8.2900000000000001E-2</v>
      </c>
      <c r="AH36" cm="1">
        <f t="array" aca="1" ref="AH36" ca="1">INDIRECT(ADDRESS(AH$1,AH$2,1,1,$A36))</f>
        <v>61.443199999999997</v>
      </c>
      <c r="AI36" cm="1">
        <f t="array" aca="1" ref="AI36" ca="1">INDIRECT(ADDRESS(AI$1,AI$2,1,1,$A36))</f>
        <v>-37.465200000000003</v>
      </c>
      <c r="AJ36" cm="1">
        <f t="array" aca="1" ref="AJ36" ca="1">INDIRECT(ADDRESS(AJ$1,AJ$2,1,1,$A36))</f>
        <v>6.8599999999999994E-2</v>
      </c>
      <c r="AK36" s="15" cm="1">
        <f t="array" aca="1" ref="AK36" ca="1">INDIRECT(ADDRESS(AK$1,AK$2,1,1,$A36))</f>
        <v>72.88</v>
      </c>
      <c r="AL36" s="15" cm="1">
        <f t="array" aca="1" ref="AL36" ca="1">INDIRECT(ADDRESS(AL$1,AL$2,1,1,$A36))</f>
        <v>73.712000000000003</v>
      </c>
      <c r="AM36" s="15" cm="1">
        <f t="array" aca="1" ref="AM36" ca="1">INDIRECT(ADDRESS(AM$1,AM$2,1,1,$A36))</f>
        <v>72.339799999999997</v>
      </c>
      <c r="AN36" s="15" cm="1">
        <f t="array" aca="1" ref="AN36" ca="1">INDIRECT(ADDRESS(AN$1,AN$2,1,1,$A36))</f>
        <v>71.964699999999993</v>
      </c>
      <c r="AO36" s="15" cm="1">
        <f t="array" aca="1" ref="AO36" ca="1">INDIRECT(ADDRESS(AO$1,AO$2,1,1,$A36))</f>
        <v>125.93300000000001</v>
      </c>
      <c r="AP36" s="15" cm="1">
        <f t="array" aca="1" ref="AP36" ca="1">INDIRECT(ADDRESS(AP$1,AP$2,1,1,$A36))</f>
        <v>145.21690000000001</v>
      </c>
      <c r="AQ36" s="15" cm="1">
        <f t="array" aca="1" ref="AQ36" ca="1">INDIRECT(ADDRESS(AQ$1,AQ$2,1,1,$A36))</f>
        <v>74.988500000000002</v>
      </c>
      <c r="AR36" s="15" cm="1">
        <f t="array" aca="1" ref="AR36" ca="1">INDIRECT(ADDRESS(AR$1,AR$2,1,1,$A36))</f>
        <v>73.986099999999993</v>
      </c>
      <c r="AS36" s="15" cm="1">
        <f t="array" aca="1" ref="AS36" ca="1">INDIRECT(ADDRESS(AS$1,AS$2,1,1,$A36))</f>
        <v>145.67320000000001</v>
      </c>
      <c r="AT36" s="15" cm="1">
        <f t="array" aca="1" ref="AT36" ca="1">INDIRECT(ADDRESS(AT$1,AT$2,1,1,$A36))</f>
        <v>123.9248</v>
      </c>
      <c r="AV36" s="15">
        <f t="shared" ca="1" si="0"/>
        <v>-3.4891601927711235E-6</v>
      </c>
      <c r="AW36" s="15">
        <f t="shared" ca="1" si="1"/>
        <v>8.618866283427451E-5</v>
      </c>
      <c r="AX36" s="15">
        <f t="shared" ca="1" si="2"/>
        <v>5.2947497792388276E-5</v>
      </c>
      <c r="AY36" s="15">
        <f t="shared" ca="1" si="3"/>
        <v>3.6843420147647521E-5</v>
      </c>
      <c r="AZ36" s="15">
        <f t="shared" ca="1" si="4"/>
        <v>-8.3476926704406651E-7</v>
      </c>
      <c r="BA36" s="15">
        <f t="shared" ca="1" si="5"/>
        <v>5.2381550460722792E-5</v>
      </c>
      <c r="BB36" s="15">
        <f t="shared" ca="1" si="6"/>
        <v>9.902318225840645E-5</v>
      </c>
      <c r="BC36" s="15">
        <f t="shared" ca="1" si="7"/>
        <v>9.7604344091450912E-5</v>
      </c>
      <c r="BD36" s="15">
        <f t="shared" ca="1" si="8"/>
        <v>5.0069032965893712E-5</v>
      </c>
      <c r="BE36" s="15">
        <f t="shared" ca="1" si="9"/>
        <v>5.1480828105354703E-5</v>
      </c>
      <c r="BG36" s="15" cm="1">
        <f t="array" aca="1" ref="BG36" ca="1">INDIRECT(ADDRESS(BG$1,BG$2,1,1,$A36))</f>
        <v>5.0000000000000001E-3</v>
      </c>
      <c r="BH36" s="15" cm="1">
        <f t="array" aca="1" ref="BH36" ca="1">INDIRECT(ADDRESS(BH$1,BH$2,1,1,$A36))</f>
        <v>6.8999999999999999E-3</v>
      </c>
      <c r="BI36" s="15" cm="1">
        <f t="array" aca="1" ref="BI36" ca="1">INDIRECT(ADDRESS(BI$1,BI$2,1,1,$A36))</f>
        <v>5.4999999999999997E-3</v>
      </c>
      <c r="BJ36" s="15" cm="1">
        <f t="array" aca="1" ref="BJ36" ca="1">INDIRECT(ADDRESS(BJ$1,BJ$2,1,1,$A36))</f>
        <v>7.1999999999999998E-3</v>
      </c>
      <c r="BK36" s="15" cm="1">
        <f t="array" aca="1" ref="BK36" ca="1">INDIRECT(ADDRESS(BK$1,BK$2,1,1,$A36))</f>
        <v>5.7000000000000002E-3</v>
      </c>
      <c r="BN36" s="32"/>
    </row>
    <row r="37" spans="1:66" x14ac:dyDescent="0.4">
      <c r="A37" t="s">
        <v>52</v>
      </c>
      <c r="B37" t="str" cm="1">
        <f t="array" aca="1" ref="B37" ca="1">LEFT(INDIRECT(ADDRESS(B$1,B$2,1,1,$A37)),FIND("-",INDIRECT(ADDRESS(B$1,B$2,1,1,$A37)))-1)</f>
        <v>P509</v>
      </c>
      <c r="C37" t="str" cm="1">
        <f t="array" aca="1" ref="C37" ca="1">RIGHT(INDIRECT(ADDRESS(B$1,B$2,1,1,$A37)),LEN(INDIRECT(ADDRESS(B$1,B$2,1,1,$A37)))-FIND("-",INDIRECT(ADDRESS(B$1,B$2,1,1,$A37))))</f>
        <v>east</v>
      </c>
      <c r="D37" s="10" cm="1">
        <f t="array" aca="1" ref="D37" ca="1">DATE(MID(INDIRECT(ADDRESS(D$1,D$2,1,1,$A37)),1,4),MID(INDIRECT(ADDRESS(D$1,D$2,1,1,$A37)),5,2),MID(INDIRECT(ADDRESS(D$1,D$2,1,1,$A37)),7,2))+TIME(MID(INDIRECT(ADDRESS(D$1,D$2,1,1,$A37)),10,2),MID(INDIRECT(ADDRESS(D$1,D$2,1,1,$A37)),12,2),0)</f>
        <v>44537.725694444445</v>
      </c>
      <c r="E37" cm="1">
        <f t="array" aca="1" ref="E37" ca="1">INDIRECT(ADDRESS(E$1,E$2,1,1,$A37))</f>
        <v>0</v>
      </c>
      <c r="F37" s="11" cm="1">
        <f t="array" aca="1" ref="F37" ca="1">VALUE(SUBSTITUTE(INDIRECT(ADDRESS(F$1,F$2,1,1,$A37)),"┬░C",""))</f>
        <v>20.100000000000001</v>
      </c>
      <c r="G37" s="12" cm="1">
        <f t="array" aca="1" ref="G37" ca="1">INDIRECT(ADDRESS(G$1,G$2,1,1,$A37))</f>
        <v>25.398599999999998</v>
      </c>
      <c r="H37" cm="1">
        <f t="array" aca="1" ref="H37" ca="1">INDIRECT(ADDRESS(H$1,H$2,1,1,$A37))</f>
        <v>25.403300000000002</v>
      </c>
      <c r="I37" cm="1">
        <f t="array" aca="1" ref="I37" ca="1">INDIRECT(ADDRESS(I$1,I$2,1,1,$A37))</f>
        <v>25.4024</v>
      </c>
      <c r="J37" cm="1">
        <f t="array" aca="1" ref="J37" ca="1">INDIRECT(ADDRESS(J$1,J$2,1,1,$A37))</f>
        <v>25.404399999999999</v>
      </c>
      <c r="K37" s="13" cm="1">
        <f t="array" aca="1" ref="K37" ca="1">INDIRECT(ADDRESS(K$1,K$2,1,1,$A37))</f>
        <v>25.402899999999999</v>
      </c>
      <c r="L37" s="14" cm="1">
        <f t="array" aca="1" ref="L37" ca="1">SQRT(SUMSQ(Y37:AA37-V37:X37))</f>
        <v>72.880415050203979</v>
      </c>
      <c r="M37" s="15" cm="1">
        <f t="array" aca="1" ref="M37" ca="1">SQRT(SUMSQ(AB37:AD37-V37:X37))</f>
        <v>73.713275654050264</v>
      </c>
      <c r="N37" s="15" cm="1">
        <f t="array" aca="1" ref="N37" ca="1">SQRT(SUMSQ(AE37:AG37-V37:X37))</f>
        <v>72.339703555447329</v>
      </c>
      <c r="O37" s="15" cm="1">
        <f t="array" aca="1" ref="O37" ca="1">SQRT(SUMSQ(AH37:AJ37-V37:X37))</f>
        <v>71.965286207796055</v>
      </c>
      <c r="P37" s="15" cm="1">
        <f t="array" aca="1" ref="P37" ca="1">SQRT(SUMSQ(AB37:AD37-Y37:AA37))</f>
        <v>125.93530081188514</v>
      </c>
      <c r="Q37" s="15" cm="1">
        <f t="array" aca="1" ref="Q37" ca="1">SQRT(SUMSQ(AE37:AG37-Y37:AA37))</f>
        <v>145.21720556380362</v>
      </c>
      <c r="R37" s="15" cm="1">
        <f t="array" aca="1" ref="R37" ca="1">SQRT(SUMSQ(AH37:AJ37-Y37:AA37))</f>
        <v>74.987089964473213</v>
      </c>
      <c r="S37" s="15" cm="1">
        <f t="array" aca="1" ref="S37" ca="1">SQRT(SUMSQ(AE37:AG37-AB37:AD37))</f>
        <v>73.984011740510525</v>
      </c>
      <c r="T37" s="15" cm="1">
        <f t="array" aca="1" ref="T37" ca="1">SQRT(SUMSQ(AH37:AJ37-AB37:AD37))</f>
        <v>145.67513862447495</v>
      </c>
      <c r="U37" s="16" cm="1">
        <f t="array" aca="1" ref="U37" ca="1">SQRT(SUMSQ(AH37:AJ37-AE37:AG37))</f>
        <v>123.92715406600767</v>
      </c>
      <c r="V37" cm="1">
        <f t="array" aca="1" ref="V37" ca="1">INDIRECT(ADDRESS(V$1,V$2,1,1,$A37))</f>
        <v>0</v>
      </c>
      <c r="W37" cm="1">
        <f t="array" aca="1" ref="W37" ca="1">INDIRECT(ADDRESS(W$1,W$2,1,1,$A37))</f>
        <v>0</v>
      </c>
      <c r="X37" cm="1">
        <f t="array" aca="1" ref="X37" ca="1">INDIRECT(ADDRESS(X$1,X$2,1,1,$A37))</f>
        <v>0</v>
      </c>
      <c r="Y37" cm="1">
        <f t="array" aca="1" ref="Y37" ca="1">INDIRECT(ADDRESS(Y$1,Y$2,1,1,$A37))</f>
        <v>62.482900000000001</v>
      </c>
      <c r="Z37" cm="1">
        <f t="array" aca="1" ref="Z37" ca="1">INDIRECT(ADDRESS(Z$1,Z$2,1,1,$A37))</f>
        <v>37.515799999999999</v>
      </c>
      <c r="AA37" cm="1">
        <f t="array" aca="1" ref="AA37" ca="1">INDIRECT(ADDRESS(AA$1,AA$2,1,1,$A37))</f>
        <v>8.2799999999999999E-2</v>
      </c>
      <c r="AB37" cm="1">
        <f t="array" aca="1" ref="AB37" ca="1">INDIRECT(ADDRESS(AB$1,AB$2,1,1,$A37))</f>
        <v>-63.452399999999997</v>
      </c>
      <c r="AC37" cm="1">
        <f t="array" aca="1" ref="AC37" ca="1">INDIRECT(ADDRESS(AC$1,AC$2,1,1,$A37))</f>
        <v>37.515799999999999</v>
      </c>
      <c r="AD37" cm="1">
        <f t="array" aca="1" ref="AD37" ca="1">INDIRECT(ADDRESS(AD$1,AD$2,1,1,$A37))</f>
        <v>6.8500000000000005E-2</v>
      </c>
      <c r="AE37" cm="1">
        <f t="array" aca="1" ref="AE37" ca="1">INDIRECT(ADDRESS(AE$1,AE$2,1,1,$A37))</f>
        <v>-62.478499999999997</v>
      </c>
      <c r="AF37" cm="1">
        <f t="array" aca="1" ref="AF37" ca="1">INDIRECT(ADDRESS(AF$1,AF$2,1,1,$A37))</f>
        <v>-36.461799999999997</v>
      </c>
      <c r="AG37" cm="1">
        <f t="array" aca="1" ref="AG37" ca="1">INDIRECT(ADDRESS(AG$1,AG$2,1,1,$A37))</f>
        <v>8.3000000000000004E-2</v>
      </c>
      <c r="AH37" cm="1">
        <f t="array" aca="1" ref="AH37" ca="1">INDIRECT(ADDRESS(AH$1,AH$2,1,1,$A37))</f>
        <v>61.444600000000001</v>
      </c>
      <c r="AI37" cm="1">
        <f t="array" aca="1" ref="AI37" ca="1">INDIRECT(ADDRESS(AI$1,AI$2,1,1,$A37))</f>
        <v>-37.464100000000002</v>
      </c>
      <c r="AJ37" cm="1">
        <f t="array" aca="1" ref="AJ37" ca="1">INDIRECT(ADDRESS(AJ$1,AJ$2,1,1,$A37))</f>
        <v>6.9000000000000006E-2</v>
      </c>
      <c r="AK37" s="15" cm="1">
        <f t="array" aca="1" ref="AK37" ca="1">INDIRECT(ADDRESS(AK$1,AK$2,1,1,$A37))</f>
        <v>72.880399999999995</v>
      </c>
      <c r="AL37" s="15" cm="1">
        <f t="array" aca="1" ref="AL37" ca="1">INDIRECT(ADDRESS(AL$1,AL$2,1,1,$A37))</f>
        <v>73.713300000000004</v>
      </c>
      <c r="AM37" s="15" cm="1">
        <f t="array" aca="1" ref="AM37" ca="1">INDIRECT(ADDRESS(AM$1,AM$2,1,1,$A37))</f>
        <v>72.339699999999993</v>
      </c>
      <c r="AN37" s="15" cm="1">
        <f t="array" aca="1" ref="AN37" ca="1">INDIRECT(ADDRESS(AN$1,AN$2,1,1,$A37))</f>
        <v>71.965299999999999</v>
      </c>
      <c r="AO37" s="15" cm="1">
        <f t="array" aca="1" ref="AO37" ca="1">INDIRECT(ADDRESS(AO$1,AO$2,1,1,$A37))</f>
        <v>125.9354</v>
      </c>
      <c r="AP37" s="15" cm="1">
        <f t="array" aca="1" ref="AP37" ca="1">INDIRECT(ADDRESS(AP$1,AP$2,1,1,$A37))</f>
        <v>145.21719999999999</v>
      </c>
      <c r="AQ37" s="15" cm="1">
        <f t="array" aca="1" ref="AQ37" ca="1">INDIRECT(ADDRESS(AQ$1,AQ$2,1,1,$A37))</f>
        <v>74.987099999999998</v>
      </c>
      <c r="AR37" s="15" cm="1">
        <f t="array" aca="1" ref="AR37" ca="1">INDIRECT(ADDRESS(AR$1,AR$2,1,1,$A37))</f>
        <v>73.983999999999995</v>
      </c>
      <c r="AS37" s="15" cm="1">
        <f t="array" aca="1" ref="AS37" ca="1">INDIRECT(ADDRESS(AS$1,AS$2,1,1,$A37))</f>
        <v>145.67519999999999</v>
      </c>
      <c r="AT37" s="15" cm="1">
        <f t="array" aca="1" ref="AT37" ca="1">INDIRECT(ADDRESS(AT$1,AT$2,1,1,$A37))</f>
        <v>123.9272</v>
      </c>
      <c r="AV37" s="15">
        <f t="shared" ca="1" si="0"/>
        <v>-1.5050203984401378E-5</v>
      </c>
      <c r="AW37" s="15">
        <f t="shared" ca="1" si="1"/>
        <v>2.4345949739768002E-5</v>
      </c>
      <c r="AX37" s="15">
        <f t="shared" ca="1" si="2"/>
        <v>-3.555447335656936E-6</v>
      </c>
      <c r="AY37" s="15">
        <f t="shared" ca="1" si="3"/>
        <v>1.3792203944262837E-5</v>
      </c>
      <c r="AZ37" s="15">
        <f t="shared" ca="1" si="4"/>
        <v>9.9188114859316556E-5</v>
      </c>
      <c r="BA37" s="15">
        <f t="shared" ca="1" si="5"/>
        <v>-5.563803625818764E-6</v>
      </c>
      <c r="BB37" s="15">
        <f t="shared" ca="1" si="6"/>
        <v>1.0035526784690774E-5</v>
      </c>
      <c r="BC37" s="15">
        <f t="shared" ca="1" si="7"/>
        <v>-1.1740510529989479E-5</v>
      </c>
      <c r="BD37" s="15">
        <f t="shared" ca="1" si="8"/>
        <v>6.1375525035600731E-5</v>
      </c>
      <c r="BE37" s="15">
        <f t="shared" ca="1" si="9"/>
        <v>4.5933992325331019E-5</v>
      </c>
      <c r="BG37" s="15" cm="1">
        <f t="array" aca="1" ref="BG37" ca="1">INDIRECT(ADDRESS(BG$1,BG$2,1,1,$A37))</f>
        <v>5.7000000000000002E-3</v>
      </c>
      <c r="BH37" s="15" cm="1">
        <f t="array" aca="1" ref="BH37" ca="1">INDIRECT(ADDRESS(BH$1,BH$2,1,1,$A37))</f>
        <v>6.4999999999999997E-3</v>
      </c>
      <c r="BI37" s="15" cm="1">
        <f t="array" aca="1" ref="BI37" ca="1">INDIRECT(ADDRESS(BI$1,BI$2,1,1,$A37))</f>
        <v>4.7000000000000002E-3</v>
      </c>
      <c r="BJ37" s="15" cm="1">
        <f t="array" aca="1" ref="BJ37" ca="1">INDIRECT(ADDRESS(BJ$1,BJ$2,1,1,$A37))</f>
        <v>5.0000000000000001E-3</v>
      </c>
      <c r="BK37" s="15" cm="1">
        <f t="array" aca="1" ref="BK37" ca="1">INDIRECT(ADDRESS(BK$1,BK$2,1,1,$A37))</f>
        <v>6.0000000000000001E-3</v>
      </c>
      <c r="BN37" s="32"/>
    </row>
    <row r="38" spans="1:66" x14ac:dyDescent="0.4">
      <c r="A38" t="s">
        <v>55</v>
      </c>
      <c r="B38" t="str" cm="1">
        <f t="array" aca="1" ref="B38" ca="1">LEFT(INDIRECT(ADDRESS(B$1,B$2,1,1,$A38)),FIND("-",INDIRECT(ADDRESS(B$1,B$2,1,1,$A38)))-1)</f>
        <v>P509</v>
      </c>
      <c r="C38" t="str" cm="1">
        <f t="array" aca="1" ref="C38" ca="1">RIGHT(INDIRECT(ADDRESS(B$1,B$2,1,1,$A38)),LEN(INDIRECT(ADDRESS(B$1,B$2,1,1,$A38)))-FIND("-",INDIRECT(ADDRESS(B$1,B$2,1,1,$A38))))</f>
        <v>east</v>
      </c>
      <c r="D38" s="10" cm="1">
        <f t="array" aca="1" ref="D38" ca="1">DATE(MID(INDIRECT(ADDRESS(D$1,D$2,1,1,$A38)),1,4),MID(INDIRECT(ADDRESS(D$1,D$2,1,1,$A38)),5,2),MID(INDIRECT(ADDRESS(D$1,D$2,1,1,$A38)),7,2))+TIME(MID(INDIRECT(ADDRESS(D$1,D$2,1,1,$A38)),10,2),MID(INDIRECT(ADDRESS(D$1,D$2,1,1,$A38)),12,2),0)</f>
        <v>44537.728472222225</v>
      </c>
      <c r="E38" cm="1">
        <f t="array" aca="1" ref="E38" ca="1">INDIRECT(ADDRESS(E$1,E$2,1,1,$A38))</f>
        <v>0</v>
      </c>
      <c r="F38" s="11" cm="1">
        <f t="array" aca="1" ref="F38" ca="1">VALUE(SUBSTITUTE(INDIRECT(ADDRESS(F$1,F$2,1,1,$A38)),"┬░C",""))</f>
        <v>20.100000000000001</v>
      </c>
      <c r="G38" s="12" cm="1">
        <f t="array" aca="1" ref="G38" ca="1">INDIRECT(ADDRESS(G$1,G$2,1,1,$A38))</f>
        <v>25.399000000000001</v>
      </c>
      <c r="H38" cm="1">
        <f t="array" aca="1" ref="H38" ca="1">INDIRECT(ADDRESS(H$1,H$2,1,1,$A38))</f>
        <v>25.403600000000001</v>
      </c>
      <c r="I38" cm="1">
        <f t="array" aca="1" ref="I38" ca="1">INDIRECT(ADDRESS(I$1,I$2,1,1,$A38))</f>
        <v>25.402899999999999</v>
      </c>
      <c r="J38" cm="1">
        <f t="array" aca="1" ref="J38" ca="1">INDIRECT(ADDRESS(J$1,J$2,1,1,$A38))</f>
        <v>25.404699999999998</v>
      </c>
      <c r="K38" s="13" cm="1">
        <f t="array" aca="1" ref="K38" ca="1">INDIRECT(ADDRESS(K$1,K$2,1,1,$A38))</f>
        <v>25.4025</v>
      </c>
      <c r="L38" s="14" cm="1">
        <f t="array" aca="1" ref="L38" ca="1">SQRT(SUMSQ(Y38:AA38-V38:X38))</f>
        <v>72.880809625922794</v>
      </c>
      <c r="M38" s="15" cm="1">
        <f t="array" aca="1" ref="M38" ca="1">SQRT(SUMSQ(AB38:AD38-V38:X38))</f>
        <v>73.711695077782593</v>
      </c>
      <c r="N38" s="15" cm="1">
        <f t="array" aca="1" ref="N38" ca="1">SQRT(SUMSQ(AE38:AG38-V38:X38))</f>
        <v>72.339653496750998</v>
      </c>
      <c r="O38" s="15" cm="1">
        <f t="array" aca="1" ref="O38" ca="1">SQRT(SUMSQ(AH38:AJ38-V38:X38))</f>
        <v>71.965423935526147</v>
      </c>
      <c r="P38" s="15" cm="1">
        <f t="array" aca="1" ref="P38" ca="1">SQRT(SUMSQ(AB38:AD38-Y38:AA38))</f>
        <v>125.93440081189095</v>
      </c>
      <c r="Q38" s="15" cm="1">
        <f t="array" aca="1" ref="Q38" ca="1">SQRT(SUMSQ(AE38:AG38-Y38:AA38))</f>
        <v>145.21755321193095</v>
      </c>
      <c r="R38" s="15" cm="1">
        <f t="array" aca="1" ref="R38" ca="1">SQRT(SUMSQ(AH38:AJ38-Y38:AA38))</f>
        <v>74.986798303501402</v>
      </c>
      <c r="S38" s="15" cm="1">
        <f t="array" aca="1" ref="S38" ca="1">SQRT(SUMSQ(AE38:AG38-AB38:AD38))</f>
        <v>73.983490739150724</v>
      </c>
      <c r="T38" s="15" cm="1">
        <f t="array" aca="1" ref="T38" ca="1">SQRT(SUMSQ(AH38:AJ38-AB38:AD38))</f>
        <v>145.67369816360124</v>
      </c>
      <c r="U38" s="16" cm="1">
        <f t="array" aca="1" ref="U38" ca="1">SQRT(SUMSQ(AH38:AJ38-AE38:AG38))</f>
        <v>123.92725568045958</v>
      </c>
      <c r="V38" cm="1">
        <f t="array" aca="1" ref="V38" ca="1">INDIRECT(ADDRESS(V$1,V$2,1,1,$A38))</f>
        <v>0</v>
      </c>
      <c r="W38" cm="1">
        <f t="array" aca="1" ref="W38" ca="1">INDIRECT(ADDRESS(W$1,W$2,1,1,$A38))</f>
        <v>0</v>
      </c>
      <c r="X38" cm="1">
        <f t="array" aca="1" ref="X38" ca="1">INDIRECT(ADDRESS(X$1,X$2,1,1,$A38))</f>
        <v>0</v>
      </c>
      <c r="Y38" cm="1">
        <f t="array" aca="1" ref="Y38" ca="1">INDIRECT(ADDRESS(Y$1,Y$2,1,1,$A38))</f>
        <v>62.483600000000003</v>
      </c>
      <c r="Z38" cm="1">
        <f t="array" aca="1" ref="Z38" ca="1">INDIRECT(ADDRESS(Z$1,Z$2,1,1,$A38))</f>
        <v>37.5154</v>
      </c>
      <c r="AA38" cm="1">
        <f t="array" aca="1" ref="AA38" ca="1">INDIRECT(ADDRESS(AA$1,AA$2,1,1,$A38))</f>
        <v>8.3099999999999993E-2</v>
      </c>
      <c r="AB38" cm="1">
        <f t="array" aca="1" ref="AB38" ca="1">INDIRECT(ADDRESS(AB$1,AB$2,1,1,$A38))</f>
        <v>-63.450800000000001</v>
      </c>
      <c r="AC38" cm="1">
        <f t="array" aca="1" ref="AC38" ca="1">INDIRECT(ADDRESS(AC$1,AC$2,1,1,$A38))</f>
        <v>37.5154</v>
      </c>
      <c r="AD38" cm="1">
        <f t="array" aca="1" ref="AD38" ca="1">INDIRECT(ADDRESS(AD$1,AD$2,1,1,$A38))</f>
        <v>6.88E-2</v>
      </c>
      <c r="AE38" cm="1">
        <f t="array" aca="1" ref="AE38" ca="1">INDIRECT(ADDRESS(AE$1,AE$2,1,1,$A38))</f>
        <v>-62.478499999999997</v>
      </c>
      <c r="AF38" cm="1">
        <f t="array" aca="1" ref="AF38" ca="1">INDIRECT(ADDRESS(AF$1,AF$2,1,1,$A38))</f>
        <v>-36.4617</v>
      </c>
      <c r="AG38" cm="1">
        <f t="array" aca="1" ref="AG38" ca="1">INDIRECT(ADDRESS(AG$1,AG$2,1,1,$A38))</f>
        <v>8.3299999999999999E-2</v>
      </c>
      <c r="AH38" cm="1">
        <f t="array" aca="1" ref="AH38" ca="1">INDIRECT(ADDRESS(AH$1,AH$2,1,1,$A38))</f>
        <v>61.444699999999997</v>
      </c>
      <c r="AI38" cm="1">
        <f t="array" aca="1" ref="AI38" ca="1">INDIRECT(ADDRESS(AI$1,AI$2,1,1,$A38))</f>
        <v>-37.464199999999998</v>
      </c>
      <c r="AJ38" cm="1">
        <f t="array" aca="1" ref="AJ38" ca="1">INDIRECT(ADDRESS(AJ$1,AJ$2,1,1,$A38))</f>
        <v>6.93E-2</v>
      </c>
      <c r="AK38" s="15" cm="1">
        <f t="array" aca="1" ref="AK38" ca="1">INDIRECT(ADDRESS(AK$1,AK$2,1,1,$A38))</f>
        <v>72.880899999999997</v>
      </c>
      <c r="AL38" s="15" cm="1">
        <f t="array" aca="1" ref="AL38" ca="1">INDIRECT(ADDRESS(AL$1,AL$2,1,1,$A38))</f>
        <v>73.711699999999993</v>
      </c>
      <c r="AM38" s="15" cm="1">
        <f t="array" aca="1" ref="AM38" ca="1">INDIRECT(ADDRESS(AM$1,AM$2,1,1,$A38))</f>
        <v>72.339699999999993</v>
      </c>
      <c r="AN38" s="15" cm="1">
        <f t="array" aca="1" ref="AN38" ca="1">INDIRECT(ADDRESS(AN$1,AN$2,1,1,$A38))</f>
        <v>71.965400000000002</v>
      </c>
      <c r="AO38" s="15" cm="1">
        <f t="array" aca="1" ref="AO38" ca="1">INDIRECT(ADDRESS(AO$1,AO$2,1,1,$A38))</f>
        <v>125.9345</v>
      </c>
      <c r="AP38" s="15" cm="1">
        <f t="array" aca="1" ref="AP38" ca="1">INDIRECT(ADDRESS(AP$1,AP$2,1,1,$A38))</f>
        <v>145.2176</v>
      </c>
      <c r="AQ38" s="15" cm="1">
        <f t="array" aca="1" ref="AQ38" ca="1">INDIRECT(ADDRESS(AQ$1,AQ$2,1,1,$A38))</f>
        <v>74.986800000000002</v>
      </c>
      <c r="AR38" s="15" cm="1">
        <f t="array" aca="1" ref="AR38" ca="1">INDIRECT(ADDRESS(AR$1,AR$2,1,1,$A38))</f>
        <v>73.983500000000006</v>
      </c>
      <c r="AS38" s="15" cm="1">
        <f t="array" aca="1" ref="AS38" ca="1">INDIRECT(ADDRESS(AS$1,AS$2,1,1,$A38))</f>
        <v>145.6737</v>
      </c>
      <c r="AT38" s="15" cm="1">
        <f t="array" aca="1" ref="AT38" ca="1">INDIRECT(ADDRESS(AT$1,AT$2,1,1,$A38))</f>
        <v>123.9273</v>
      </c>
      <c r="AV38" s="15">
        <f t="shared" ca="1" si="0"/>
        <v>9.0374077203136949E-5</v>
      </c>
      <c r="AW38" s="15">
        <f t="shared" ca="1" si="1"/>
        <v>4.9222173998941798E-6</v>
      </c>
      <c r="AX38" s="15">
        <f t="shared" ca="1" si="2"/>
        <v>4.6503248995577451E-5</v>
      </c>
      <c r="AY38" s="15">
        <f t="shared" ca="1" si="3"/>
        <v>-2.3935526144214236E-5</v>
      </c>
      <c r="AZ38" s="15">
        <f t="shared" ca="1" si="4"/>
        <v>9.9188109047076978E-5</v>
      </c>
      <c r="BA38" s="15">
        <f t="shared" ca="1" si="5"/>
        <v>4.6788069056447057E-5</v>
      </c>
      <c r="BB38" s="15">
        <f t="shared" ca="1" si="6"/>
        <v>1.6964986002676596E-6</v>
      </c>
      <c r="BC38" s="15">
        <f t="shared" ca="1" si="7"/>
        <v>9.2608492821000254E-6</v>
      </c>
      <c r="BD38" s="15">
        <f t="shared" ca="1" si="8"/>
        <v>1.8363987521752279E-6</v>
      </c>
      <c r="BE38" s="15">
        <f t="shared" ca="1" si="9"/>
        <v>4.4319540421611237E-5</v>
      </c>
      <c r="BG38" s="15" cm="1">
        <f t="array" aca="1" ref="BG38" ca="1">INDIRECT(ADDRESS(BG$1,BG$2,1,1,$A38))</f>
        <v>4.5999999999999999E-3</v>
      </c>
      <c r="BH38" s="15" cm="1">
        <f t="array" aca="1" ref="BH38" ca="1">INDIRECT(ADDRESS(BH$1,BH$2,1,1,$A38))</f>
        <v>8.8999999999999999E-3</v>
      </c>
      <c r="BI38" s="15" cm="1">
        <f t="array" aca="1" ref="BI38" ca="1">INDIRECT(ADDRESS(BI$1,BI$2,1,1,$A38))</f>
        <v>6.4999999999999997E-3</v>
      </c>
      <c r="BJ38" s="15" cm="1">
        <f t="array" aca="1" ref="BJ38" ca="1">INDIRECT(ADDRESS(BJ$1,BJ$2,1,1,$A38))</f>
        <v>7.9000000000000008E-3</v>
      </c>
      <c r="BK38" s="15" cm="1">
        <f t="array" aca="1" ref="BK38" ca="1">INDIRECT(ADDRESS(BK$1,BK$2,1,1,$A38))</f>
        <v>5.7999999999999996E-3</v>
      </c>
      <c r="BN38" s="32"/>
    </row>
    <row r="39" spans="1:66" x14ac:dyDescent="0.4">
      <c r="A39" t="s">
        <v>58</v>
      </c>
      <c r="B39" t="str" cm="1">
        <f t="array" aca="1" ref="B39" ca="1">LEFT(INDIRECT(ADDRESS(B$1,B$2,1,1,$A39)),FIND("-",INDIRECT(ADDRESS(B$1,B$2,1,1,$A39)))-1)</f>
        <v>P509</v>
      </c>
      <c r="C39" t="str" cm="1">
        <f t="array" aca="1" ref="C39" ca="1">RIGHT(INDIRECT(ADDRESS(B$1,B$2,1,1,$A39)),LEN(INDIRECT(ADDRESS(B$1,B$2,1,1,$A39)))-FIND("-",INDIRECT(ADDRESS(B$1,B$2,1,1,$A39))))</f>
        <v>east</v>
      </c>
      <c r="D39" s="10" cm="1">
        <f t="array" aca="1" ref="D39" ca="1">DATE(MID(INDIRECT(ADDRESS(D$1,D$2,1,1,$A39)),1,4),MID(INDIRECT(ADDRESS(D$1,D$2,1,1,$A39)),5,2),MID(INDIRECT(ADDRESS(D$1,D$2,1,1,$A39)),7,2))+TIME(MID(INDIRECT(ADDRESS(D$1,D$2,1,1,$A39)),10,2),MID(INDIRECT(ADDRESS(D$1,D$2,1,1,$A39)),12,2),0)</f>
        <v>44537.730555555558</v>
      </c>
      <c r="E39" cm="1">
        <f t="array" aca="1" ref="E39" ca="1">INDIRECT(ADDRESS(E$1,E$2,1,1,$A39))</f>
        <v>0</v>
      </c>
      <c r="F39" s="11" cm="1">
        <f t="array" aca="1" ref="F39" ca="1">VALUE(SUBSTITUTE(INDIRECT(ADDRESS(F$1,F$2,1,1,$A39)),"┬░C",""))</f>
        <v>20.100000000000001</v>
      </c>
      <c r="G39" s="12" cm="1">
        <f t="array" aca="1" ref="G39" ca="1">INDIRECT(ADDRESS(G$1,G$2,1,1,$A39))</f>
        <v>25.399100000000001</v>
      </c>
      <c r="H39" cm="1">
        <f t="array" aca="1" ref="H39" ca="1">INDIRECT(ADDRESS(H$1,H$2,1,1,$A39))</f>
        <v>25.402999999999999</v>
      </c>
      <c r="I39" cm="1">
        <f t="array" aca="1" ref="I39" ca="1">INDIRECT(ADDRESS(I$1,I$2,1,1,$A39))</f>
        <v>25.403300000000002</v>
      </c>
      <c r="J39" cm="1">
        <f t="array" aca="1" ref="J39" ca="1">INDIRECT(ADDRESS(J$1,J$2,1,1,$A39))</f>
        <v>25.4054</v>
      </c>
      <c r="K39" s="13" cm="1">
        <f t="array" aca="1" ref="K39" ca="1">INDIRECT(ADDRESS(K$1,K$2,1,1,$A39))</f>
        <v>25.402699999999999</v>
      </c>
      <c r="L39" s="14" cm="1">
        <f t="array" aca="1" ref="L39" ca="1">SQRT(SUMSQ(Y39:AA39-V39:X39))</f>
        <v>72.880689064868207</v>
      </c>
      <c r="M39" s="15" cm="1">
        <f t="array" aca="1" ref="M39" ca="1">SQRT(SUMSQ(AB39:AD39-V39:X39))</f>
        <v>73.712175906223266</v>
      </c>
      <c r="N39" s="15" cm="1">
        <f t="array" aca="1" ref="N39" ca="1">SQRT(SUMSQ(AE39:AG39-V39:X39))</f>
        <v>72.339940905491488</v>
      </c>
      <c r="O39" s="15" cm="1">
        <f t="array" aca="1" ref="O39" ca="1">SQRT(SUMSQ(AH39:AJ39-V39:X39))</f>
        <v>71.965390038128746</v>
      </c>
      <c r="P39" s="15" cm="1">
        <f t="array" aca="1" ref="P39" ca="1">SQRT(SUMSQ(AB39:AD39-Y39:AA39))</f>
        <v>125.93470081188902</v>
      </c>
      <c r="Q39" s="15" cm="1">
        <f t="array" aca="1" ref="Q39" ca="1">SQRT(SUMSQ(AE39:AG39-Y39:AA39))</f>
        <v>145.21772187236652</v>
      </c>
      <c r="R39" s="15" cm="1">
        <f t="array" aca="1" ref="R39" ca="1">SQRT(SUMSQ(AH39:AJ39-Y39:AA39))</f>
        <v>74.986996917398969</v>
      </c>
      <c r="S39" s="15" cm="1">
        <f t="array" aca="1" ref="S39" ca="1">SQRT(SUMSQ(AE39:AG39-AB39:AD39))</f>
        <v>73.983995953854773</v>
      </c>
      <c r="T39" s="15" cm="1">
        <f t="array" aca="1" ref="T39" ca="1">SQRT(SUMSQ(AH39:AJ39-AB39:AD39))</f>
        <v>145.67414405106351</v>
      </c>
      <c r="U39" s="16" cm="1">
        <f t="array" aca="1" ref="U39" ca="1">SQRT(SUMSQ(AH39:AJ39-AE39:AG39))</f>
        <v>123.92725326533305</v>
      </c>
      <c r="V39" cm="1">
        <f t="array" aca="1" ref="V39" ca="1">INDIRECT(ADDRESS(V$1,V$2,1,1,$A39))</f>
        <v>0</v>
      </c>
      <c r="W39" cm="1">
        <f t="array" aca="1" ref="W39" ca="1">INDIRECT(ADDRESS(W$1,W$2,1,1,$A39))</f>
        <v>0</v>
      </c>
      <c r="X39" cm="1">
        <f t="array" aca="1" ref="X39" ca="1">INDIRECT(ADDRESS(X$1,X$2,1,1,$A39))</f>
        <v>0</v>
      </c>
      <c r="Y39" cm="1">
        <f t="array" aca="1" ref="Y39" ca="1">INDIRECT(ADDRESS(Y$1,Y$2,1,1,$A39))</f>
        <v>62.483400000000003</v>
      </c>
      <c r="Z39" cm="1">
        <f t="array" aca="1" ref="Z39" ca="1">INDIRECT(ADDRESS(Z$1,Z$2,1,1,$A39))</f>
        <v>37.515500000000003</v>
      </c>
      <c r="AA39" cm="1">
        <f t="array" aca="1" ref="AA39" ca="1">INDIRECT(ADDRESS(AA$1,AA$2,1,1,$A39))</f>
        <v>8.2600000000000007E-2</v>
      </c>
      <c r="AB39" cm="1">
        <f t="array" aca="1" ref="AB39" ca="1">INDIRECT(ADDRESS(AB$1,AB$2,1,1,$A39))</f>
        <v>-63.451300000000003</v>
      </c>
      <c r="AC39" cm="1">
        <f t="array" aca="1" ref="AC39" ca="1">INDIRECT(ADDRESS(AC$1,AC$2,1,1,$A39))</f>
        <v>37.515500000000003</v>
      </c>
      <c r="AD39" cm="1">
        <f t="array" aca="1" ref="AD39" ca="1">INDIRECT(ADDRESS(AD$1,AD$2,1,1,$A39))</f>
        <v>6.83E-2</v>
      </c>
      <c r="AE39" cm="1">
        <f t="array" aca="1" ref="AE39" ca="1">INDIRECT(ADDRESS(AE$1,AE$2,1,1,$A39))</f>
        <v>-62.4786</v>
      </c>
      <c r="AF39" cm="1">
        <f t="array" aca="1" ref="AF39" ca="1">INDIRECT(ADDRESS(AF$1,AF$2,1,1,$A39))</f>
        <v>-36.4621</v>
      </c>
      <c r="AG39" cm="1">
        <f t="array" aca="1" ref="AG39" ca="1">INDIRECT(ADDRESS(AG$1,AG$2,1,1,$A39))</f>
        <v>8.2799999999999999E-2</v>
      </c>
      <c r="AH39" cm="1">
        <f t="array" aca="1" ref="AH39" ca="1">INDIRECT(ADDRESS(AH$1,AH$2,1,1,$A39))</f>
        <v>61.444600000000001</v>
      </c>
      <c r="AI39" cm="1">
        <f t="array" aca="1" ref="AI39" ca="1">INDIRECT(ADDRESS(AI$1,AI$2,1,1,$A39))</f>
        <v>-37.464300000000001</v>
      </c>
      <c r="AJ39" cm="1">
        <f t="array" aca="1" ref="AJ39" ca="1">INDIRECT(ADDRESS(AJ$1,AJ$2,1,1,$A39))</f>
        <v>6.8699999999999997E-2</v>
      </c>
      <c r="AK39" s="15" cm="1">
        <f t="array" aca="1" ref="AK39" ca="1">INDIRECT(ADDRESS(AK$1,AK$2,1,1,$A39))</f>
        <v>72.880700000000004</v>
      </c>
      <c r="AL39" s="15" cm="1">
        <f t="array" aca="1" ref="AL39" ca="1">INDIRECT(ADDRESS(AL$1,AL$2,1,1,$A39))</f>
        <v>73.712100000000007</v>
      </c>
      <c r="AM39" s="15" cm="1">
        <f t="array" aca="1" ref="AM39" ca="1">INDIRECT(ADDRESS(AM$1,AM$2,1,1,$A39))</f>
        <v>72.3399</v>
      </c>
      <c r="AN39" s="15" cm="1">
        <f t="array" aca="1" ref="AN39" ca="1">INDIRECT(ADDRESS(AN$1,AN$2,1,1,$A39))</f>
        <v>71.965299999999999</v>
      </c>
      <c r="AO39" s="15" cm="1">
        <f t="array" aca="1" ref="AO39" ca="1">INDIRECT(ADDRESS(AO$1,AO$2,1,1,$A39))</f>
        <v>125.93470000000001</v>
      </c>
      <c r="AP39" s="15" cm="1">
        <f t="array" aca="1" ref="AP39" ca="1">INDIRECT(ADDRESS(AP$1,AP$2,1,1,$A39))</f>
        <v>145.21770000000001</v>
      </c>
      <c r="AQ39" s="15" cm="1">
        <f t="array" aca="1" ref="AQ39" ca="1">INDIRECT(ADDRESS(AQ$1,AQ$2,1,1,$A39))</f>
        <v>74.986900000000006</v>
      </c>
      <c r="AR39" s="15" cm="1">
        <f t="array" aca="1" ref="AR39" ca="1">INDIRECT(ADDRESS(AR$1,AR$2,1,1,$A39))</f>
        <v>73.983900000000006</v>
      </c>
      <c r="AS39" s="15" cm="1">
        <f t="array" aca="1" ref="AS39" ca="1">INDIRECT(ADDRESS(AS$1,AS$2,1,1,$A39))</f>
        <v>145.67410000000001</v>
      </c>
      <c r="AT39" s="15" cm="1">
        <f t="array" aca="1" ref="AT39" ca="1">INDIRECT(ADDRESS(AT$1,AT$2,1,1,$A39))</f>
        <v>123.9272</v>
      </c>
      <c r="AV39" s="15">
        <f t="shared" ca="1" si="0"/>
        <v>1.0935131797396025E-5</v>
      </c>
      <c r="AW39" s="15">
        <f t="shared" ca="1" si="1"/>
        <v>-7.590622325892582E-5</v>
      </c>
      <c r="AX39" s="15">
        <f t="shared" ca="1" si="2"/>
        <v>-4.0905491488274492E-5</v>
      </c>
      <c r="AY39" s="15">
        <f t="shared" ca="1" si="3"/>
        <v>-9.0038128746527946E-5</v>
      </c>
      <c r="AZ39" s="15">
        <f t="shared" ca="1" si="4"/>
        <v>-8.1188900935558195E-7</v>
      </c>
      <c r="BA39" s="15">
        <f t="shared" ca="1" si="5"/>
        <v>-2.1872366517072805E-5</v>
      </c>
      <c r="BB39" s="15">
        <f t="shared" ca="1" si="6"/>
        <v>-9.6917398963114465E-5</v>
      </c>
      <c r="BC39" s="15">
        <f t="shared" ca="1" si="7"/>
        <v>-9.5953854767572011E-5</v>
      </c>
      <c r="BD39" s="15">
        <f t="shared" ca="1" si="8"/>
        <v>-4.405106349736343E-5</v>
      </c>
      <c r="BE39" s="15">
        <f t="shared" ca="1" si="9"/>
        <v>-5.3265333050944719E-5</v>
      </c>
      <c r="BG39" s="15" cm="1">
        <f t="array" aca="1" ref="BG39" ca="1">INDIRECT(ADDRESS(BG$1,BG$2,1,1,$A39))</f>
        <v>6.1000000000000004E-3</v>
      </c>
      <c r="BH39" s="15" cm="1">
        <f t="array" aca="1" ref="BH39" ca="1">INDIRECT(ADDRESS(BH$1,BH$2,1,1,$A39))</f>
        <v>7.1999999999999998E-3</v>
      </c>
      <c r="BI39" s="15" cm="1">
        <f t="array" aca="1" ref="BI39" ca="1">INDIRECT(ADDRESS(BI$1,BI$2,1,1,$A39))</f>
        <v>7.3000000000000001E-3</v>
      </c>
      <c r="BJ39" s="15" cm="1">
        <f t="array" aca="1" ref="BJ39" ca="1">INDIRECT(ADDRESS(BJ$1,BJ$2,1,1,$A39))</f>
        <v>9.7000000000000003E-3</v>
      </c>
      <c r="BK39" s="15" cm="1">
        <f t="array" aca="1" ref="BK39" ca="1">INDIRECT(ADDRESS(BK$1,BK$2,1,1,$A39))</f>
        <v>5.4000000000000003E-3</v>
      </c>
      <c r="BN39" s="32"/>
    </row>
    <row r="40" spans="1:66" x14ac:dyDescent="0.4">
      <c r="A40" t="s">
        <v>61</v>
      </c>
      <c r="B40" t="str" cm="1">
        <f t="array" aca="1" ref="B40" ca="1">LEFT(INDIRECT(ADDRESS(B$1,B$2,1,1,$A40)),FIND("-",INDIRECT(ADDRESS(B$1,B$2,1,1,$A40)))-1)</f>
        <v>P509</v>
      </c>
      <c r="C40" t="str" cm="1">
        <f t="array" aca="1" ref="C40" ca="1">RIGHT(INDIRECT(ADDRESS(B$1,B$2,1,1,$A40)),LEN(INDIRECT(ADDRESS(B$1,B$2,1,1,$A40)))-FIND("-",INDIRECT(ADDRESS(B$1,B$2,1,1,$A40))))</f>
        <v>east</v>
      </c>
      <c r="D40" s="10" cm="1">
        <f t="array" aca="1" ref="D40" ca="1">DATE(MID(INDIRECT(ADDRESS(D$1,D$2,1,1,$A40)),1,4),MID(INDIRECT(ADDRESS(D$1,D$2,1,1,$A40)),5,2),MID(INDIRECT(ADDRESS(D$1,D$2,1,1,$A40)),7,2))+TIME(MID(INDIRECT(ADDRESS(D$1,D$2,1,1,$A40)),10,2),MID(INDIRECT(ADDRESS(D$1,D$2,1,1,$A40)),12,2),0)</f>
        <v>44537.732638888891</v>
      </c>
      <c r="E40" cm="1">
        <f t="array" aca="1" ref="E40" ca="1">INDIRECT(ADDRESS(E$1,E$2,1,1,$A40))</f>
        <v>0</v>
      </c>
      <c r="F40" s="11" cm="1">
        <f t="array" aca="1" ref="F40" ca="1">VALUE(SUBSTITUTE(INDIRECT(ADDRESS(F$1,F$2,1,1,$A40)),"┬░C",""))</f>
        <v>20.100000000000001</v>
      </c>
      <c r="G40" s="12" cm="1">
        <f t="array" aca="1" ref="G40" ca="1">INDIRECT(ADDRESS(G$1,G$2,1,1,$A40))</f>
        <v>25.399000000000001</v>
      </c>
      <c r="H40" cm="1">
        <f t="array" aca="1" ref="H40" ca="1">INDIRECT(ADDRESS(H$1,H$2,1,1,$A40))</f>
        <v>25.402799999999999</v>
      </c>
      <c r="I40" cm="1">
        <f t="array" aca="1" ref="I40" ca="1">INDIRECT(ADDRESS(I$1,I$2,1,1,$A40))</f>
        <v>25.403199999999998</v>
      </c>
      <c r="J40" cm="1">
        <f t="array" aca="1" ref="J40" ca="1">INDIRECT(ADDRESS(J$1,J$2,1,1,$A40))</f>
        <v>25.404900000000001</v>
      </c>
      <c r="K40" s="13" cm="1">
        <f t="array" aca="1" ref="K40" ca="1">INDIRECT(ADDRESS(K$1,K$2,1,1,$A40))</f>
        <v>25.402200000000001</v>
      </c>
      <c r="L40" s="14" cm="1">
        <f t="array" aca="1" ref="L40" ca="1">SQRT(SUMSQ(Y40:AA40-V40:X40))</f>
        <v>72.881083531050763</v>
      </c>
      <c r="M40" s="15" cm="1">
        <f t="array" aca="1" ref="M40" ca="1">SQRT(SUMSQ(AB40:AD40-V40:X40))</f>
        <v>73.711542393915479</v>
      </c>
      <c r="N40" s="15" cm="1">
        <f t="array" aca="1" ref="N40" ca="1">SQRT(SUMSQ(AE40:AG40-V40:X40))</f>
        <v>72.340049028529137</v>
      </c>
      <c r="O40" s="15" cm="1">
        <f t="array" aca="1" ref="O40" ca="1">SQRT(SUMSQ(AH40:AJ40-V40:X40))</f>
        <v>71.965138626490528</v>
      </c>
      <c r="P40" s="15" cm="1">
        <f t="array" aca="1" ref="P40" ca="1">SQRT(SUMSQ(AB40:AD40-Y40:AA40))</f>
        <v>125.93490077817984</v>
      </c>
      <c r="Q40" s="15" cm="1">
        <f t="array" aca="1" ref="Q40" ca="1">SQRT(SUMSQ(AE40:AG40-Y40:AA40))</f>
        <v>145.21822579363101</v>
      </c>
      <c r="R40" s="15" cm="1">
        <f t="array" aca="1" ref="R40" ca="1">SQRT(SUMSQ(AH40:AJ40-Y40:AA40))</f>
        <v>74.98711485495356</v>
      </c>
      <c r="S40" s="15" cm="1">
        <f t="array" aca="1" ref="S40" ca="1">SQRT(SUMSQ(AE40:AG40-AB40:AD40))</f>
        <v>73.983285442456534</v>
      </c>
      <c r="T40" s="15" cm="1">
        <f t="array" aca="1" ref="T40" ca="1">SQRT(SUMSQ(AH40:AJ40-AB40:AD40))</f>
        <v>145.67325242233042</v>
      </c>
      <c r="U40" s="16" cm="1">
        <f t="array" aca="1" ref="U40" ca="1">SQRT(SUMSQ(AH40:AJ40-AE40:AG40))</f>
        <v>123.92695970247959</v>
      </c>
      <c r="V40" cm="1">
        <f t="array" aca="1" ref="V40" ca="1">INDIRECT(ADDRESS(V$1,V$2,1,1,$A40))</f>
        <v>0</v>
      </c>
      <c r="W40" cm="1">
        <f t="array" aca="1" ref="W40" ca="1">INDIRECT(ADDRESS(W$1,W$2,1,1,$A40))</f>
        <v>0</v>
      </c>
      <c r="X40" cm="1">
        <f t="array" aca="1" ref="X40" ca="1">INDIRECT(ADDRESS(X$1,X$2,1,1,$A40))</f>
        <v>0</v>
      </c>
      <c r="Y40" cm="1">
        <f t="array" aca="1" ref="Y40" ca="1">INDIRECT(ADDRESS(Y$1,Y$2,1,1,$A40))</f>
        <v>62.484099999999998</v>
      </c>
      <c r="Z40" cm="1">
        <f t="array" aca="1" ref="Z40" ca="1">INDIRECT(ADDRESS(Z$1,Z$2,1,1,$A40))</f>
        <v>37.515099999999997</v>
      </c>
      <c r="AA40" cm="1">
        <f t="array" aca="1" ref="AA40" ca="1">INDIRECT(ADDRESS(AA$1,AA$2,1,1,$A40))</f>
        <v>8.2799999999999999E-2</v>
      </c>
      <c r="AB40" cm="1">
        <f t="array" aca="1" ref="AB40" ca="1">INDIRECT(ADDRESS(AB$1,AB$2,1,1,$A40))</f>
        <v>-63.450800000000001</v>
      </c>
      <c r="AC40" cm="1">
        <f t="array" aca="1" ref="AC40" ca="1">INDIRECT(ADDRESS(AC$1,AC$2,1,1,$A40))</f>
        <v>37.515099999999997</v>
      </c>
      <c r="AD40" cm="1">
        <f t="array" aca="1" ref="AD40" ca="1">INDIRECT(ADDRESS(AD$1,AD$2,1,1,$A40))</f>
        <v>6.88E-2</v>
      </c>
      <c r="AE40" cm="1">
        <f t="array" aca="1" ref="AE40" ca="1">INDIRECT(ADDRESS(AE$1,AE$2,1,1,$A40))</f>
        <v>-62.478900000000003</v>
      </c>
      <c r="AF40" cm="1">
        <f t="array" aca="1" ref="AF40" ca="1">INDIRECT(ADDRESS(AF$1,AF$2,1,1,$A40))</f>
        <v>-36.461799999999997</v>
      </c>
      <c r="AG40" cm="1">
        <f t="array" aca="1" ref="AG40" ca="1">INDIRECT(ADDRESS(AG$1,AG$2,1,1,$A40))</f>
        <v>8.3000000000000004E-2</v>
      </c>
      <c r="AH40" cm="1">
        <f t="array" aca="1" ref="AH40" ca="1">INDIRECT(ADDRESS(AH$1,AH$2,1,1,$A40))</f>
        <v>61.444000000000003</v>
      </c>
      <c r="AI40" cm="1">
        <f t="array" aca="1" ref="AI40" ca="1">INDIRECT(ADDRESS(AI$1,AI$2,1,1,$A40))</f>
        <v>-37.464799999999997</v>
      </c>
      <c r="AJ40" cm="1">
        <f t="array" aca="1" ref="AJ40" ca="1">INDIRECT(ADDRESS(AJ$1,AJ$2,1,1,$A40))</f>
        <v>6.93E-2</v>
      </c>
      <c r="AK40" s="15" cm="1">
        <f t="array" aca="1" ref="AK40" ca="1">INDIRECT(ADDRESS(AK$1,AK$2,1,1,$A40))</f>
        <v>72.881100000000004</v>
      </c>
      <c r="AL40" s="15" cm="1">
        <f t="array" aca="1" ref="AL40" ca="1">INDIRECT(ADDRESS(AL$1,AL$2,1,1,$A40))</f>
        <v>73.711500000000001</v>
      </c>
      <c r="AM40" s="15" cm="1">
        <f t="array" aca="1" ref="AM40" ca="1">INDIRECT(ADDRESS(AM$1,AM$2,1,1,$A40))</f>
        <v>72.34</v>
      </c>
      <c r="AN40" s="15" cm="1">
        <f t="array" aca="1" ref="AN40" ca="1">INDIRECT(ADDRESS(AN$1,AN$2,1,1,$A40))</f>
        <v>71.965100000000007</v>
      </c>
      <c r="AO40" s="15" cm="1">
        <f t="array" aca="1" ref="AO40" ca="1">INDIRECT(ADDRESS(AO$1,AO$2,1,1,$A40))</f>
        <v>125.9349</v>
      </c>
      <c r="AP40" s="15" cm="1">
        <f t="array" aca="1" ref="AP40" ca="1">INDIRECT(ADDRESS(AP$1,AP$2,1,1,$A40))</f>
        <v>145.2182</v>
      </c>
      <c r="AQ40" s="15" cm="1">
        <f t="array" aca="1" ref="AQ40" ca="1">INDIRECT(ADDRESS(AQ$1,AQ$2,1,1,$A40))</f>
        <v>74.987099999999998</v>
      </c>
      <c r="AR40" s="15" cm="1">
        <f t="array" aca="1" ref="AR40" ca="1">INDIRECT(ADDRESS(AR$1,AR$2,1,1,$A40))</f>
        <v>73.983199999999997</v>
      </c>
      <c r="AS40" s="15" cm="1">
        <f t="array" aca="1" ref="AS40" ca="1">INDIRECT(ADDRESS(AS$1,AS$2,1,1,$A40))</f>
        <v>145.67320000000001</v>
      </c>
      <c r="AT40" s="15" cm="1">
        <f t="array" aca="1" ref="AT40" ca="1">INDIRECT(ADDRESS(AT$1,AT$2,1,1,$A40))</f>
        <v>123.9269</v>
      </c>
      <c r="AV40" s="15">
        <f t="shared" ca="1" si="0"/>
        <v>1.6468949240788788E-5</v>
      </c>
      <c r="AW40" s="15">
        <f t="shared" ca="1" si="1"/>
        <v>-4.2393915478555755E-5</v>
      </c>
      <c r="AX40" s="15">
        <f t="shared" ca="1" si="2"/>
        <v>-4.9028529133465781E-5</v>
      </c>
      <c r="AY40" s="15">
        <f t="shared" ca="1" si="3"/>
        <v>-3.8626490521664891E-5</v>
      </c>
      <c r="AZ40" s="15">
        <f t="shared" ca="1" si="4"/>
        <v>-7.781798387895833E-7</v>
      </c>
      <c r="BA40" s="15">
        <f t="shared" ca="1" si="5"/>
        <v>-2.5793631010628815E-5</v>
      </c>
      <c r="BB40" s="15">
        <f t="shared" ca="1" si="6"/>
        <v>-1.4854953562348783E-5</v>
      </c>
      <c r="BC40" s="15">
        <f t="shared" ca="1" si="7"/>
        <v>-8.5442456537521139E-5</v>
      </c>
      <c r="BD40" s="15">
        <f t="shared" ca="1" si="8"/>
        <v>-5.2422330412582596E-5</v>
      </c>
      <c r="BE40" s="15">
        <f t="shared" ca="1" si="9"/>
        <v>-5.9702479589418544E-5</v>
      </c>
      <c r="BG40" s="15" cm="1">
        <f t="array" aca="1" ref="BG40" ca="1">INDIRECT(ADDRESS(BG$1,BG$2,1,1,$A40))</f>
        <v>6.0000000000000001E-3</v>
      </c>
      <c r="BH40" s="15" cm="1">
        <f t="array" aca="1" ref="BH40" ca="1">INDIRECT(ADDRESS(BH$1,BH$2,1,1,$A40))</f>
        <v>6.7000000000000002E-3</v>
      </c>
      <c r="BI40" s="15" cm="1">
        <f t="array" aca="1" ref="BI40" ca="1">INDIRECT(ADDRESS(BI$1,BI$2,1,1,$A40))</f>
        <v>6.1999999999999998E-3</v>
      </c>
      <c r="BJ40" s="15" cm="1">
        <f t="array" aca="1" ref="BJ40" ca="1">INDIRECT(ADDRESS(BJ$1,BJ$2,1,1,$A40))</f>
        <v>8.8999999999999999E-3</v>
      </c>
      <c r="BK40" s="15" cm="1">
        <f t="array" aca="1" ref="BK40" ca="1">INDIRECT(ADDRESS(BK$1,BK$2,1,1,$A40))</f>
        <v>4.5999999999999999E-3</v>
      </c>
      <c r="BN40" s="32"/>
    </row>
    <row r="41" spans="1:66" x14ac:dyDescent="0.4">
      <c r="A41" t="s">
        <v>64</v>
      </c>
      <c r="B41" t="str" cm="1">
        <f t="array" aca="1" ref="B41" ca="1">LEFT(INDIRECT(ADDRESS(B$1,B$2,1,1,$A41)),FIND("-",INDIRECT(ADDRESS(B$1,B$2,1,1,$A41)))-1)</f>
        <v>P509</v>
      </c>
      <c r="C41" t="str" cm="1">
        <f t="array" aca="1" ref="C41" ca="1">RIGHT(INDIRECT(ADDRESS(B$1,B$2,1,1,$A41)),LEN(INDIRECT(ADDRESS(B$1,B$2,1,1,$A41)))-FIND("-",INDIRECT(ADDRESS(B$1,B$2,1,1,$A41))))</f>
        <v>east</v>
      </c>
      <c r="D41" s="10" cm="1">
        <f t="array" aca="1" ref="D41" ca="1">DATE(MID(INDIRECT(ADDRESS(D$1,D$2,1,1,$A41)),1,4),MID(INDIRECT(ADDRESS(D$1,D$2,1,1,$A41)),5,2),MID(INDIRECT(ADDRESS(D$1,D$2,1,1,$A41)),7,2))+TIME(MID(INDIRECT(ADDRESS(D$1,D$2,1,1,$A41)),10,2),MID(INDIRECT(ADDRESS(D$1,D$2,1,1,$A41)),12,2),0)</f>
        <v>44537.73541666667</v>
      </c>
      <c r="E41" cm="1">
        <f t="array" aca="1" ref="E41" ca="1">INDIRECT(ADDRESS(E$1,E$2,1,1,$A41))</f>
        <v>0</v>
      </c>
      <c r="F41" s="11" cm="1">
        <f t="array" aca="1" ref="F41" ca="1">VALUE(SUBSTITUTE(INDIRECT(ADDRESS(F$1,F$2,1,1,$A41)),"┬░C",""))</f>
        <v>20.100000000000001</v>
      </c>
      <c r="G41" s="12" cm="1">
        <f t="array" aca="1" ref="G41" ca="1">INDIRECT(ADDRESS(G$1,G$2,1,1,$A41))</f>
        <v>25.3992</v>
      </c>
      <c r="H41" cm="1">
        <f t="array" aca="1" ref="H41" ca="1">INDIRECT(ADDRESS(H$1,H$2,1,1,$A41))</f>
        <v>25.403199999999998</v>
      </c>
      <c r="I41" cm="1">
        <f t="array" aca="1" ref="I41" ca="1">INDIRECT(ADDRESS(I$1,I$2,1,1,$A41))</f>
        <v>25.402699999999999</v>
      </c>
      <c r="J41" cm="1">
        <f t="array" aca="1" ref="J41" ca="1">INDIRECT(ADDRESS(J$1,J$2,1,1,$A41))</f>
        <v>25.404299999999999</v>
      </c>
      <c r="K41" s="13" cm="1">
        <f t="array" aca="1" ref="K41" ca="1">INDIRECT(ADDRESS(K$1,K$2,1,1,$A41))</f>
        <v>25.4024</v>
      </c>
      <c r="L41" s="14" cm="1">
        <f t="array" aca="1" ref="L41" ca="1">SQRT(SUMSQ(Y41:AA41-V41:X41))</f>
        <v>72.88086087320869</v>
      </c>
      <c r="M41" s="15" cm="1">
        <f t="array" aca="1" ref="M41" ca="1">SQRT(SUMSQ(AB41:AD41-V41:X41))</f>
        <v>73.711745693206865</v>
      </c>
      <c r="N41" s="15" cm="1">
        <f t="array" aca="1" ref="N41" ca="1">SQRT(SUMSQ(AE41:AG41-V41:X41))</f>
        <v>72.34018591502236</v>
      </c>
      <c r="O41" s="15" cm="1">
        <f t="array" aca="1" ref="O41" ca="1">SQRT(SUMSQ(AH41:AJ41-V41:X41))</f>
        <v>71.965669358729656</v>
      </c>
      <c r="P41" s="15" cm="1">
        <f t="array" aca="1" ref="P41" ca="1">SQRT(SUMSQ(AB41:AD41-Y41:AA41))</f>
        <v>125.93440082328578</v>
      </c>
      <c r="Q41" s="15" cm="1">
        <f t="array" aca="1" ref="Q41" ca="1">SQRT(SUMSQ(AE41:AG41-Y41:AA41))</f>
        <v>145.21813629695157</v>
      </c>
      <c r="R41" s="15" cm="1">
        <f t="array" aca="1" ref="R41" ca="1">SQRT(SUMSQ(AH41:AJ41-Y41:AA41))</f>
        <v>74.987701006698444</v>
      </c>
      <c r="S41" s="15" cm="1">
        <f t="array" aca="1" ref="S41" ca="1">SQRT(SUMSQ(AE41:AG41-AB41:AD41))</f>
        <v>73.98378416355844</v>
      </c>
      <c r="T41" s="15" cm="1">
        <f t="array" aca="1" ref="T41" ca="1">SQRT(SUMSQ(AH41:AJ41-AB41:AD41))</f>
        <v>145.67398993159347</v>
      </c>
      <c r="U41" s="16" cm="1">
        <f t="array" aca="1" ref="U41" ca="1">SQRT(SUMSQ(AH41:AJ41-AE41:AG41))</f>
        <v>123.92756053707342</v>
      </c>
      <c r="V41" cm="1">
        <f t="array" aca="1" ref="V41" ca="1">INDIRECT(ADDRESS(V$1,V$2,1,1,$A41))</f>
        <v>0</v>
      </c>
      <c r="W41" cm="1">
        <f t="array" aca="1" ref="W41" ca="1">INDIRECT(ADDRESS(W$1,W$2,1,1,$A41))</f>
        <v>0</v>
      </c>
      <c r="X41" cm="1">
        <f t="array" aca="1" ref="X41" ca="1">INDIRECT(ADDRESS(X$1,X$2,1,1,$A41))</f>
        <v>0</v>
      </c>
      <c r="Y41" cm="1">
        <f t="array" aca="1" ref="Y41" ca="1">INDIRECT(ADDRESS(Y$1,Y$2,1,1,$A41))</f>
        <v>62.483600000000003</v>
      </c>
      <c r="Z41" cm="1">
        <f t="array" aca="1" ref="Z41" ca="1">INDIRECT(ADDRESS(Z$1,Z$2,1,1,$A41))</f>
        <v>37.515500000000003</v>
      </c>
      <c r="AA41" cm="1">
        <f t="array" aca="1" ref="AA41" ca="1">INDIRECT(ADDRESS(AA$1,AA$2,1,1,$A41))</f>
        <v>8.2900000000000001E-2</v>
      </c>
      <c r="AB41" cm="1">
        <f t="array" aca="1" ref="AB41" ca="1">INDIRECT(ADDRESS(AB$1,AB$2,1,1,$A41))</f>
        <v>-63.450800000000001</v>
      </c>
      <c r="AC41" cm="1">
        <f t="array" aca="1" ref="AC41" ca="1">INDIRECT(ADDRESS(AC$1,AC$2,1,1,$A41))</f>
        <v>37.515500000000003</v>
      </c>
      <c r="AD41" cm="1">
        <f t="array" aca="1" ref="AD41" ca="1">INDIRECT(ADDRESS(AD$1,AD$2,1,1,$A41))</f>
        <v>6.8500000000000005E-2</v>
      </c>
      <c r="AE41" cm="1">
        <f t="array" aca="1" ref="AE41" ca="1">INDIRECT(ADDRESS(AE$1,AE$2,1,1,$A41))</f>
        <v>-62.478999999999999</v>
      </c>
      <c r="AF41" cm="1">
        <f t="array" aca="1" ref="AF41" ca="1">INDIRECT(ADDRESS(AF$1,AF$2,1,1,$A41))</f>
        <v>-36.4619</v>
      </c>
      <c r="AG41" cm="1">
        <f t="array" aca="1" ref="AG41" ca="1">INDIRECT(ADDRESS(AG$1,AG$2,1,1,$A41))</f>
        <v>8.3099999999999993E-2</v>
      </c>
      <c r="AH41" cm="1">
        <f t="array" aca="1" ref="AH41" ca="1">INDIRECT(ADDRESS(AH$1,AH$2,1,1,$A41))</f>
        <v>61.444499999999998</v>
      </c>
      <c r="AI41" cm="1">
        <f t="array" aca="1" ref="AI41" ca="1">INDIRECT(ADDRESS(AI$1,AI$2,1,1,$A41))</f>
        <v>-37.465000000000003</v>
      </c>
      <c r="AJ41" cm="1">
        <f t="array" aca="1" ref="AJ41" ca="1">INDIRECT(ADDRESS(AJ$1,AJ$2,1,1,$A41))</f>
        <v>6.9000000000000006E-2</v>
      </c>
      <c r="AK41" s="15" cm="1">
        <f t="array" aca="1" ref="AK41" ca="1">INDIRECT(ADDRESS(AK$1,AK$2,1,1,$A41))</f>
        <v>72.880899999999997</v>
      </c>
      <c r="AL41" s="15" cm="1">
        <f t="array" aca="1" ref="AL41" ca="1">INDIRECT(ADDRESS(AL$1,AL$2,1,1,$A41))</f>
        <v>73.711799999999997</v>
      </c>
      <c r="AM41" s="15" cm="1">
        <f t="array" aca="1" ref="AM41" ca="1">INDIRECT(ADDRESS(AM$1,AM$2,1,1,$A41))</f>
        <v>72.340199999999996</v>
      </c>
      <c r="AN41" s="15" cm="1">
        <f t="array" aca="1" ref="AN41" ca="1">INDIRECT(ADDRESS(AN$1,AN$2,1,1,$A41))</f>
        <v>71.965699999999998</v>
      </c>
      <c r="AO41" s="15" cm="1">
        <f t="array" aca="1" ref="AO41" ca="1">INDIRECT(ADDRESS(AO$1,AO$2,1,1,$A41))</f>
        <v>125.9344</v>
      </c>
      <c r="AP41" s="15" cm="1">
        <f t="array" aca="1" ref="AP41" ca="1">INDIRECT(ADDRESS(AP$1,AP$2,1,1,$A41))</f>
        <v>145.2182</v>
      </c>
      <c r="AQ41" s="15" cm="1">
        <f t="array" aca="1" ref="AQ41" ca="1">INDIRECT(ADDRESS(AQ$1,AQ$2,1,1,$A41))</f>
        <v>74.987700000000004</v>
      </c>
      <c r="AR41" s="15" cm="1">
        <f t="array" aca="1" ref="AR41" ca="1">INDIRECT(ADDRESS(AR$1,AR$2,1,1,$A41))</f>
        <v>73.983800000000002</v>
      </c>
      <c r="AS41" s="15" cm="1">
        <f t="array" aca="1" ref="AS41" ca="1">INDIRECT(ADDRESS(AS$1,AS$2,1,1,$A41))</f>
        <v>145.67400000000001</v>
      </c>
      <c r="AT41" s="15" cm="1">
        <f t="array" aca="1" ref="AT41" ca="1">INDIRECT(ADDRESS(AT$1,AT$2,1,1,$A41))</f>
        <v>123.9276</v>
      </c>
      <c r="AV41" s="15">
        <f t="shared" ca="1" si="0"/>
        <v>3.9126791307353415E-5</v>
      </c>
      <c r="AW41" s="15">
        <f t="shared" ca="1" si="1"/>
        <v>5.4306793131786435E-5</v>
      </c>
      <c r="AX41" s="15">
        <f t="shared" ca="1" si="2"/>
        <v>1.4084977635775431E-5</v>
      </c>
      <c r="AY41" s="15">
        <f t="shared" ca="1" si="3"/>
        <v>3.0641270342357529E-5</v>
      </c>
      <c r="AZ41" s="15">
        <f t="shared" ca="1" si="4"/>
        <v>-8.232857879875155E-7</v>
      </c>
      <c r="BA41" s="15">
        <f t="shared" ca="1" si="5"/>
        <v>6.370304842562291E-5</v>
      </c>
      <c r="BB41" s="15">
        <f t="shared" ca="1" si="6"/>
        <v>-1.006698440164655E-6</v>
      </c>
      <c r="BC41" s="15">
        <f t="shared" ca="1" si="7"/>
        <v>1.5836441562555592E-5</v>
      </c>
      <c r="BD41" s="15">
        <f t="shared" ca="1" si="8"/>
        <v>1.006840653872132E-5</v>
      </c>
      <c r="BE41" s="15">
        <f t="shared" ca="1" si="9"/>
        <v>3.9462926579858504E-5</v>
      </c>
      <c r="BG41" s="15" cm="1">
        <f t="array" aca="1" ref="BG41" ca="1">INDIRECT(ADDRESS(BG$1,BG$2,1,1,$A41))</f>
        <v>5.1000000000000004E-3</v>
      </c>
      <c r="BH41" s="15" cm="1">
        <f t="array" aca="1" ref="BH41" ca="1">INDIRECT(ADDRESS(BH$1,BH$2,1,1,$A41))</f>
        <v>7.4000000000000003E-3</v>
      </c>
      <c r="BI41" s="15" cm="1">
        <f t="array" aca="1" ref="BI41" ca="1">INDIRECT(ADDRESS(BI$1,BI$2,1,1,$A41))</f>
        <v>6.0000000000000001E-3</v>
      </c>
      <c r="BJ41" s="15" cm="1">
        <f t="array" aca="1" ref="BJ41" ca="1">INDIRECT(ADDRESS(BJ$1,BJ$2,1,1,$A41))</f>
        <v>8.9999999999999993E-3</v>
      </c>
      <c r="BK41" s="15" cm="1">
        <f t="array" aca="1" ref="BK41" ca="1">INDIRECT(ADDRESS(BK$1,BK$2,1,1,$A41))</f>
        <v>4.1000000000000003E-3</v>
      </c>
      <c r="BN41" s="32"/>
    </row>
    <row r="42" spans="1:66" x14ac:dyDescent="0.4">
      <c r="A42" t="s">
        <v>67</v>
      </c>
      <c r="B42" t="str" cm="1">
        <f t="array" aca="1" ref="B42" ca="1">LEFT(INDIRECT(ADDRESS(B$1,B$2,1,1,$A42)),FIND("-",INDIRECT(ADDRESS(B$1,B$2,1,1,$A42)))-1)</f>
        <v>P509</v>
      </c>
      <c r="C42" t="str" cm="1">
        <f t="array" aca="1" ref="C42" ca="1">RIGHT(INDIRECT(ADDRESS(B$1,B$2,1,1,$A42)),LEN(INDIRECT(ADDRESS(B$1,B$2,1,1,$A42)))-FIND("-",INDIRECT(ADDRESS(B$1,B$2,1,1,$A42))))</f>
        <v>east</v>
      </c>
      <c r="D42" s="10" cm="1">
        <f t="array" aca="1" ref="D42" ca="1">DATE(MID(INDIRECT(ADDRESS(D$1,D$2,1,1,$A42)),1,4),MID(INDIRECT(ADDRESS(D$1,D$2,1,1,$A42)),5,2),MID(INDIRECT(ADDRESS(D$1,D$2,1,1,$A42)),7,2))+TIME(MID(INDIRECT(ADDRESS(D$1,D$2,1,1,$A42)),10,2),MID(INDIRECT(ADDRESS(D$1,D$2,1,1,$A42)),12,2),0)</f>
        <v>44537.737500000003</v>
      </c>
      <c r="E42" cm="1">
        <f t="array" aca="1" ref="E42" ca="1">INDIRECT(ADDRESS(E$1,E$2,1,1,$A42))</f>
        <v>0</v>
      </c>
      <c r="F42" s="11" cm="1">
        <f t="array" aca="1" ref="F42" ca="1">VALUE(SUBSTITUTE(INDIRECT(ADDRESS(F$1,F$2,1,1,$A42)),"┬░C",""))</f>
        <v>20.100000000000001</v>
      </c>
      <c r="G42" s="12" cm="1">
        <f t="array" aca="1" ref="G42" ca="1">INDIRECT(ADDRESS(G$1,G$2,1,1,$A42))</f>
        <v>25.398599999999998</v>
      </c>
      <c r="H42" cm="1">
        <f t="array" aca="1" ref="H42" ca="1">INDIRECT(ADDRESS(H$1,H$2,1,1,$A42))</f>
        <v>25.402699999999999</v>
      </c>
      <c r="I42" cm="1">
        <f t="array" aca="1" ref="I42" ca="1">INDIRECT(ADDRESS(I$1,I$2,1,1,$A42))</f>
        <v>25.4026</v>
      </c>
      <c r="J42" cm="1">
        <f t="array" aca="1" ref="J42" ca="1">INDIRECT(ADDRESS(J$1,J$2,1,1,$A42))</f>
        <v>25.404599999999999</v>
      </c>
      <c r="K42" s="13" cm="1">
        <f t="array" aca="1" ref="K42" ca="1">INDIRECT(ADDRESS(K$1,K$2,1,1,$A42))</f>
        <v>25.402799999999999</v>
      </c>
      <c r="L42" s="14" cm="1">
        <f t="array" aca="1" ref="L42" ca="1">SQRT(SUMSQ(Y42:AA42-V42:X42))</f>
        <v>72.880739914877367</v>
      </c>
      <c r="M42" s="15" cm="1">
        <f t="array" aca="1" ref="M42" ca="1">SQRT(SUMSQ(AB42:AD42-V42:X42))</f>
        <v>73.711799891333541</v>
      </c>
      <c r="N42" s="15" cm="1">
        <f t="array" aca="1" ref="N42" ca="1">SQRT(SUMSQ(AE42:AG42-V42:X42))</f>
        <v>72.340127624576397</v>
      </c>
      <c r="O42" s="15" cm="1">
        <f t="array" aca="1" ref="O42" ca="1">SQRT(SUMSQ(AH42:AJ42-V42:X42))</f>
        <v>71.965991664743981</v>
      </c>
      <c r="P42" s="15" cm="1">
        <f t="array" aca="1" ref="P42" ca="1">SQRT(SUMSQ(AB42:AD42-Y42:AA42))</f>
        <v>125.93480080057299</v>
      </c>
      <c r="Q42" s="15" cm="1">
        <f t="array" aca="1" ref="Q42" ca="1">SQRT(SUMSQ(AE42:AG42-Y42:AA42))</f>
        <v>145.21796419369059</v>
      </c>
      <c r="R42" s="15" cm="1">
        <f t="array" aca="1" ref="R42" ca="1">SQRT(SUMSQ(AH42:AJ42-Y42:AA42))</f>
        <v>74.98709548575674</v>
      </c>
      <c r="S42" s="15" cm="1">
        <f t="array" aca="1" ref="S42" ca="1">SQRT(SUMSQ(AE42:AG42-AB42:AD42))</f>
        <v>73.983792007979673</v>
      </c>
      <c r="T42" s="15" cm="1">
        <f t="array" aca="1" ref="T42" ca="1">SQRT(SUMSQ(AH42:AJ42-AB42:AD42))</f>
        <v>145.67436699526101</v>
      </c>
      <c r="U42" s="16" cm="1">
        <f t="array" aca="1" ref="U42" ca="1">SQRT(SUMSQ(AH42:AJ42-AE42:AG42))</f>
        <v>123.92775565283992</v>
      </c>
      <c r="V42" cm="1">
        <f t="array" aca="1" ref="V42" ca="1">INDIRECT(ADDRESS(V$1,V$2,1,1,$A42))</f>
        <v>0</v>
      </c>
      <c r="W42" cm="1">
        <f t="array" aca="1" ref="W42" ca="1">INDIRECT(ADDRESS(W$1,W$2,1,1,$A42))</f>
        <v>0</v>
      </c>
      <c r="X42" cm="1">
        <f t="array" aca="1" ref="X42" ca="1">INDIRECT(ADDRESS(X$1,X$2,1,1,$A42))</f>
        <v>0</v>
      </c>
      <c r="Y42" cm="1">
        <f t="array" aca="1" ref="Y42" ca="1">INDIRECT(ADDRESS(Y$1,Y$2,1,1,$A42))</f>
        <v>62.483699999999999</v>
      </c>
      <c r="Z42" cm="1">
        <f t="array" aca="1" ref="Z42" ca="1">INDIRECT(ADDRESS(Z$1,Z$2,1,1,$A42))</f>
        <v>37.515099999999997</v>
      </c>
      <c r="AA42" cm="1">
        <f t="array" aca="1" ref="AA42" ca="1">INDIRECT(ADDRESS(AA$1,AA$2,1,1,$A42))</f>
        <v>8.2199999999999995E-2</v>
      </c>
      <c r="AB42" cm="1">
        <f t="array" aca="1" ref="AB42" ca="1">INDIRECT(ADDRESS(AB$1,AB$2,1,1,$A42))</f>
        <v>-63.451099999999997</v>
      </c>
      <c r="AC42" cm="1">
        <f t="array" aca="1" ref="AC42" ca="1">INDIRECT(ADDRESS(AC$1,AC$2,1,1,$A42))</f>
        <v>37.515099999999997</v>
      </c>
      <c r="AD42" cm="1">
        <f t="array" aca="1" ref="AD42" ca="1">INDIRECT(ADDRESS(AD$1,AD$2,1,1,$A42))</f>
        <v>6.8000000000000005E-2</v>
      </c>
      <c r="AE42" cm="1">
        <f t="array" aca="1" ref="AE42" ca="1">INDIRECT(ADDRESS(AE$1,AE$2,1,1,$A42))</f>
        <v>-62.478700000000003</v>
      </c>
      <c r="AF42" cm="1">
        <f t="array" aca="1" ref="AF42" ca="1">INDIRECT(ADDRESS(AF$1,AF$2,1,1,$A42))</f>
        <v>-36.462299999999999</v>
      </c>
      <c r="AG42" cm="1">
        <f t="array" aca="1" ref="AG42" ca="1">INDIRECT(ADDRESS(AG$1,AG$2,1,1,$A42))</f>
        <v>8.2400000000000001E-2</v>
      </c>
      <c r="AH42" cm="1">
        <f t="array" aca="1" ref="AH42" ca="1">INDIRECT(ADDRESS(AH$1,AH$2,1,1,$A42))</f>
        <v>61.445</v>
      </c>
      <c r="AI42" cm="1">
        <f t="array" aca="1" ref="AI42" ca="1">INDIRECT(ADDRESS(AI$1,AI$2,1,1,$A42))</f>
        <v>-37.464799999999997</v>
      </c>
      <c r="AJ42" cm="1">
        <f t="array" aca="1" ref="AJ42" ca="1">INDIRECT(ADDRESS(AJ$1,AJ$2,1,1,$A42))</f>
        <v>6.8500000000000005E-2</v>
      </c>
      <c r="AK42" s="15" cm="1">
        <f t="array" aca="1" ref="AK42" ca="1">INDIRECT(ADDRESS(AK$1,AK$2,1,1,$A42))</f>
        <v>72.880700000000004</v>
      </c>
      <c r="AL42" s="15" cm="1">
        <f t="array" aca="1" ref="AL42" ca="1">INDIRECT(ADDRESS(AL$1,AL$2,1,1,$A42))</f>
        <v>73.711799999999997</v>
      </c>
      <c r="AM42" s="15" cm="1">
        <f t="array" aca="1" ref="AM42" ca="1">INDIRECT(ADDRESS(AM$1,AM$2,1,1,$A42))</f>
        <v>72.340100000000007</v>
      </c>
      <c r="AN42" s="15" cm="1">
        <f t="array" aca="1" ref="AN42" ca="1">INDIRECT(ADDRESS(AN$1,AN$2,1,1,$A42))</f>
        <v>71.965900000000005</v>
      </c>
      <c r="AO42" s="15" cm="1">
        <f t="array" aca="1" ref="AO42" ca="1">INDIRECT(ADDRESS(AO$1,AO$2,1,1,$A42))</f>
        <v>125.9348</v>
      </c>
      <c r="AP42" s="15" cm="1">
        <f t="array" aca="1" ref="AP42" ca="1">INDIRECT(ADDRESS(AP$1,AP$2,1,1,$A42))</f>
        <v>145.21799999999999</v>
      </c>
      <c r="AQ42" s="15" cm="1">
        <f t="array" aca="1" ref="AQ42" ca="1">INDIRECT(ADDRESS(AQ$1,AQ$2,1,1,$A42))</f>
        <v>74.987099999999998</v>
      </c>
      <c r="AR42" s="15" cm="1">
        <f t="array" aca="1" ref="AR42" ca="1">INDIRECT(ADDRESS(AR$1,AR$2,1,1,$A42))</f>
        <v>73.983900000000006</v>
      </c>
      <c r="AS42" s="15" cm="1">
        <f t="array" aca="1" ref="AS42" ca="1">INDIRECT(ADDRESS(AS$1,AS$2,1,1,$A42))</f>
        <v>145.67429999999999</v>
      </c>
      <c r="AT42" s="15" cm="1">
        <f t="array" aca="1" ref="AT42" ca="1">INDIRECT(ADDRESS(AT$1,AT$2,1,1,$A42))</f>
        <v>123.9277</v>
      </c>
      <c r="AV42" s="15">
        <f t="shared" ca="1" si="0"/>
        <v>-3.9914877362434709E-5</v>
      </c>
      <c r="AW42" s="15">
        <f t="shared" ca="1" si="1"/>
        <v>1.086664553895389E-7</v>
      </c>
      <c r="AX42" s="15">
        <f t="shared" ca="1" si="2"/>
        <v>-2.7624576389939648E-5</v>
      </c>
      <c r="AY42" s="15">
        <f t="shared" ca="1" si="3"/>
        <v>-9.1664743976593854E-5</v>
      </c>
      <c r="AZ42" s="15">
        <f t="shared" ca="1" si="4"/>
        <v>-8.0057299101099488E-7</v>
      </c>
      <c r="BA42" s="15">
        <f t="shared" ca="1" si="5"/>
        <v>3.5806309398367375E-5</v>
      </c>
      <c r="BB42" s="15">
        <f t="shared" ca="1" si="6"/>
        <v>4.5142432583133996E-6</v>
      </c>
      <c r="BC42" s="15">
        <f t="shared" ca="1" si="7"/>
        <v>1.0799202033240363E-4</v>
      </c>
      <c r="BD42" s="15">
        <f t="shared" ca="1" si="8"/>
        <v>-6.6995261022384511E-5</v>
      </c>
      <c r="BE42" s="15">
        <f t="shared" ca="1" si="9"/>
        <v>-5.5652839918707286E-5</v>
      </c>
      <c r="BG42" s="15" cm="1">
        <f t="array" aca="1" ref="BG42" ca="1">INDIRECT(ADDRESS(BG$1,BG$2,1,1,$A42))</f>
        <v>4.5999999999999999E-3</v>
      </c>
      <c r="BH42" s="15" cm="1">
        <f t="array" aca="1" ref="BH42" ca="1">INDIRECT(ADDRESS(BH$1,BH$2,1,1,$A42))</f>
        <v>6.4000000000000003E-3</v>
      </c>
      <c r="BI42" s="15" cm="1">
        <f t="array" aca="1" ref="BI42" ca="1">INDIRECT(ADDRESS(BI$1,BI$2,1,1,$A42))</f>
        <v>6.3E-3</v>
      </c>
      <c r="BJ42" s="15" cm="1">
        <f t="array" aca="1" ref="BJ42" ca="1">INDIRECT(ADDRESS(BJ$1,BJ$2,1,1,$A42))</f>
        <v>8.8000000000000005E-3</v>
      </c>
      <c r="BK42" s="15" cm="1">
        <f t="array" aca="1" ref="BK42" ca="1">INDIRECT(ADDRESS(BK$1,BK$2,1,1,$A42))</f>
        <v>5.3E-3</v>
      </c>
      <c r="BN42" s="32"/>
    </row>
    <row r="43" spans="1:66" x14ac:dyDescent="0.4">
      <c r="D43" s="10"/>
      <c r="F43" s="11"/>
      <c r="G43" s="12"/>
      <c r="K43" s="13"/>
      <c r="L43" s="14"/>
      <c r="M43" s="15"/>
      <c r="N43" s="15"/>
      <c r="O43" s="15"/>
      <c r="P43" s="15"/>
      <c r="Q43" s="15"/>
      <c r="R43" s="15"/>
      <c r="S43" s="15"/>
      <c r="T43" s="15"/>
      <c r="U43" s="16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</row>
    <row r="44" spans="1:66" x14ac:dyDescent="0.4">
      <c r="F44" s="11"/>
      <c r="G44" s="12"/>
      <c r="K44" s="13"/>
      <c r="L44" s="14"/>
      <c r="M44" s="15"/>
      <c r="N44" s="15"/>
      <c r="O44" s="15"/>
      <c r="P44" s="15"/>
      <c r="Q44" s="15"/>
      <c r="R44" s="15"/>
      <c r="S44" s="15"/>
      <c r="T44" s="15"/>
      <c r="U44" s="16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</row>
    <row r="45" spans="1:66" x14ac:dyDescent="0.4">
      <c r="D45" s="10"/>
      <c r="F45" s="11"/>
      <c r="G45" s="12"/>
      <c r="K45" s="13"/>
      <c r="L45" s="14"/>
      <c r="M45" s="15"/>
      <c r="N45" s="15"/>
      <c r="O45" s="15"/>
      <c r="P45" s="15"/>
      <c r="Q45" s="15"/>
      <c r="R45" s="15"/>
      <c r="S45" s="15"/>
      <c r="T45" s="15"/>
      <c r="U45" s="16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V45" s="15"/>
      <c r="AW45" s="15"/>
      <c r="AX45" s="15"/>
      <c r="AY45" s="15"/>
      <c r="AZ45" s="15"/>
      <c r="BA45" s="15"/>
      <c r="BB45" s="15"/>
      <c r="BC45" s="15"/>
      <c r="BD45" s="15"/>
      <c r="BE45" s="15"/>
    </row>
    <row r="46" spans="1:66" x14ac:dyDescent="0.4">
      <c r="A46" s="31"/>
      <c r="D46" s="10"/>
      <c r="F46" s="11"/>
      <c r="G46" s="12"/>
      <c r="K46" s="13"/>
      <c r="L46" s="14"/>
      <c r="M46" s="15"/>
      <c r="N46" s="15"/>
      <c r="O46" s="15"/>
      <c r="P46" s="15"/>
      <c r="Q46" s="15"/>
      <c r="R46" s="15"/>
      <c r="S46" s="15"/>
      <c r="T46" s="15"/>
      <c r="U46" s="16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V46" s="15"/>
      <c r="AW46" s="15"/>
      <c r="AX46" s="15"/>
      <c r="AY46" s="15"/>
      <c r="AZ46" s="15"/>
      <c r="BA46" s="15"/>
      <c r="BB46" s="15"/>
      <c r="BC46" s="15"/>
      <c r="BD46" s="15"/>
      <c r="BE46" s="15"/>
    </row>
    <row r="47" spans="1:66" x14ac:dyDescent="0.4">
      <c r="A47" s="31"/>
      <c r="D47" s="10"/>
      <c r="F47" s="11"/>
      <c r="G47" s="12"/>
      <c r="K47" s="13"/>
      <c r="L47" s="14"/>
      <c r="M47" s="15"/>
      <c r="N47" s="15"/>
      <c r="O47" s="15"/>
      <c r="P47" s="15"/>
      <c r="Q47" s="15"/>
      <c r="R47" s="15"/>
      <c r="S47" s="15"/>
      <c r="T47" s="15"/>
      <c r="U47" s="16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</row>
    <row r="48" spans="1:66" x14ac:dyDescent="0.4">
      <c r="A48" s="31"/>
      <c r="D48" s="10"/>
      <c r="F48" s="11"/>
      <c r="G48" s="12"/>
      <c r="K48" s="13"/>
      <c r="L48" s="14"/>
      <c r="M48" s="15"/>
      <c r="N48" s="15"/>
      <c r="O48" s="15"/>
      <c r="P48" s="15"/>
      <c r="Q48" s="15"/>
      <c r="R48" s="15"/>
      <c r="S48" s="15"/>
      <c r="T48" s="15"/>
      <c r="U48" s="16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V48" s="15"/>
      <c r="AW48" s="15"/>
      <c r="AX48" s="15"/>
      <c r="AY48" s="15"/>
      <c r="AZ48" s="15"/>
      <c r="BA48" s="15"/>
      <c r="BB48" s="15"/>
      <c r="BC48" s="15"/>
      <c r="BD48" s="15"/>
      <c r="BE48" s="15"/>
    </row>
    <row r="49" spans="1:63" x14ac:dyDescent="0.4">
      <c r="A49" s="31"/>
      <c r="F49" s="11"/>
      <c r="G49" s="12"/>
      <c r="K49" s="13"/>
      <c r="L49" s="12"/>
      <c r="U49" s="13"/>
    </row>
    <row r="50" spans="1:63" x14ac:dyDescent="0.4">
      <c r="A50" s="31"/>
      <c r="D50" s="1" t="s">
        <v>40</v>
      </c>
      <c r="E50" s="1"/>
      <c r="F50" s="11">
        <f ca="1">COUNT(F7:F48)</f>
        <v>36</v>
      </c>
      <c r="G50" s="12">
        <f t="shared" ref="G50:AJ50" ca="1" si="10">COUNT(G7:G48)</f>
        <v>36</v>
      </c>
      <c r="H50">
        <f t="shared" ca="1" si="10"/>
        <v>36</v>
      </c>
      <c r="I50">
        <f t="shared" ca="1" si="10"/>
        <v>36</v>
      </c>
      <c r="J50">
        <f t="shared" ca="1" si="10"/>
        <v>36</v>
      </c>
      <c r="K50" s="13">
        <f t="shared" ca="1" si="10"/>
        <v>36</v>
      </c>
      <c r="L50" s="12">
        <f t="shared" ca="1" si="10"/>
        <v>36</v>
      </c>
      <c r="M50">
        <f t="shared" ca="1" si="10"/>
        <v>36</v>
      </c>
      <c r="N50">
        <f t="shared" ca="1" si="10"/>
        <v>36</v>
      </c>
      <c r="O50">
        <f t="shared" ca="1" si="10"/>
        <v>36</v>
      </c>
      <c r="P50">
        <f t="shared" ca="1" si="10"/>
        <v>36</v>
      </c>
      <c r="Q50">
        <f t="shared" ca="1" si="10"/>
        <v>36</v>
      </c>
      <c r="R50">
        <f t="shared" ca="1" si="10"/>
        <v>36</v>
      </c>
      <c r="S50">
        <f t="shared" ca="1" si="10"/>
        <v>36</v>
      </c>
      <c r="T50">
        <f t="shared" ca="1" si="10"/>
        <v>36</v>
      </c>
      <c r="U50" s="13">
        <f t="shared" ca="1" si="10"/>
        <v>36</v>
      </c>
      <c r="V50">
        <f t="shared" ca="1" si="10"/>
        <v>36</v>
      </c>
      <c r="W50">
        <f t="shared" ca="1" si="10"/>
        <v>36</v>
      </c>
      <c r="X50">
        <f t="shared" ca="1" si="10"/>
        <v>36</v>
      </c>
      <c r="Y50">
        <f t="shared" ca="1" si="10"/>
        <v>36</v>
      </c>
      <c r="Z50">
        <f t="shared" ca="1" si="10"/>
        <v>36</v>
      </c>
      <c r="AA50">
        <f t="shared" ca="1" si="10"/>
        <v>36</v>
      </c>
      <c r="AB50">
        <f t="shared" ca="1" si="10"/>
        <v>36</v>
      </c>
      <c r="AC50">
        <f t="shared" ca="1" si="10"/>
        <v>36</v>
      </c>
      <c r="AD50">
        <f t="shared" ca="1" si="10"/>
        <v>36</v>
      </c>
      <c r="AE50">
        <f t="shared" ca="1" si="10"/>
        <v>36</v>
      </c>
      <c r="AF50">
        <f t="shared" ca="1" si="10"/>
        <v>36</v>
      </c>
      <c r="AG50">
        <f t="shared" ca="1" si="10"/>
        <v>36</v>
      </c>
      <c r="AH50">
        <f t="shared" ca="1" si="10"/>
        <v>36</v>
      </c>
      <c r="AI50">
        <f t="shared" ca="1" si="10"/>
        <v>36</v>
      </c>
      <c r="AJ50">
        <f t="shared" ca="1" si="10"/>
        <v>36</v>
      </c>
      <c r="BG50">
        <f t="shared" ref="BG50:BK50" ca="1" si="11">COUNT(BG7:BG48)</f>
        <v>36</v>
      </c>
      <c r="BH50">
        <f t="shared" ca="1" si="11"/>
        <v>36</v>
      </c>
      <c r="BI50">
        <f t="shared" ca="1" si="11"/>
        <v>36</v>
      </c>
      <c r="BJ50">
        <f t="shared" ca="1" si="11"/>
        <v>36</v>
      </c>
      <c r="BK50">
        <f t="shared" ca="1" si="11"/>
        <v>36</v>
      </c>
    </row>
    <row r="51" spans="1:63" x14ac:dyDescent="0.4">
      <c r="A51" s="31"/>
      <c r="D51" s="1" t="s">
        <v>41</v>
      </c>
      <c r="E51" s="1"/>
      <c r="F51" s="17">
        <f t="shared" ref="F51:AJ51" ca="1" si="12">AVERAGE(F7:F48)</f>
        <v>20.050000000000011</v>
      </c>
      <c r="G51" s="18">
        <f t="shared" ca="1" si="12"/>
        <v>25.39888333333333</v>
      </c>
      <c r="H51" s="19">
        <f t="shared" ca="1" si="12"/>
        <v>25.402802777777776</v>
      </c>
      <c r="I51" s="19">
        <f t="shared" ca="1" si="12"/>
        <v>25.402933333333326</v>
      </c>
      <c r="J51" s="19">
        <f t="shared" ca="1" si="12"/>
        <v>25.404808333333332</v>
      </c>
      <c r="K51" s="20">
        <f t="shared" ca="1" si="12"/>
        <v>25.402658333333328</v>
      </c>
      <c r="L51" s="18">
        <f t="shared" ca="1" si="12"/>
        <v>72.88040758946191</v>
      </c>
      <c r="M51" s="19">
        <f t="shared" ca="1" si="12"/>
        <v>73.712248634617708</v>
      </c>
      <c r="N51" s="19">
        <f t="shared" ca="1" si="12"/>
        <v>72.339779720283587</v>
      </c>
      <c r="O51" s="19">
        <f t="shared" ca="1" si="12"/>
        <v>71.964919221298203</v>
      </c>
      <c r="P51" s="19">
        <f t="shared" ca="1" si="12"/>
        <v>125.93395636210931</v>
      </c>
      <c r="Q51" s="19">
        <f t="shared" ca="1" si="12"/>
        <v>145.21727544446298</v>
      </c>
      <c r="R51" s="19">
        <f t="shared" ca="1" si="12"/>
        <v>74.987794036537565</v>
      </c>
      <c r="S51" s="19">
        <f t="shared" ca="1" si="12"/>
        <v>73.984471634692284</v>
      </c>
      <c r="T51" s="19">
        <f t="shared" ca="1" si="12"/>
        <v>145.67374323381597</v>
      </c>
      <c r="U51" s="20">
        <f t="shared" ca="1" si="12"/>
        <v>123.92625586926796</v>
      </c>
      <c r="V51" s="19">
        <f t="shared" ca="1" si="12"/>
        <v>0</v>
      </c>
      <c r="W51" s="19">
        <f t="shared" ca="1" si="12"/>
        <v>0</v>
      </c>
      <c r="X51" s="19">
        <f t="shared" ca="1" si="12"/>
        <v>0</v>
      </c>
      <c r="Y51" s="19">
        <f t="shared" ca="1" si="12"/>
        <v>62.482819444444431</v>
      </c>
      <c r="Z51" s="19">
        <f t="shared" ca="1" si="12"/>
        <v>37.515919444444449</v>
      </c>
      <c r="AA51" s="19">
        <f t="shared" ca="1" si="12"/>
        <v>8.2900000000000015E-2</v>
      </c>
      <c r="AB51" s="19">
        <f t="shared" ca="1" si="12"/>
        <v>-63.451136111111133</v>
      </c>
      <c r="AC51" s="19">
        <f t="shared" ca="1" si="12"/>
        <v>37.515919444444449</v>
      </c>
      <c r="AD51" s="19">
        <f t="shared" ca="1" si="12"/>
        <v>6.8649999999999989E-2</v>
      </c>
      <c r="AE51" s="19">
        <f t="shared" ca="1" si="12"/>
        <v>-62.478380555555546</v>
      </c>
      <c r="AF51" s="19">
        <f t="shared" ca="1" si="12"/>
        <v>-36.462155555555547</v>
      </c>
      <c r="AG51" s="19">
        <f t="shared" ca="1" si="12"/>
        <v>8.3094444444444443E-2</v>
      </c>
      <c r="AH51" s="19">
        <f t="shared" ca="1" si="12"/>
        <v>61.443819444444458</v>
      </c>
      <c r="AI51" s="19">
        <f t="shared" ca="1" si="12"/>
        <v>-37.464675</v>
      </c>
      <c r="AJ51" s="19">
        <f t="shared" ca="1" si="12"/>
        <v>6.911666666666666E-2</v>
      </c>
      <c r="BG51" s="19">
        <f t="shared" ref="BG51:BK51" ca="1" si="13">AVERAGE(BG7:BG48)</f>
        <v>5.7249999999999983E-3</v>
      </c>
      <c r="BH51" s="19">
        <f t="shared" ca="1" si="13"/>
        <v>6.955555555555556E-3</v>
      </c>
      <c r="BI51" s="19">
        <f t="shared" ca="1" si="13"/>
        <v>5.630555555555557E-3</v>
      </c>
      <c r="BJ51" s="19">
        <f t="shared" ca="1" si="13"/>
        <v>6.7500000000000017E-3</v>
      </c>
      <c r="BK51" s="19">
        <f t="shared" ca="1" si="13"/>
        <v>5.9611111111111106E-3</v>
      </c>
    </row>
    <row r="52" spans="1:63" x14ac:dyDescent="0.4">
      <c r="A52" s="31"/>
      <c r="D52" s="1" t="s">
        <v>42</v>
      </c>
      <c r="E52" s="1"/>
      <c r="F52" s="21">
        <f ca="1">_xlfn.STDEV.S(F7:F48)</f>
        <v>5.0709255283711709E-2</v>
      </c>
      <c r="G52" s="22">
        <f ca="1">_xlfn.STDEV.S(G7:G48)*1000</f>
        <v>0.44045431091124188</v>
      </c>
      <c r="H52" s="23">
        <f ca="1">_xlfn.STDEV.S(H7:H48)*1000</f>
        <v>0.53478225801902135</v>
      </c>
      <c r="I52" s="23">
        <f t="shared" ref="I52:AJ52" ca="1" si="14">_xlfn.STDEV.S(I7:I48)*1000</f>
        <v>0.41884194086641058</v>
      </c>
      <c r="J52" s="23">
        <f t="shared" ca="1" si="14"/>
        <v>0.37749172176414331</v>
      </c>
      <c r="K52" s="24">
        <f t="shared" ca="1" si="14"/>
        <v>0.31926254310242314</v>
      </c>
      <c r="L52" s="22">
        <f t="shared" ca="1" si="14"/>
        <v>0.54249316830000016</v>
      </c>
      <c r="M52" s="23">
        <f t="shared" ca="1" si="14"/>
        <v>0.54192181074220236</v>
      </c>
      <c r="N52" s="23">
        <f t="shared" ca="1" si="14"/>
        <v>0.40073022003580205</v>
      </c>
      <c r="O52" s="23">
        <f t="shared" ca="1" si="14"/>
        <v>0.53003691343161741</v>
      </c>
      <c r="P52" s="23">
        <f t="shared" ca="1" si="14"/>
        <v>1.0021216411174492</v>
      </c>
      <c r="Q52" s="23">
        <f t="shared" ca="1" si="14"/>
        <v>0.62748983585834062</v>
      </c>
      <c r="R52" s="23">
        <f t="shared" ca="1" si="14"/>
        <v>0.64890052450440738</v>
      </c>
      <c r="S52" s="23">
        <f t="shared" ca="1" si="14"/>
        <v>0.77836634721934339</v>
      </c>
      <c r="T52" s="23">
        <f t="shared" ca="1" si="14"/>
        <v>0.70624352509255861</v>
      </c>
      <c r="U52" s="24">
        <f t="shared" ca="1" si="14"/>
        <v>1.10039381396034</v>
      </c>
      <c r="V52" s="23">
        <f t="shared" ca="1" si="14"/>
        <v>0</v>
      </c>
      <c r="W52" s="23">
        <f t="shared" ca="1" si="14"/>
        <v>0</v>
      </c>
      <c r="X52" s="23">
        <f t="shared" ca="1" si="14"/>
        <v>0</v>
      </c>
      <c r="Y52" s="23">
        <f t="shared" ca="1" si="14"/>
        <v>0.72931257043630604</v>
      </c>
      <c r="Z52" s="23">
        <f t="shared" ca="1" si="14"/>
        <v>0.37707100084995665</v>
      </c>
      <c r="AA52" s="23">
        <f t="shared" ca="1" si="14"/>
        <v>0.37644957924572714</v>
      </c>
      <c r="AB52" s="23">
        <f t="shared" ca="1" si="14"/>
        <v>0.63612791964993243</v>
      </c>
      <c r="AC52" s="23">
        <f t="shared" ca="1" si="14"/>
        <v>0.37707100084995665</v>
      </c>
      <c r="AD52" s="23">
        <f t="shared" ca="1" si="14"/>
        <v>0.39315573068623616</v>
      </c>
      <c r="AE52" s="23">
        <f t="shared" ca="1" si="14"/>
        <v>0.60039008483527401</v>
      </c>
      <c r="AF52" s="23">
        <f t="shared" ca="1" si="14"/>
        <v>0.60353456260116056</v>
      </c>
      <c r="AG52" s="23">
        <f t="shared" ca="1" si="14"/>
        <v>0.38168382161487913</v>
      </c>
      <c r="AH52" s="23">
        <f t="shared" ca="1" si="14"/>
        <v>0.74251289337319815</v>
      </c>
      <c r="AI52" s="23">
        <f t="shared" ca="1" si="14"/>
        <v>0.4783154965980515</v>
      </c>
      <c r="AJ52" s="23">
        <f t="shared" ca="1" si="14"/>
        <v>0.39532988033503658</v>
      </c>
      <c r="BG52" s="23">
        <f t="shared" ref="BG52:BK52" ca="1" si="15">_xlfn.STDEV.S(BG7:BG48)*1000</f>
        <v>1.0755397316165096</v>
      </c>
      <c r="BH52" s="23">
        <f t="shared" ca="1" si="15"/>
        <v>1.413292901488161</v>
      </c>
      <c r="BI52" s="23">
        <f t="shared" ca="1" si="15"/>
        <v>0.75245102145092435</v>
      </c>
      <c r="BJ52" s="23">
        <f t="shared" ca="1" si="15"/>
        <v>1.4245801386473742</v>
      </c>
      <c r="BK52" s="23">
        <f t="shared" ca="1" si="15"/>
        <v>1.7818574221906398</v>
      </c>
    </row>
    <row r="53" spans="1:63" x14ac:dyDescent="0.4">
      <c r="A53" s="31"/>
      <c r="D53" s="1" t="s">
        <v>43</v>
      </c>
      <c r="E53" s="1"/>
      <c r="F53" s="11">
        <f t="shared" ref="F53:AJ53" ca="1" si="16">MIN(F7:F48)</f>
        <v>20</v>
      </c>
      <c r="G53" s="14">
        <f t="shared" ca="1" si="16"/>
        <v>25.3978</v>
      </c>
      <c r="H53" s="15">
        <f t="shared" ca="1" si="16"/>
        <v>25.401900000000001</v>
      </c>
      <c r="I53" s="15">
        <f t="shared" ca="1" si="16"/>
        <v>25.401900000000001</v>
      </c>
      <c r="J53" s="15">
        <f t="shared" ca="1" si="16"/>
        <v>25.404</v>
      </c>
      <c r="K53" s="16">
        <f t="shared" ca="1" si="16"/>
        <v>25.402000000000001</v>
      </c>
      <c r="L53" s="14">
        <f t="shared" ca="1" si="16"/>
        <v>72.87950597225533</v>
      </c>
      <c r="M53" s="15">
        <f t="shared" ca="1" si="16"/>
        <v>73.711276725003202</v>
      </c>
      <c r="N53" s="15">
        <f t="shared" ca="1" si="16"/>
        <v>72.338688603125775</v>
      </c>
      <c r="O53" s="15">
        <f t="shared" ca="1" si="16"/>
        <v>71.963444935953433</v>
      </c>
      <c r="P53" s="15">
        <f t="shared" ca="1" si="16"/>
        <v>125.9325008347726</v>
      </c>
      <c r="Q53" s="15">
        <f t="shared" ca="1" si="16"/>
        <v>145.2162521279557</v>
      </c>
      <c r="R53" s="15">
        <f t="shared" ca="1" si="16"/>
        <v>74.986403866434344</v>
      </c>
      <c r="S53" s="15">
        <f t="shared" ca="1" si="16"/>
        <v>73.983285442456534</v>
      </c>
      <c r="T53" s="15">
        <f t="shared" ca="1" si="16"/>
        <v>145.67229242028151</v>
      </c>
      <c r="U53" s="16">
        <f t="shared" ca="1" si="16"/>
        <v>123.92435246306513</v>
      </c>
      <c r="V53">
        <f t="shared" ca="1" si="16"/>
        <v>0</v>
      </c>
      <c r="W53">
        <f t="shared" ca="1" si="16"/>
        <v>0</v>
      </c>
      <c r="X53">
        <f t="shared" ca="1" si="16"/>
        <v>0</v>
      </c>
      <c r="Y53" s="15">
        <f t="shared" ca="1" si="16"/>
        <v>62.4816</v>
      </c>
      <c r="Z53" s="15">
        <f t="shared" ca="1" si="16"/>
        <v>37.515099999999997</v>
      </c>
      <c r="AA53" s="15">
        <f t="shared" ca="1" si="16"/>
        <v>8.2199999999999995E-2</v>
      </c>
      <c r="AB53" s="15">
        <f t="shared" ca="1" si="16"/>
        <v>-63.452399999999997</v>
      </c>
      <c r="AC53" s="15">
        <f t="shared" ca="1" si="16"/>
        <v>37.515099999999997</v>
      </c>
      <c r="AD53" s="15">
        <f t="shared" ca="1" si="16"/>
        <v>6.7900000000000002E-2</v>
      </c>
      <c r="AE53" s="15">
        <f t="shared" ca="1" si="16"/>
        <v>-62.479599999999998</v>
      </c>
      <c r="AF53" s="15">
        <f t="shared" ca="1" si="16"/>
        <v>-36.4636</v>
      </c>
      <c r="AG53" s="15">
        <f t="shared" ca="1" si="16"/>
        <v>8.2400000000000001E-2</v>
      </c>
      <c r="AH53" s="15">
        <f t="shared" ca="1" si="16"/>
        <v>61.4422</v>
      </c>
      <c r="AI53" s="15">
        <f t="shared" ca="1" si="16"/>
        <v>-37.465600000000002</v>
      </c>
      <c r="AJ53" s="15">
        <f t="shared" ca="1" si="16"/>
        <v>6.8400000000000002E-2</v>
      </c>
      <c r="BG53" s="15">
        <f t="shared" ref="BG53:BK53" ca="1" si="17">MIN(BG7:BG48)</f>
        <v>4.3E-3</v>
      </c>
      <c r="BH53" s="15">
        <f t="shared" ca="1" si="17"/>
        <v>3.7000000000000002E-3</v>
      </c>
      <c r="BI53" s="15">
        <f t="shared" ca="1" si="17"/>
        <v>4.4999999999999997E-3</v>
      </c>
      <c r="BJ53" s="15">
        <f t="shared" ca="1" si="17"/>
        <v>4.3E-3</v>
      </c>
      <c r="BK53" s="15">
        <f t="shared" ca="1" si="17"/>
        <v>3.0999999999999999E-3</v>
      </c>
    </row>
    <row r="54" spans="1:63" x14ac:dyDescent="0.4">
      <c r="A54" s="31"/>
      <c r="D54" s="1" t="s">
        <v>44</v>
      </c>
      <c r="E54" s="1"/>
      <c r="F54" s="11">
        <f t="shared" ref="F54:AJ54" ca="1" si="18">MAX(F7:F48)</f>
        <v>20.100000000000001</v>
      </c>
      <c r="G54" s="14">
        <f t="shared" ca="1" si="18"/>
        <v>25.399699999999999</v>
      </c>
      <c r="H54" s="15">
        <f t="shared" ca="1" si="18"/>
        <v>25.404</v>
      </c>
      <c r="I54" s="15">
        <f t="shared" ca="1" si="18"/>
        <v>25.403700000000001</v>
      </c>
      <c r="J54" s="15">
        <f t="shared" ca="1" si="18"/>
        <v>25.4057</v>
      </c>
      <c r="K54" s="16">
        <f t="shared" ca="1" si="18"/>
        <v>25.403300000000002</v>
      </c>
      <c r="L54" s="14">
        <f t="shared" ca="1" si="18"/>
        <v>72.88146061763581</v>
      </c>
      <c r="M54" s="15">
        <f t="shared" ca="1" si="18"/>
        <v>73.713275654050264</v>
      </c>
      <c r="N54" s="15">
        <f t="shared" ca="1" si="18"/>
        <v>72.340631965583484</v>
      </c>
      <c r="O54" s="15">
        <f t="shared" ca="1" si="18"/>
        <v>71.965991664743981</v>
      </c>
      <c r="P54" s="15">
        <f t="shared" ca="1" si="18"/>
        <v>125.93530084630758</v>
      </c>
      <c r="Q54" s="15">
        <f t="shared" ca="1" si="18"/>
        <v>145.218633330334</v>
      </c>
      <c r="R54" s="15">
        <f t="shared" ca="1" si="18"/>
        <v>74.989003690807891</v>
      </c>
      <c r="S54" s="15">
        <f t="shared" ca="1" si="18"/>
        <v>73.986002395655902</v>
      </c>
      <c r="T54" s="15">
        <f t="shared" ca="1" si="18"/>
        <v>145.67513862447495</v>
      </c>
      <c r="U54" s="16">
        <f t="shared" ca="1" si="18"/>
        <v>123.92805398109017</v>
      </c>
      <c r="V54">
        <f t="shared" ca="1" si="18"/>
        <v>0</v>
      </c>
      <c r="W54">
        <f t="shared" ca="1" si="18"/>
        <v>0</v>
      </c>
      <c r="X54">
        <f t="shared" ca="1" si="18"/>
        <v>0</v>
      </c>
      <c r="Y54" s="15">
        <f t="shared" ca="1" si="18"/>
        <v>62.484099999999998</v>
      </c>
      <c r="Z54" s="15">
        <f t="shared" ca="1" si="18"/>
        <v>37.516599999999997</v>
      </c>
      <c r="AA54" s="15">
        <f t="shared" ca="1" si="18"/>
        <v>8.3799999999999999E-2</v>
      </c>
      <c r="AB54" s="15">
        <f t="shared" ca="1" si="18"/>
        <v>-63.449800000000003</v>
      </c>
      <c r="AC54" s="15">
        <f t="shared" ca="1" si="18"/>
        <v>37.516599999999997</v>
      </c>
      <c r="AD54" s="15">
        <f t="shared" ca="1" si="18"/>
        <v>6.9800000000000001E-2</v>
      </c>
      <c r="AE54" s="15">
        <f t="shared" ca="1" si="18"/>
        <v>-62.476799999999997</v>
      </c>
      <c r="AF54" s="15">
        <f t="shared" ca="1" si="18"/>
        <v>-36.461100000000002</v>
      </c>
      <c r="AG54" s="15">
        <f t="shared" ca="1" si="18"/>
        <v>8.4000000000000005E-2</v>
      </c>
      <c r="AH54" s="15">
        <f t="shared" ca="1" si="18"/>
        <v>61.445399999999999</v>
      </c>
      <c r="AI54" s="15">
        <f t="shared" ca="1" si="18"/>
        <v>-37.463500000000003</v>
      </c>
      <c r="AJ54" s="15">
        <f t="shared" ca="1" si="18"/>
        <v>7.0199999999999999E-2</v>
      </c>
      <c r="BG54" s="15">
        <f t="shared" ref="BG54:BK54" ca="1" si="19">MAX(BG7:BG48)</f>
        <v>9.1999999999999998E-3</v>
      </c>
      <c r="BH54" s="15">
        <f t="shared" ca="1" si="19"/>
        <v>9.7999999999999997E-3</v>
      </c>
      <c r="BI54" s="15">
        <f t="shared" ca="1" si="19"/>
        <v>8.0000000000000002E-3</v>
      </c>
      <c r="BJ54" s="15">
        <f t="shared" ca="1" si="19"/>
        <v>9.7000000000000003E-3</v>
      </c>
      <c r="BK54" s="15">
        <f t="shared" ca="1" si="19"/>
        <v>1.06E-2</v>
      </c>
    </row>
    <row r="55" spans="1:63" x14ac:dyDescent="0.4">
      <c r="A55" s="31"/>
      <c r="D55" s="1" t="s">
        <v>45</v>
      </c>
      <c r="E55" s="1"/>
      <c r="F55" s="11">
        <f ca="1">F54-F53</f>
        <v>0.10000000000000142</v>
      </c>
      <c r="G55" s="22">
        <f t="shared" ref="G55:AJ55" ca="1" si="20">(G54-G53)*1000</f>
        <v>1.8999999999991246</v>
      </c>
      <c r="H55" s="23">
        <f t="shared" ca="1" si="20"/>
        <v>2.0999999999986585</v>
      </c>
      <c r="I55" s="23">
        <f t="shared" ca="1" si="20"/>
        <v>1.7999999999993577</v>
      </c>
      <c r="J55" s="23">
        <f t="shared" ca="1" si="20"/>
        <v>1.6999999999995907</v>
      </c>
      <c r="K55" s="24">
        <f t="shared" ca="1" si="20"/>
        <v>1.300000000000523</v>
      </c>
      <c r="L55" s="22">
        <f t="shared" ca="1" si="20"/>
        <v>1.9546453804792918</v>
      </c>
      <c r="M55" s="23">
        <f t="shared" ca="1" si="20"/>
        <v>1.9989290470618926</v>
      </c>
      <c r="N55" s="23">
        <f t="shared" ca="1" si="20"/>
        <v>1.9433624577089859</v>
      </c>
      <c r="O55" s="23">
        <f t="shared" ca="1" si="20"/>
        <v>2.5467287905485136</v>
      </c>
      <c r="P55" s="23">
        <f t="shared" ca="1" si="20"/>
        <v>2.8000115349868793</v>
      </c>
      <c r="Q55" s="23">
        <f t="shared" ca="1" si="20"/>
        <v>2.3812023783023051</v>
      </c>
      <c r="R55" s="23">
        <f t="shared" ca="1" si="20"/>
        <v>2.5998243735472215</v>
      </c>
      <c r="S55" s="23">
        <f t="shared" ca="1" si="20"/>
        <v>2.716953199367822</v>
      </c>
      <c r="T55" s="23">
        <f t="shared" ca="1" si="20"/>
        <v>2.8462041934460558</v>
      </c>
      <c r="U55" s="24">
        <f t="shared" ca="1" si="20"/>
        <v>3.7015180250392632</v>
      </c>
      <c r="V55" s="23">
        <f t="shared" ca="1" si="20"/>
        <v>0</v>
      </c>
      <c r="W55" s="23">
        <f t="shared" ca="1" si="20"/>
        <v>0</v>
      </c>
      <c r="X55" s="23">
        <f t="shared" ca="1" si="20"/>
        <v>0</v>
      </c>
      <c r="Y55" s="23">
        <f t="shared" ca="1" si="20"/>
        <v>2.4999999999977263</v>
      </c>
      <c r="Z55" s="23">
        <f t="shared" ca="1" si="20"/>
        <v>1.5000000000000568</v>
      </c>
      <c r="AA55" s="23">
        <f t="shared" ca="1" si="20"/>
        <v>1.6000000000000041</v>
      </c>
      <c r="AB55" s="23">
        <f t="shared" ca="1" si="20"/>
        <v>2.5999999999939405</v>
      </c>
      <c r="AC55" s="23">
        <f t="shared" ca="1" si="20"/>
        <v>1.5000000000000568</v>
      </c>
      <c r="AD55" s="23">
        <f t="shared" ca="1" si="20"/>
        <v>1.899999999999999</v>
      </c>
      <c r="AE55" s="23">
        <f t="shared" ca="1" si="20"/>
        <v>2.8000000000005798</v>
      </c>
      <c r="AF55" s="23">
        <f t="shared" ca="1" si="20"/>
        <v>2.4999999999977263</v>
      </c>
      <c r="AG55" s="23">
        <f t="shared" ca="1" si="20"/>
        <v>1.6000000000000041</v>
      </c>
      <c r="AH55" s="23">
        <f t="shared" ca="1" si="20"/>
        <v>3.1999999999996476</v>
      </c>
      <c r="AI55" s="23">
        <f t="shared" ca="1" si="20"/>
        <v>2.0999999999986585</v>
      </c>
      <c r="AJ55" s="23">
        <f t="shared" ca="1" si="20"/>
        <v>1.799999999999996</v>
      </c>
      <c r="BG55" s="23">
        <f t="shared" ref="BG55:BK55" ca="1" si="21">(BG54-BG53)*1000</f>
        <v>4.8999999999999995</v>
      </c>
      <c r="BH55" s="23">
        <f t="shared" ca="1" si="21"/>
        <v>6.1</v>
      </c>
      <c r="BI55" s="23">
        <f t="shared" ca="1" si="21"/>
        <v>3.5000000000000004</v>
      </c>
      <c r="BJ55" s="23">
        <f t="shared" ca="1" si="21"/>
        <v>5.4</v>
      </c>
      <c r="BK55" s="23">
        <f t="shared" ca="1" si="21"/>
        <v>7.5</v>
      </c>
    </row>
    <row r="56" spans="1:63" x14ac:dyDescent="0.4">
      <c r="A56" s="31"/>
      <c r="D56" s="1"/>
      <c r="E56" s="1"/>
      <c r="F56" s="11"/>
      <c r="G56" s="12"/>
      <c r="K56" s="13"/>
      <c r="L56" s="12"/>
      <c r="U56" s="13"/>
    </row>
    <row r="57" spans="1:63" x14ac:dyDescent="0.4">
      <c r="A57" s="31"/>
      <c r="C57" t="s">
        <v>46</v>
      </c>
      <c r="D57" s="1"/>
      <c r="E57" s="1"/>
      <c r="F57" s="11">
        <f ca="1">COUNTIFS($C7:$C48,$C$57)</f>
        <v>18</v>
      </c>
      <c r="G57" s="12">
        <f ca="1">COUNTIFS($C7:$C48,$C$57)</f>
        <v>18</v>
      </c>
      <c r="H57">
        <f t="shared" ref="H57:U57" ca="1" si="22">COUNTIFS($C7:$C48,$C$57)</f>
        <v>18</v>
      </c>
      <c r="I57">
        <f t="shared" ca="1" si="22"/>
        <v>18</v>
      </c>
      <c r="J57">
        <f t="shared" ca="1" si="22"/>
        <v>18</v>
      </c>
      <c r="K57" s="13">
        <f t="shared" ca="1" si="22"/>
        <v>18</v>
      </c>
      <c r="L57" s="12">
        <f t="shared" ca="1" si="22"/>
        <v>18</v>
      </c>
      <c r="M57">
        <f t="shared" ca="1" si="22"/>
        <v>18</v>
      </c>
      <c r="N57">
        <f t="shared" ca="1" si="22"/>
        <v>18</v>
      </c>
      <c r="O57">
        <f t="shared" ca="1" si="22"/>
        <v>18</v>
      </c>
      <c r="P57">
        <f t="shared" ca="1" si="22"/>
        <v>18</v>
      </c>
      <c r="Q57">
        <f t="shared" ca="1" si="22"/>
        <v>18</v>
      </c>
      <c r="R57">
        <f t="shared" ca="1" si="22"/>
        <v>18</v>
      </c>
      <c r="S57">
        <f t="shared" ca="1" si="22"/>
        <v>18</v>
      </c>
      <c r="T57">
        <f t="shared" ca="1" si="22"/>
        <v>18</v>
      </c>
      <c r="U57" s="13">
        <f t="shared" ca="1" si="22"/>
        <v>18</v>
      </c>
    </row>
    <row r="58" spans="1:63" x14ac:dyDescent="0.4">
      <c r="A58" s="31"/>
      <c r="D58" s="1" t="s">
        <v>41</v>
      </c>
      <c r="E58" s="1"/>
      <c r="F58" s="28">
        <f ca="1">AVERAGEIFS(F7:F48,$C7:$C48,$C$57)</f>
        <v>20.066666666666674</v>
      </c>
      <c r="G58" s="14">
        <f t="shared" ref="G58:AJ58" ca="1" si="23">AVERAGEIFS(G7:G48,$C7:$C48,$C$57)</f>
        <v>25.398849999999996</v>
      </c>
      <c r="H58" s="15">
        <f t="shared" ca="1" si="23"/>
        <v>25.403066666666664</v>
      </c>
      <c r="I58" s="15">
        <f t="shared" ca="1" si="23"/>
        <v>25.402883333333332</v>
      </c>
      <c r="J58" s="15">
        <f t="shared" ca="1" si="23"/>
        <v>25.404783333333331</v>
      </c>
      <c r="K58" s="16">
        <f t="shared" ca="1" si="23"/>
        <v>25.402572222222219</v>
      </c>
      <c r="L58" s="14">
        <f t="shared" ca="1" si="23"/>
        <v>72.880778870417998</v>
      </c>
      <c r="M58" s="15">
        <f t="shared" ca="1" si="23"/>
        <v>73.712432042025128</v>
      </c>
      <c r="N58" s="15">
        <f t="shared" ca="1" si="23"/>
        <v>72.339906627945737</v>
      </c>
      <c r="O58" s="15">
        <f t="shared" ca="1" si="23"/>
        <v>71.965261923680487</v>
      </c>
      <c r="P58" s="15">
        <f t="shared" ca="1" si="23"/>
        <v>125.93488413660118</v>
      </c>
      <c r="Q58" s="15">
        <f t="shared" ca="1" si="23"/>
        <v>145.21777365674359</v>
      </c>
      <c r="R58" s="15">
        <f t="shared" ca="1" si="23"/>
        <v>74.987255040363536</v>
      </c>
      <c r="S58" s="15">
        <f t="shared" ca="1" si="23"/>
        <v>73.983835207166692</v>
      </c>
      <c r="T58" s="15">
        <f t="shared" ca="1" si="23"/>
        <v>145.67427082579687</v>
      </c>
      <c r="U58" s="16">
        <f t="shared" ca="1" si="23"/>
        <v>123.92722328660069</v>
      </c>
      <c r="V58" s="15">
        <f t="shared" ca="1" si="23"/>
        <v>0</v>
      </c>
      <c r="W58" s="15">
        <f t="shared" ca="1" si="23"/>
        <v>0</v>
      </c>
      <c r="X58" s="15">
        <f t="shared" ca="1" si="23"/>
        <v>0</v>
      </c>
      <c r="Y58" s="15">
        <f t="shared" ca="1" si="23"/>
        <v>62.483394444444428</v>
      </c>
      <c r="Z58" s="15">
        <f t="shared" ca="1" si="23"/>
        <v>37.515683333333328</v>
      </c>
      <c r="AA58" s="15">
        <f t="shared" ca="1" si="23"/>
        <v>8.2772222222222219E-2</v>
      </c>
      <c r="AB58" s="15">
        <f t="shared" ca="1" si="23"/>
        <v>-63.451488888888875</v>
      </c>
      <c r="AC58" s="15">
        <f t="shared" ca="1" si="23"/>
        <v>37.515683333333328</v>
      </c>
      <c r="AD58" s="15">
        <f t="shared" ca="1" si="23"/>
        <v>6.855E-2</v>
      </c>
      <c r="AE58" s="15">
        <f t="shared" ca="1" si="23"/>
        <v>-62.478761111111098</v>
      </c>
      <c r="AF58" s="15">
        <f t="shared" ca="1" si="23"/>
        <v>-36.461755555555563</v>
      </c>
      <c r="AG58" s="15">
        <f t="shared" ca="1" si="23"/>
        <v>8.2961111111111097E-2</v>
      </c>
      <c r="AH58" s="15">
        <f t="shared" ca="1" si="23"/>
        <v>61.444405555555562</v>
      </c>
      <c r="AI58" s="15">
        <f t="shared" ca="1" si="23"/>
        <v>-37.464372222222224</v>
      </c>
      <c r="AJ58" s="15">
        <f t="shared" ca="1" si="23"/>
        <v>6.9016666666666671E-2</v>
      </c>
      <c r="BG58" s="15">
        <f t="shared" ref="BG58:BK58" ca="1" si="24">AVERAGEIFS(BG7:BG48,$C7:$C48,$C$57)</f>
        <v>5.3055555555555538E-3</v>
      </c>
      <c r="BH58" s="15">
        <f t="shared" ca="1" si="24"/>
        <v>6.7000000000000002E-3</v>
      </c>
      <c r="BI58" s="15">
        <f t="shared" ca="1" si="24"/>
        <v>5.6499999999999996E-3</v>
      </c>
      <c r="BJ58" s="15">
        <f t="shared" ca="1" si="24"/>
        <v>6.5500000000000003E-3</v>
      </c>
      <c r="BK58" s="15">
        <f t="shared" ca="1" si="24"/>
        <v>4.9722222222222225E-3</v>
      </c>
    </row>
    <row r="59" spans="1:63" x14ac:dyDescent="0.4">
      <c r="A59" s="31"/>
      <c r="D59" s="1" t="s">
        <v>42</v>
      </c>
      <c r="E59" s="1"/>
      <c r="F59" s="28">
        <f t="array" aca="1" ref="F59" ca="1">_xlfn.STDEV.S(IF($C7:$C48=$C$57,F7:F48))</f>
        <v>4.8507125007267296E-2</v>
      </c>
      <c r="G59" s="22">
        <f t="array" aca="1" ref="G59" ca="1">_xlfn.STDEV.S(IF($C7:$C48=$C$57,G7:G48))*1000</f>
        <v>0.2935582916367912</v>
      </c>
      <c r="H59" s="23">
        <f t="array" aca="1" ref="H59" ca="1">_xlfn.STDEV.S(IF($C7:$C48=$C$57,H7:H48))*1000</f>
        <v>0.45889893799670251</v>
      </c>
      <c r="I59" s="23">
        <f t="array" aca="1" ref="I59" ca="1">_xlfn.STDEV.S(IF($C7:$C48=$C$57,I7:I48))*1000</f>
        <v>0.4566502072316197</v>
      </c>
      <c r="J59" s="23">
        <f t="array" aca="1" ref="J59" ca="1">_xlfn.STDEV.S(IF($C7:$C48=$C$57,J7:J48))*1000</f>
        <v>0.40475119445440672</v>
      </c>
      <c r="K59" s="24">
        <f t="array" aca="1" ref="K59" ca="1">_xlfn.STDEV.S(IF($C7:$C48=$C$57,K7:K48))*1000</f>
        <v>0.34437591559454539</v>
      </c>
      <c r="L59" s="22">
        <f t="array" aca="1" ref="L59" ca="1">_xlfn.STDEV.S(IF($C7:$C48=$C$57,L7:L48))*1000</f>
        <v>0.37038850252265626</v>
      </c>
      <c r="M59" s="23">
        <f t="array" aca="1" ref="M59" ca="1">_xlfn.STDEV.S(IF($C7:$C48=$C$57,M7:M48))*1000</f>
        <v>0.52338914221052435</v>
      </c>
      <c r="N59" s="23">
        <f t="array" aca="1" ref="N59" ca="1">_xlfn.STDEV.S(IF($C7:$C48=$C$57,N7:N48))*1000</f>
        <v>0.36795611050529592</v>
      </c>
      <c r="O59" s="23">
        <f t="array" aca="1" ref="O59" ca="1">_xlfn.STDEV.S(IF($C7:$C48=$C$57,O7:O48))*1000</f>
        <v>0.35802929211609719</v>
      </c>
      <c r="P59" s="23">
        <f t="array" aca="1" ref="P59" ca="1">_xlfn.STDEV.S(IF($C7:$C48=$C$57,P7:P48))*1000</f>
        <v>0.35021147256016999</v>
      </c>
      <c r="Q59" s="23">
        <f t="array" aca="1" ref="Q59" ca="1">_xlfn.STDEV.S(IF($C7:$C48=$C$57,Q7:Q48))*1000</f>
        <v>0.3886789363555726</v>
      </c>
      <c r="R59" s="23">
        <f t="array" aca="1" ref="R59" ca="1">_xlfn.STDEV.S(IF($C7:$C48=$C$57,R7:R48))*1000</f>
        <v>0.39604639041200074</v>
      </c>
      <c r="S59" s="23">
        <f t="array" aca="1" ref="S59" ca="1">_xlfn.STDEV.S(IF($C7:$C48=$C$57,S7:S48))*1000</f>
        <v>0.25418993462052236</v>
      </c>
      <c r="T59" s="23">
        <f t="array" aca="1" ref="T59" ca="1">_xlfn.STDEV.S(IF($C7:$C48=$C$57,T7:T48))*1000</f>
        <v>0.44012094058370405</v>
      </c>
      <c r="U59" s="24">
        <f t="array" aca="1" ref="U59" ca="1">_xlfn.STDEV.S(IF($C7:$C48=$C$57,U7:U48))*1000</f>
        <v>0.36657023983688952</v>
      </c>
    </row>
    <row r="60" spans="1:63" x14ac:dyDescent="0.4">
      <c r="A60" s="31"/>
      <c r="D60" s="1"/>
      <c r="E60" s="1"/>
      <c r="F60" s="11"/>
      <c r="G60" s="22"/>
      <c r="H60" s="23"/>
      <c r="I60" s="23"/>
      <c r="J60" s="23"/>
      <c r="K60" s="24"/>
      <c r="L60" s="22"/>
      <c r="M60" s="23"/>
      <c r="N60" s="23"/>
      <c r="O60" s="23"/>
      <c r="P60" s="23"/>
      <c r="Q60" s="23"/>
      <c r="R60" s="23"/>
      <c r="S60" s="23"/>
      <c r="T60" s="23"/>
      <c r="U60" s="24"/>
    </row>
    <row r="61" spans="1:63" x14ac:dyDescent="0.4">
      <c r="A61" s="31"/>
      <c r="C61" t="s">
        <v>47</v>
      </c>
      <c r="D61" s="1"/>
      <c r="E61" s="1"/>
      <c r="F61" s="11">
        <f ca="1">COUNTIFS($C7:$C48,$C$61)</f>
        <v>18</v>
      </c>
      <c r="G61" s="12">
        <f ca="1">COUNTIFS($C7:$C48,$C$61)</f>
        <v>18</v>
      </c>
      <c r="H61">
        <f t="shared" ref="H61:U61" ca="1" si="25">COUNTIFS($C7:$C48,$C$61)</f>
        <v>18</v>
      </c>
      <c r="I61">
        <f t="shared" ca="1" si="25"/>
        <v>18</v>
      </c>
      <c r="J61">
        <f t="shared" ca="1" si="25"/>
        <v>18</v>
      </c>
      <c r="K61" s="13">
        <f t="shared" ca="1" si="25"/>
        <v>18</v>
      </c>
      <c r="L61" s="12">
        <f t="shared" ca="1" si="25"/>
        <v>18</v>
      </c>
      <c r="M61">
        <f t="shared" ca="1" si="25"/>
        <v>18</v>
      </c>
      <c r="N61">
        <f t="shared" ca="1" si="25"/>
        <v>18</v>
      </c>
      <c r="O61">
        <f t="shared" ca="1" si="25"/>
        <v>18</v>
      </c>
      <c r="P61">
        <f t="shared" ca="1" si="25"/>
        <v>18</v>
      </c>
      <c r="Q61">
        <f t="shared" ca="1" si="25"/>
        <v>18</v>
      </c>
      <c r="R61">
        <f t="shared" ca="1" si="25"/>
        <v>18</v>
      </c>
      <c r="S61">
        <f t="shared" ca="1" si="25"/>
        <v>18</v>
      </c>
      <c r="T61">
        <f t="shared" ca="1" si="25"/>
        <v>18</v>
      </c>
      <c r="U61" s="13">
        <f t="shared" ca="1" si="25"/>
        <v>18</v>
      </c>
    </row>
    <row r="62" spans="1:63" x14ac:dyDescent="0.4">
      <c r="A62" s="31"/>
      <c r="D62" s="1" t="s">
        <v>41</v>
      </c>
      <c r="E62" s="1"/>
      <c r="F62" s="28">
        <f t="shared" ref="F62" ca="1" si="26">AVERAGEIFS(F7:F48,$C7:$C48,$C$61)</f>
        <v>20.033333333333342</v>
      </c>
      <c r="G62" s="14">
        <f t="shared" ref="G62:AJ62" ca="1" si="27">AVERAGEIFS(G7:G48,$C7:$C48,$C$61)</f>
        <v>25.398916666666661</v>
      </c>
      <c r="H62" s="15">
        <f t="shared" ca="1" si="27"/>
        <v>25.402538888888884</v>
      </c>
      <c r="I62" s="15">
        <f t="shared" ca="1" si="27"/>
        <v>25.402983333333331</v>
      </c>
      <c r="J62" s="15">
        <f t="shared" ca="1" si="27"/>
        <v>25.40483333333334</v>
      </c>
      <c r="K62" s="16">
        <f t="shared" ca="1" si="27"/>
        <v>25.402744444444441</v>
      </c>
      <c r="L62" s="14">
        <f t="shared" ca="1" si="27"/>
        <v>72.880036308505836</v>
      </c>
      <c r="M62" s="15">
        <f t="shared" ca="1" si="27"/>
        <v>73.712065227210303</v>
      </c>
      <c r="N62" s="15">
        <f t="shared" ca="1" si="27"/>
        <v>72.339652812621452</v>
      </c>
      <c r="O62" s="15">
        <f t="shared" ca="1" si="27"/>
        <v>71.964576518915933</v>
      </c>
      <c r="P62" s="15">
        <f t="shared" ca="1" si="27"/>
        <v>125.9330285876174</v>
      </c>
      <c r="Q62" s="15">
        <f t="shared" ca="1" si="27"/>
        <v>145.21677723218235</v>
      </c>
      <c r="R62" s="15">
        <f t="shared" ca="1" si="27"/>
        <v>74.988333032711594</v>
      </c>
      <c r="S62" s="15">
        <f t="shared" ca="1" si="27"/>
        <v>73.985108062217876</v>
      </c>
      <c r="T62" s="15">
        <f t="shared" ca="1" si="27"/>
        <v>145.67321564183507</v>
      </c>
      <c r="U62" s="16">
        <f t="shared" ca="1" si="27"/>
        <v>123.92528845193523</v>
      </c>
      <c r="V62" s="15">
        <f t="shared" ca="1" si="27"/>
        <v>0</v>
      </c>
      <c r="W62" s="15">
        <f t="shared" ca="1" si="27"/>
        <v>0</v>
      </c>
      <c r="X62" s="15">
        <f t="shared" ca="1" si="27"/>
        <v>0</v>
      </c>
      <c r="Y62" s="15">
        <f t="shared" ca="1" si="27"/>
        <v>62.48224444444444</v>
      </c>
      <c r="Z62" s="15">
        <f t="shared" ca="1" si="27"/>
        <v>37.516155555555557</v>
      </c>
      <c r="AA62" s="15">
        <f t="shared" ca="1" si="27"/>
        <v>8.302777777777777E-2</v>
      </c>
      <c r="AB62" s="15">
        <f t="shared" ca="1" si="27"/>
        <v>-63.450783333333334</v>
      </c>
      <c r="AC62" s="15">
        <f t="shared" ca="1" si="27"/>
        <v>37.516155555555557</v>
      </c>
      <c r="AD62" s="15">
        <f t="shared" ca="1" si="27"/>
        <v>6.8749999999999992E-2</v>
      </c>
      <c r="AE62" s="15">
        <f t="shared" ca="1" si="27"/>
        <v>-62.478000000000002</v>
      </c>
      <c r="AF62" s="15">
        <f t="shared" ca="1" si="27"/>
        <v>-36.462555555555554</v>
      </c>
      <c r="AG62" s="15">
        <f t="shared" ca="1" si="27"/>
        <v>8.3227777777777762E-2</v>
      </c>
      <c r="AH62" s="15">
        <f t="shared" ca="1" si="27"/>
        <v>61.443233333333325</v>
      </c>
      <c r="AI62" s="15">
        <f t="shared" ca="1" si="27"/>
        <v>-37.464977777777776</v>
      </c>
      <c r="AJ62" s="15">
        <f t="shared" ca="1" si="27"/>
        <v>6.9216666666666662E-2</v>
      </c>
      <c r="BG62" s="15">
        <f t="shared" ref="BG62:BK62" ca="1" si="28">AVERAGEIFS(BG7:BG48,$C7:$C48,$C$61)</f>
        <v>6.1444444444444446E-3</v>
      </c>
      <c r="BH62" s="15">
        <f t="shared" ca="1" si="28"/>
        <v>7.2111111111111108E-3</v>
      </c>
      <c r="BI62" s="15">
        <f t="shared" ca="1" si="28"/>
        <v>5.611111111111111E-3</v>
      </c>
      <c r="BJ62" s="15">
        <f t="shared" ca="1" si="28"/>
        <v>6.9500000000000013E-3</v>
      </c>
      <c r="BK62" s="15">
        <f t="shared" ca="1" si="28"/>
        <v>6.9499999999999996E-3</v>
      </c>
    </row>
    <row r="63" spans="1:63" x14ac:dyDescent="0.4">
      <c r="A63" s="31"/>
      <c r="D63" s="1" t="s">
        <v>42</v>
      </c>
      <c r="E63" s="1"/>
      <c r="F63" s="28">
        <f t="array" aca="1" ref="F63" ca="1">_xlfn.STDEV.S(IF($C7:$C48=$C$61,F7:F48))</f>
        <v>4.8507125007267289E-2</v>
      </c>
      <c r="G63" s="22">
        <f t="array" aca="1" ref="G63" ca="1">_xlfn.STDEV.S(IF($C7:$C48=$C$61,G7:G48))*1000</f>
        <v>0.55756824958143802</v>
      </c>
      <c r="H63" s="23">
        <f t="array" aca="1" ref="H63" ca="1">_xlfn.STDEV.S(IF($C7:$C48=$C$61,H7:H48))*1000</f>
        <v>0.48036614575360187</v>
      </c>
      <c r="I63" s="23">
        <f t="array" aca="1" ref="I63" ca="1">_xlfn.STDEV.S(IF($C7:$C48=$C$61,I7:I48))*1000</f>
        <v>0.38386578536883004</v>
      </c>
      <c r="J63" s="23">
        <f t="array" aca="1" ref="J63" ca="1">_xlfn.STDEV.S(IF($C7:$C48=$C$61,J7:J48))*1000</f>
        <v>0.35809955894700368</v>
      </c>
      <c r="K63" s="24">
        <f t="array" aca="1" ref="K63" ca="1">_xlfn.STDEV.S(IF($C7:$C48=$C$61,K7:K48))*1000</f>
        <v>0.27487370837387004</v>
      </c>
      <c r="L63" s="22">
        <f t="array" aca="1" ref="L63" ca="1">_xlfn.STDEV.S(IF($C7:$C48=$C$61,L7:L48))*1000</f>
        <v>0.42048191187254658</v>
      </c>
      <c r="M63" s="23">
        <f t="array" aca="1" ref="M63" ca="1">_xlfn.STDEV.S(IF($C7:$C48=$C$61,M7:M48))*1000</f>
        <v>0.5093756522680567</v>
      </c>
      <c r="N63" s="23">
        <f t="array" aca="1" ref="N63" ca="1">_xlfn.STDEV.S(IF($C7:$C48=$C$61,N7:N48))*1000</f>
        <v>0.40139506479909132</v>
      </c>
      <c r="O63" s="23">
        <f t="array" aca="1" ref="O63" ca="1">_xlfn.STDEV.S(IF($C7:$C48=$C$61,O7:O48))*1000</f>
        <v>0.44890112603300109</v>
      </c>
      <c r="P63" s="23">
        <f t="array" aca="1" ref="P63" ca="1">_xlfn.STDEV.S(IF($C7:$C48=$C$61,P7:P48))*1000</f>
        <v>0.34946150684002303</v>
      </c>
      <c r="Q63" s="23">
        <f t="array" aca="1" ref="Q63" ca="1">_xlfn.STDEV.S(IF($C7:$C48=$C$61,Q7:Q48))*1000</f>
        <v>0.36598398977005531</v>
      </c>
      <c r="R63" s="23">
        <f t="array" aca="1" ref="R63" ca="1">_xlfn.STDEV.S(IF($C7:$C48=$C$61,R7:R48))*1000</f>
        <v>0.30797364433992652</v>
      </c>
      <c r="S63" s="23">
        <f t="array" aca="1" ref="S63" ca="1">_xlfn.STDEV.S(IF($C7:$C48=$C$61,S7:S48))*1000</f>
        <v>0.57008994373103261</v>
      </c>
      <c r="T63" s="23">
        <f t="array" aca="1" ref="T63" ca="1">_xlfn.STDEV.S(IF($C7:$C48=$C$61,T7:T48))*1000</f>
        <v>0.49369964832533286</v>
      </c>
      <c r="U63" s="24">
        <f t="array" aca="1" ref="U63" ca="1">_xlfn.STDEV.S(IF($C7:$C48=$C$61,U7:U48))*1000</f>
        <v>0.61374975101322349</v>
      </c>
    </row>
    <row r="64" spans="1:63" x14ac:dyDescent="0.4">
      <c r="A64" s="31"/>
      <c r="C64" t="s">
        <v>48</v>
      </c>
      <c r="D64" s="1"/>
      <c r="E64" s="1"/>
      <c r="F64" s="11"/>
      <c r="G64" s="12"/>
      <c r="K64" s="13"/>
      <c r="L64" s="12"/>
      <c r="U64" s="13"/>
    </row>
    <row r="65" spans="1:63" ht="15" thickBot="1" x14ac:dyDescent="0.45">
      <c r="A65" s="31"/>
      <c r="D65" s="1" t="s">
        <v>49</v>
      </c>
      <c r="E65" s="1"/>
      <c r="F65" s="29">
        <f ca="1">(F62-F58)</f>
        <v>-3.3333333333331439E-2</v>
      </c>
      <c r="G65" s="25">
        <f ca="1">(G62-G58)*1000</f>
        <v>6.6666666665327057E-2</v>
      </c>
      <c r="H65" s="26">
        <f t="shared" ref="H65:AJ65" ca="1" si="29">(H62-H58)*1000</f>
        <v>-0.52777777777990309</v>
      </c>
      <c r="I65" s="26">
        <f t="shared" ca="1" si="29"/>
        <v>9.9999999999766942E-2</v>
      </c>
      <c r="J65" s="26">
        <f t="shared" ca="1" si="29"/>
        <v>5.0000000008765255E-2</v>
      </c>
      <c r="K65" s="27">
        <f t="shared" ca="1" si="29"/>
        <v>0.17222222222201822</v>
      </c>
      <c r="L65" s="25">
        <f t="shared" ca="1" si="29"/>
        <v>-0.74256191216193201</v>
      </c>
      <c r="M65" s="26">
        <f t="shared" ca="1" si="29"/>
        <v>-0.36681481482503386</v>
      </c>
      <c r="N65" s="26">
        <f t="shared" ca="1" si="29"/>
        <v>-0.25381532428525588</v>
      </c>
      <c r="O65" s="26">
        <f t="shared" ca="1" si="29"/>
        <v>-0.68540476455325461</v>
      </c>
      <c r="P65" s="26">
        <f t="shared" ca="1" si="29"/>
        <v>-1.8555489837837058</v>
      </c>
      <c r="Q65" s="26">
        <f t="shared" ca="1" si="29"/>
        <v>-0.9964245612366085</v>
      </c>
      <c r="R65" s="26">
        <f t="shared" ca="1" si="29"/>
        <v>1.0779923480583875</v>
      </c>
      <c r="S65" s="26">
        <f t="shared" ca="1" si="29"/>
        <v>1.2728550511837966</v>
      </c>
      <c r="T65" s="26">
        <f t="shared" ca="1" si="29"/>
        <v>-1.0551839617960468</v>
      </c>
      <c r="U65" s="27">
        <f t="shared" ca="1" si="29"/>
        <v>-1.9348346654624038</v>
      </c>
      <c r="V65" s="23">
        <f t="shared" ca="1" si="29"/>
        <v>0</v>
      </c>
      <c r="W65" s="23">
        <f t="shared" ca="1" si="29"/>
        <v>0</v>
      </c>
      <c r="X65" s="23">
        <f t="shared" ca="1" si="29"/>
        <v>0</v>
      </c>
      <c r="Y65" s="23">
        <f t="shared" ca="1" si="29"/>
        <v>-1.149999999988438</v>
      </c>
      <c r="Z65" s="23">
        <f t="shared" ca="1" si="29"/>
        <v>0.47222222222842447</v>
      </c>
      <c r="AA65" s="23">
        <f t="shared" ca="1" si="29"/>
        <v>0.25555555555555054</v>
      </c>
      <c r="AB65" s="23">
        <f t="shared" ca="1" si="29"/>
        <v>0.70555555554108196</v>
      </c>
      <c r="AC65" s="23">
        <f t="shared" ca="1" si="29"/>
        <v>0.47222222222842447</v>
      </c>
      <c r="AD65" s="23">
        <f t="shared" ca="1" si="29"/>
        <v>0.19999999999999185</v>
      </c>
      <c r="AE65" s="23">
        <f t="shared" ca="1" si="29"/>
        <v>0.76111111109611329</v>
      </c>
      <c r="AF65" s="23">
        <f t="shared" ca="1" si="29"/>
        <v>-0.79999999999103011</v>
      </c>
      <c r="AG65" s="23">
        <f t="shared" ca="1" si="29"/>
        <v>0.26666666666666505</v>
      </c>
      <c r="AH65" s="23">
        <f t="shared" ca="1" si="29"/>
        <v>-1.1722222222374512</v>
      </c>
      <c r="AI65" s="23">
        <f t="shared" ca="1" si="29"/>
        <v>-0.60555555555197316</v>
      </c>
      <c r="AJ65" s="23">
        <f t="shared" ca="1" si="29"/>
        <v>0.19999999999999185</v>
      </c>
      <c r="BG65" s="23">
        <f t="shared" ref="BG65:BK65" ca="1" si="30">(BG62-BG58)*1000</f>
        <v>0.83888888888889079</v>
      </c>
      <c r="BH65" s="23">
        <f t="shared" ca="1" si="30"/>
        <v>0.51111111111111063</v>
      </c>
      <c r="BI65" s="23">
        <f t="shared" ca="1" si="30"/>
        <v>-3.8888888888888654E-2</v>
      </c>
      <c r="BJ65" s="23">
        <f t="shared" ca="1" si="30"/>
        <v>0.40000000000000102</v>
      </c>
      <c r="BK65" s="23">
        <f t="shared" ca="1" si="30"/>
        <v>1.9777777777777772</v>
      </c>
    </row>
    <row r="66" spans="1:63" x14ac:dyDescent="0.4">
      <c r="A66" s="31"/>
    </row>
    <row r="67" spans="1:63" x14ac:dyDescent="0.4">
      <c r="A67" s="31"/>
    </row>
    <row r="68" spans="1:63" x14ac:dyDescent="0.4">
      <c r="A68" s="31"/>
      <c r="G68" s="30">
        <f ca="1">G52/1000</f>
        <v>4.4045431091124186E-4</v>
      </c>
      <c r="H68" s="30">
        <f t="shared" ref="H68:AJ68" ca="1" si="31">H52/1000</f>
        <v>5.3478225801902133E-4</v>
      </c>
      <c r="I68" s="30">
        <f t="shared" ca="1" si="31"/>
        <v>4.1884194086641059E-4</v>
      </c>
      <c r="J68" s="30">
        <f t="shared" ca="1" si="31"/>
        <v>3.7749172176414333E-4</v>
      </c>
      <c r="K68" s="30">
        <f t="shared" ca="1" si="31"/>
        <v>3.1926254310242312E-4</v>
      </c>
      <c r="L68" s="30">
        <f t="shared" ca="1" si="31"/>
        <v>5.4249316830000014E-4</v>
      </c>
      <c r="M68" s="30">
        <f t="shared" ca="1" si="31"/>
        <v>5.4192181074220233E-4</v>
      </c>
      <c r="N68" s="30">
        <f t="shared" ca="1" si="31"/>
        <v>4.0073022003580205E-4</v>
      </c>
      <c r="O68" s="30">
        <f t="shared" ca="1" si="31"/>
        <v>5.3003691343161746E-4</v>
      </c>
      <c r="P68" s="30">
        <f t="shared" ca="1" si="31"/>
        <v>1.0021216411174492E-3</v>
      </c>
      <c r="Q68" s="30">
        <f t="shared" ca="1" si="31"/>
        <v>6.2748983585834061E-4</v>
      </c>
      <c r="R68" s="30">
        <f t="shared" ca="1" si="31"/>
        <v>6.4890052450440735E-4</v>
      </c>
      <c r="S68" s="30">
        <f t="shared" ca="1" si="31"/>
        <v>7.783663472193434E-4</v>
      </c>
      <c r="T68" s="30">
        <f t="shared" ca="1" si="31"/>
        <v>7.0624352509255858E-4</v>
      </c>
      <c r="U68" s="30">
        <f t="shared" ca="1" si="31"/>
        <v>1.10039381396034E-3</v>
      </c>
      <c r="V68" s="30">
        <f t="shared" ca="1" si="31"/>
        <v>0</v>
      </c>
      <c r="W68" s="30">
        <f t="shared" ca="1" si="31"/>
        <v>0</v>
      </c>
      <c r="X68" s="30">
        <f t="shared" ca="1" si="31"/>
        <v>0</v>
      </c>
      <c r="Y68" s="30">
        <f t="shared" ca="1" si="31"/>
        <v>7.2931257043630602E-4</v>
      </c>
      <c r="Z68" s="30">
        <f t="shared" ca="1" si="31"/>
        <v>3.7707100084995664E-4</v>
      </c>
      <c r="AA68" s="30">
        <f t="shared" ca="1" si="31"/>
        <v>3.7644957924572712E-4</v>
      </c>
      <c r="AB68" s="30">
        <f t="shared" ca="1" si="31"/>
        <v>6.3612791964993238E-4</v>
      </c>
      <c r="AC68" s="30">
        <f t="shared" ca="1" si="31"/>
        <v>3.7707100084995664E-4</v>
      </c>
      <c r="AD68" s="30">
        <f t="shared" ca="1" si="31"/>
        <v>3.9315573068623614E-4</v>
      </c>
      <c r="AE68" s="30">
        <f t="shared" ca="1" si="31"/>
        <v>6.0039008483527402E-4</v>
      </c>
      <c r="AF68" s="30">
        <f t="shared" ca="1" si="31"/>
        <v>6.0353456260116051E-4</v>
      </c>
      <c r="AG68" s="30">
        <f t="shared" ca="1" si="31"/>
        <v>3.8168382161487912E-4</v>
      </c>
      <c r="AH68" s="30">
        <f t="shared" ca="1" si="31"/>
        <v>7.4251289337319819E-4</v>
      </c>
      <c r="AI68" s="30">
        <f t="shared" ca="1" si="31"/>
        <v>4.7831549659805152E-4</v>
      </c>
      <c r="AJ68" s="30">
        <f t="shared" ca="1" si="31"/>
        <v>3.9532988033503657E-4</v>
      </c>
      <c r="BG68" s="30">
        <f t="shared" ref="BG68:BK68" ca="1" si="32">BG52/1000</f>
        <v>1.0755397316165097E-3</v>
      </c>
      <c r="BH68" s="30">
        <f t="shared" ca="1" si="32"/>
        <v>1.4132929014881611E-3</v>
      </c>
      <c r="BI68" s="30">
        <f t="shared" ca="1" si="32"/>
        <v>7.5245102145092438E-4</v>
      </c>
      <c r="BJ68" s="30">
        <f t="shared" ca="1" si="32"/>
        <v>1.4245801386473741E-3</v>
      </c>
      <c r="BK68" s="30">
        <f t="shared" ca="1" si="32"/>
        <v>1.7818574221906398E-3</v>
      </c>
    </row>
    <row r="69" spans="1:63" x14ac:dyDescent="0.4">
      <c r="A69" s="31"/>
    </row>
    <row r="70" spans="1:63" x14ac:dyDescent="0.4">
      <c r="A70" s="31"/>
    </row>
    <row r="71" spans="1:63" x14ac:dyDescent="0.4">
      <c r="A71" s="31"/>
      <c r="G71" s="33">
        <f ca="1">(G51-[1]Summary!G51)*1000</f>
        <v>-0.74722222222689538</v>
      </c>
      <c r="H71" s="33">
        <f ca="1">(H51-[1]Summary!H51)*1000</f>
        <v>-9.1666666673262398E-2</v>
      </c>
      <c r="I71" s="33">
        <f ca="1">(I51-[1]Summary!I51)*1000</f>
        <v>-0.19999999999953388</v>
      </c>
      <c r="J71" s="33">
        <f ca="1">(J51-[1]Summary!J51)*1000</f>
        <v>0.1472222222211883</v>
      </c>
      <c r="K71" s="33">
        <f ca="1">(K51-[1]Summary!K51)*1000</f>
        <v>-0.22500000000746923</v>
      </c>
      <c r="L71" s="33">
        <f ca="1">(L51-[1]Summary!L51)*1000</f>
        <v>4.0344560545690911E-2</v>
      </c>
      <c r="M71" s="33">
        <f ca="1">(M51-[1]Summary!M51)*1000</f>
        <v>0.3671353828735846</v>
      </c>
      <c r="N71" s="33">
        <f ca="1">(N51-[1]Summary!N51)*1000</f>
        <v>-2.6997632985796827</v>
      </c>
      <c r="O71" s="33">
        <f ca="1">(O51-[1]Summary!O51)*1000</f>
        <v>0.45340213728195522</v>
      </c>
      <c r="P71" s="33">
        <f ca="1">(P51-[1]Summary!P51)*1000</f>
        <v>-0.23269311309093155</v>
      </c>
      <c r="Q71" s="33">
        <f ca="1">(Q51-[1]Summary!Q51)*1000</f>
        <v>-2.6683861823642019</v>
      </c>
      <c r="R71" s="33">
        <f ca="1">(R51-[1]Summary!R51)*1000</f>
        <v>-1.144510258001219</v>
      </c>
      <c r="S71" s="33">
        <f ca="1">(S51-[1]Summary!S51)*1000</f>
        <v>0.36346111741636378</v>
      </c>
      <c r="T71" s="33">
        <f ca="1">(T51-[1]Summary!T51)*1000</f>
        <v>0.84320200966203629</v>
      </c>
      <c r="U71" s="33">
        <f ca="1">(U51-[1]Summary!U51)*1000</f>
        <v>-1.4137648668821612</v>
      </c>
      <c r="Y71" s="33">
        <f ca="1">(Y51-[1]Summary!Y51)*1000</f>
        <v>-0.31388888888983502</v>
      </c>
      <c r="Z71" s="33">
        <f ca="1">(Z51-[1]Summary!Z51)*1000</f>
        <v>0.58888888889185864</v>
      </c>
      <c r="AA71" s="33">
        <f ca="1">(AA51-[1]Summary!AA51)*1000</f>
        <v>5.7555555555555831</v>
      </c>
      <c r="AB71" s="33">
        <f ca="1">(AB51-[1]Summary!AB51)*1000</f>
        <v>-8.0555555584282956E-2</v>
      </c>
      <c r="AC71" s="33">
        <f ca="1">(AC51-[1]Summary!AC51)*1000</f>
        <v>0.58888888889185864</v>
      </c>
      <c r="AD71" s="33">
        <f ca="1">(AD51-[1]Summary!AD51)*1000</f>
        <v>-2.030555555555591</v>
      </c>
      <c r="AE71" s="33">
        <f ca="1">(AE51-[1]Summary!AE51)*1000</f>
        <v>2.9777777777866277</v>
      </c>
      <c r="AF71" s="33">
        <f ca="1">(AF51-[1]Summary!AF51)*1000</f>
        <v>0.26666666667551908</v>
      </c>
      <c r="AG71" s="33">
        <f ca="1">(AG51-[1]Summary!AG51)*1000</f>
        <v>5.8750000000000053</v>
      </c>
      <c r="AH71" s="33">
        <f ca="1">(AH51-[1]Summary!AH51)*1000</f>
        <v>1.5750000000025466</v>
      </c>
      <c r="AI71" s="33">
        <f ca="1">(AI51-[1]Summary!AI51)*1000</f>
        <v>1.7083333333332007</v>
      </c>
      <c r="AJ71" s="33">
        <f ca="1">(AJ51-[1]Summary!AJ51)*1000</f>
        <v>-2.0000000000000018</v>
      </c>
    </row>
    <row r="72" spans="1:63" x14ac:dyDescent="0.4">
      <c r="A72" s="31"/>
    </row>
    <row r="73" spans="1:63" x14ac:dyDescent="0.4">
      <c r="A73" s="31"/>
    </row>
    <row r="74" spans="1:63" x14ac:dyDescent="0.4">
      <c r="A74" s="31"/>
    </row>
    <row r="75" spans="1:63" x14ac:dyDescent="0.4">
      <c r="A75" s="31"/>
    </row>
    <row r="76" spans="1:63" x14ac:dyDescent="0.4">
      <c r="A76" s="31"/>
    </row>
    <row r="77" spans="1:63" x14ac:dyDescent="0.4">
      <c r="A77" s="31"/>
    </row>
    <row r="78" spans="1:63" x14ac:dyDescent="0.4">
      <c r="A78" s="31"/>
    </row>
    <row r="79" spans="1:63" x14ac:dyDescent="0.4">
      <c r="A79" s="31"/>
    </row>
    <row r="80" spans="1:63" x14ac:dyDescent="0.4">
      <c r="A80" s="31"/>
    </row>
    <row r="81" spans="1:21" x14ac:dyDescent="0.4">
      <c r="A81" s="31"/>
    </row>
    <row r="82" spans="1:21" x14ac:dyDescent="0.4">
      <c r="A82" s="31"/>
    </row>
    <row r="83" spans="1:21" x14ac:dyDescent="0.4">
      <c r="A83" s="31"/>
    </row>
    <row r="84" spans="1:21" x14ac:dyDescent="0.4">
      <c r="A84" s="31"/>
      <c r="F84" t="s">
        <v>150</v>
      </c>
    </row>
    <row r="85" spans="1:21" x14ac:dyDescent="0.4">
      <c r="A85" s="31"/>
      <c r="D85">
        <v>1</v>
      </c>
      <c r="F85">
        <v>0</v>
      </c>
      <c r="G85" s="15">
        <f ca="1">G53</f>
        <v>25.3978</v>
      </c>
      <c r="H85" s="15">
        <f t="shared" ref="H85:U85" ca="1" si="33">H53</f>
        <v>25.401900000000001</v>
      </c>
      <c r="I85" s="15">
        <f t="shared" ca="1" si="33"/>
        <v>25.401900000000001</v>
      </c>
      <c r="J85" s="15">
        <f t="shared" ca="1" si="33"/>
        <v>25.404</v>
      </c>
      <c r="K85" s="15">
        <f t="shared" ca="1" si="33"/>
        <v>25.402000000000001</v>
      </c>
      <c r="L85" s="15">
        <f t="shared" ca="1" si="33"/>
        <v>72.87950597225533</v>
      </c>
      <c r="M85" s="15">
        <f t="shared" ca="1" si="33"/>
        <v>73.711276725003202</v>
      </c>
      <c r="N85" s="15">
        <f t="shared" ca="1" si="33"/>
        <v>72.338688603125775</v>
      </c>
      <c r="O85" s="15">
        <f t="shared" ca="1" si="33"/>
        <v>71.963444935953433</v>
      </c>
      <c r="P85" s="15">
        <f t="shared" ca="1" si="33"/>
        <v>125.9325008347726</v>
      </c>
      <c r="Q85" s="15">
        <f t="shared" ca="1" si="33"/>
        <v>145.2162521279557</v>
      </c>
      <c r="R85" s="15">
        <f t="shared" ca="1" si="33"/>
        <v>74.986403866434344</v>
      </c>
      <c r="S85" s="15">
        <f t="shared" ca="1" si="33"/>
        <v>73.983285442456534</v>
      </c>
      <c r="T85" s="15">
        <f t="shared" ca="1" si="33"/>
        <v>145.67229242028151</v>
      </c>
      <c r="U85" s="15">
        <f t="shared" ca="1" si="33"/>
        <v>123.92435246306513</v>
      </c>
    </row>
    <row r="86" spans="1:21" x14ac:dyDescent="0.4">
      <c r="A86" s="31"/>
      <c r="D86">
        <v>2</v>
      </c>
      <c r="F86">
        <v>0.25</v>
      </c>
      <c r="G86" s="15">
        <f ca="1">G$85+$F86/1000</f>
        <v>25.398050000000001</v>
      </c>
      <c r="H86" s="15">
        <f t="shared" ref="H86:U86" ca="1" si="34">H$85+$F86/1000</f>
        <v>25.402150000000002</v>
      </c>
      <c r="I86" s="15">
        <f t="shared" ca="1" si="34"/>
        <v>25.402150000000002</v>
      </c>
      <c r="J86" s="15">
        <f t="shared" ca="1" si="34"/>
        <v>25.404250000000001</v>
      </c>
      <c r="K86" s="15">
        <f t="shared" ca="1" si="34"/>
        <v>25.402250000000002</v>
      </c>
      <c r="L86" s="15">
        <f t="shared" ca="1" si="34"/>
        <v>72.879755972255325</v>
      </c>
      <c r="M86" s="15">
        <f t="shared" ca="1" si="34"/>
        <v>73.711526725003196</v>
      </c>
      <c r="N86" s="15">
        <f t="shared" ca="1" si="34"/>
        <v>72.338938603125769</v>
      </c>
      <c r="O86" s="15">
        <f t="shared" ca="1" si="34"/>
        <v>71.963694935953427</v>
      </c>
      <c r="P86" s="15">
        <f t="shared" ca="1" si="34"/>
        <v>125.93275083477259</v>
      </c>
      <c r="Q86" s="15">
        <f t="shared" ca="1" si="34"/>
        <v>145.21650212795569</v>
      </c>
      <c r="R86" s="15">
        <f t="shared" ca="1" si="34"/>
        <v>74.986653866434338</v>
      </c>
      <c r="S86" s="15">
        <f t="shared" ca="1" si="34"/>
        <v>73.983535442456528</v>
      </c>
      <c r="T86" s="15">
        <f t="shared" ca="1" si="34"/>
        <v>145.6725424202815</v>
      </c>
      <c r="U86" s="15">
        <f t="shared" ca="1" si="34"/>
        <v>123.92460246306513</v>
      </c>
    </row>
    <row r="87" spans="1:21" x14ac:dyDescent="0.4">
      <c r="D87">
        <v>3</v>
      </c>
      <c r="F87">
        <v>0.5</v>
      </c>
      <c r="G87" s="15">
        <f t="shared" ref="G87:U103" ca="1" si="35">G$85+$F87/1000</f>
        <v>25.398299999999999</v>
      </c>
      <c r="H87" s="15">
        <f t="shared" ca="1" si="35"/>
        <v>25.4024</v>
      </c>
      <c r="I87" s="15">
        <f t="shared" ca="1" si="35"/>
        <v>25.4024</v>
      </c>
      <c r="J87" s="15">
        <f t="shared" ca="1" si="35"/>
        <v>25.404499999999999</v>
      </c>
      <c r="K87" s="15">
        <f t="shared" ca="1" si="35"/>
        <v>25.4025</v>
      </c>
      <c r="L87" s="15">
        <f t="shared" ca="1" si="35"/>
        <v>72.880005972255333</v>
      </c>
      <c r="M87" s="15">
        <f t="shared" ca="1" si="35"/>
        <v>73.711776725003205</v>
      </c>
      <c r="N87" s="15">
        <f t="shared" ca="1" si="35"/>
        <v>72.339188603125777</v>
      </c>
      <c r="O87" s="15">
        <f t="shared" ca="1" si="35"/>
        <v>71.963944935953435</v>
      </c>
      <c r="P87" s="15">
        <f t="shared" ca="1" si="35"/>
        <v>125.9330008347726</v>
      </c>
      <c r="Q87" s="15">
        <f t="shared" ca="1" si="35"/>
        <v>145.21675212795569</v>
      </c>
      <c r="R87" s="15">
        <f t="shared" ca="1" si="35"/>
        <v>74.986903866434346</v>
      </c>
      <c r="S87" s="15">
        <f t="shared" ca="1" si="35"/>
        <v>73.983785442456536</v>
      </c>
      <c r="T87" s="15">
        <f t="shared" ca="1" si="35"/>
        <v>145.6727924202815</v>
      </c>
      <c r="U87" s="15">
        <f t="shared" ca="1" si="35"/>
        <v>123.92485246306514</v>
      </c>
    </row>
    <row r="88" spans="1:21" x14ac:dyDescent="0.4">
      <c r="D88">
        <v>4</v>
      </c>
      <c r="F88">
        <v>0.75</v>
      </c>
      <c r="G88" s="15">
        <f t="shared" ca="1" si="35"/>
        <v>25.39855</v>
      </c>
      <c r="H88" s="15">
        <f t="shared" ca="1" si="35"/>
        <v>25.402650000000001</v>
      </c>
      <c r="I88" s="15">
        <f t="shared" ca="1" si="35"/>
        <v>25.402650000000001</v>
      </c>
      <c r="J88" s="15">
        <f t="shared" ca="1" si="35"/>
        <v>25.40475</v>
      </c>
      <c r="K88" s="15">
        <f t="shared" ca="1" si="35"/>
        <v>25.402750000000001</v>
      </c>
      <c r="L88" s="15">
        <f t="shared" ca="1" si="35"/>
        <v>72.880255972255327</v>
      </c>
      <c r="M88" s="15">
        <f t="shared" ca="1" si="35"/>
        <v>73.712026725003199</v>
      </c>
      <c r="N88" s="15">
        <f t="shared" ca="1" si="35"/>
        <v>72.339438603125771</v>
      </c>
      <c r="O88" s="15">
        <f t="shared" ca="1" si="35"/>
        <v>71.964194935953429</v>
      </c>
      <c r="P88" s="15">
        <f t="shared" ca="1" si="35"/>
        <v>125.93325083477259</v>
      </c>
      <c r="Q88" s="15">
        <f t="shared" ca="1" si="35"/>
        <v>145.21700212795571</v>
      </c>
      <c r="R88" s="15">
        <f t="shared" ca="1" si="35"/>
        <v>74.98715386643434</v>
      </c>
      <c r="S88" s="15">
        <f t="shared" ca="1" si="35"/>
        <v>73.984035442456531</v>
      </c>
      <c r="T88" s="15">
        <f t="shared" ca="1" si="35"/>
        <v>145.67304242028152</v>
      </c>
      <c r="U88" s="15">
        <f t="shared" ca="1" si="35"/>
        <v>123.92510246306513</v>
      </c>
    </row>
    <row r="89" spans="1:21" x14ac:dyDescent="0.4">
      <c r="D89">
        <v>5</v>
      </c>
      <c r="F89">
        <v>1</v>
      </c>
      <c r="G89" s="15">
        <f t="shared" ca="1" si="35"/>
        <v>25.398800000000001</v>
      </c>
      <c r="H89" s="15">
        <f t="shared" ca="1" si="35"/>
        <v>25.402900000000002</v>
      </c>
      <c r="I89" s="15">
        <f t="shared" ca="1" si="35"/>
        <v>25.402900000000002</v>
      </c>
      <c r="J89" s="15">
        <f t="shared" ca="1" si="35"/>
        <v>25.405000000000001</v>
      </c>
      <c r="K89" s="15">
        <f t="shared" ca="1" si="35"/>
        <v>25.403000000000002</v>
      </c>
      <c r="L89" s="15">
        <f t="shared" ca="1" si="35"/>
        <v>72.880505972255335</v>
      </c>
      <c r="M89" s="15">
        <f t="shared" ca="1" si="35"/>
        <v>73.712276725003207</v>
      </c>
      <c r="N89" s="15">
        <f t="shared" ca="1" si="35"/>
        <v>72.339688603125779</v>
      </c>
      <c r="O89" s="15">
        <f t="shared" ca="1" si="35"/>
        <v>71.964444935953438</v>
      </c>
      <c r="P89" s="15">
        <f t="shared" ca="1" si="35"/>
        <v>125.9335008347726</v>
      </c>
      <c r="Q89" s="15">
        <f t="shared" ca="1" si="35"/>
        <v>145.2172521279557</v>
      </c>
      <c r="R89" s="15">
        <f t="shared" ca="1" si="35"/>
        <v>74.987403866434349</v>
      </c>
      <c r="S89" s="15">
        <f t="shared" ca="1" si="35"/>
        <v>73.984285442456539</v>
      </c>
      <c r="T89" s="15">
        <f t="shared" ca="1" si="35"/>
        <v>145.67329242028151</v>
      </c>
      <c r="U89" s="15">
        <f t="shared" ca="1" si="35"/>
        <v>123.92535246306514</v>
      </c>
    </row>
    <row r="90" spans="1:21" x14ac:dyDescent="0.4">
      <c r="D90">
        <v>6</v>
      </c>
      <c r="F90">
        <v>1.25</v>
      </c>
      <c r="G90" s="15">
        <f t="shared" ca="1" si="35"/>
        <v>25.399049999999999</v>
      </c>
      <c r="H90" s="15">
        <f t="shared" ca="1" si="35"/>
        <v>25.40315</v>
      </c>
      <c r="I90" s="15">
        <f t="shared" ca="1" si="35"/>
        <v>25.40315</v>
      </c>
      <c r="J90" s="15">
        <f t="shared" ca="1" si="35"/>
        <v>25.405249999999999</v>
      </c>
      <c r="K90" s="15">
        <f t="shared" ca="1" si="35"/>
        <v>25.40325</v>
      </c>
      <c r="L90" s="15">
        <f t="shared" ca="1" si="35"/>
        <v>72.880755972255329</v>
      </c>
      <c r="M90" s="15">
        <f t="shared" ca="1" si="35"/>
        <v>73.712526725003201</v>
      </c>
      <c r="N90" s="15">
        <f t="shared" ca="1" si="35"/>
        <v>72.339938603125773</v>
      </c>
      <c r="O90" s="15">
        <f t="shared" ca="1" si="35"/>
        <v>71.964694935953432</v>
      </c>
      <c r="P90" s="15">
        <f t="shared" ca="1" si="35"/>
        <v>125.9337508347726</v>
      </c>
      <c r="Q90" s="15">
        <f t="shared" ca="1" si="35"/>
        <v>145.2175021279557</v>
      </c>
      <c r="R90" s="15">
        <f t="shared" ca="1" si="35"/>
        <v>74.987653866434343</v>
      </c>
      <c r="S90" s="15">
        <f t="shared" ca="1" si="35"/>
        <v>73.984535442456533</v>
      </c>
      <c r="T90" s="15">
        <f t="shared" ca="1" si="35"/>
        <v>145.67354242028151</v>
      </c>
      <c r="U90" s="15">
        <f t="shared" ca="1" si="35"/>
        <v>123.92560246306513</v>
      </c>
    </row>
    <row r="91" spans="1:21" x14ac:dyDescent="0.4">
      <c r="D91">
        <v>7</v>
      </c>
      <c r="F91">
        <v>1.5</v>
      </c>
      <c r="G91" s="15">
        <f t="shared" ca="1" si="35"/>
        <v>25.3993</v>
      </c>
      <c r="H91" s="15">
        <f t="shared" ca="1" si="35"/>
        <v>25.403400000000001</v>
      </c>
      <c r="I91" s="15">
        <f t="shared" ca="1" si="35"/>
        <v>25.403400000000001</v>
      </c>
      <c r="J91" s="15">
        <f t="shared" ca="1" si="35"/>
        <v>25.4055</v>
      </c>
      <c r="K91" s="15">
        <f t="shared" ca="1" si="35"/>
        <v>25.403500000000001</v>
      </c>
      <c r="L91" s="15">
        <f t="shared" ca="1" si="35"/>
        <v>72.881005972255323</v>
      </c>
      <c r="M91" s="15">
        <f t="shared" ca="1" si="35"/>
        <v>73.712776725003195</v>
      </c>
      <c r="N91" s="15">
        <f t="shared" ca="1" si="35"/>
        <v>72.340188603125767</v>
      </c>
      <c r="O91" s="15">
        <f t="shared" ca="1" si="35"/>
        <v>71.964944935953426</v>
      </c>
      <c r="P91" s="15">
        <f t="shared" ca="1" si="35"/>
        <v>125.93400083477259</v>
      </c>
      <c r="Q91" s="15">
        <f t="shared" ca="1" si="35"/>
        <v>145.21775212795569</v>
      </c>
      <c r="R91" s="15">
        <f t="shared" ca="1" si="35"/>
        <v>74.987903866434337</v>
      </c>
      <c r="S91" s="15">
        <f t="shared" ca="1" si="35"/>
        <v>73.984785442456527</v>
      </c>
      <c r="T91" s="15">
        <f t="shared" ca="1" si="35"/>
        <v>145.6737924202815</v>
      </c>
      <c r="U91" s="15">
        <f t="shared" ca="1" si="35"/>
        <v>123.92585246306513</v>
      </c>
    </row>
    <row r="92" spans="1:21" x14ac:dyDescent="0.4">
      <c r="D92">
        <v>8</v>
      </c>
      <c r="F92">
        <v>1.75</v>
      </c>
      <c r="G92" s="15">
        <f t="shared" ca="1" si="35"/>
        <v>25.399550000000001</v>
      </c>
      <c r="H92" s="15">
        <f t="shared" ca="1" si="35"/>
        <v>25.403650000000003</v>
      </c>
      <c r="I92" s="15">
        <f t="shared" ca="1" si="35"/>
        <v>25.403650000000003</v>
      </c>
      <c r="J92" s="15">
        <f t="shared" ca="1" si="35"/>
        <v>25.405750000000001</v>
      </c>
      <c r="K92" s="15">
        <f t="shared" ca="1" si="35"/>
        <v>25.403750000000002</v>
      </c>
      <c r="L92" s="15">
        <f t="shared" ca="1" si="35"/>
        <v>72.881255972255332</v>
      </c>
      <c r="M92" s="15">
        <f t="shared" ca="1" si="35"/>
        <v>73.713026725003203</v>
      </c>
      <c r="N92" s="15">
        <f t="shared" ca="1" si="35"/>
        <v>72.340438603125776</v>
      </c>
      <c r="O92" s="15">
        <f t="shared" ca="1" si="35"/>
        <v>71.965194935953434</v>
      </c>
      <c r="P92" s="15">
        <f t="shared" ca="1" si="35"/>
        <v>125.9342508347726</v>
      </c>
      <c r="Q92" s="15">
        <f t="shared" ca="1" si="35"/>
        <v>145.21800212795569</v>
      </c>
      <c r="R92" s="15">
        <f t="shared" ca="1" si="35"/>
        <v>74.988153866434345</v>
      </c>
      <c r="S92" s="15">
        <f t="shared" ca="1" si="35"/>
        <v>73.985035442456535</v>
      </c>
      <c r="T92" s="15">
        <f t="shared" ca="1" si="35"/>
        <v>145.67404242028149</v>
      </c>
      <c r="U92" s="15">
        <f t="shared" ca="1" si="35"/>
        <v>123.92610246306513</v>
      </c>
    </row>
    <row r="93" spans="1:21" x14ac:dyDescent="0.4">
      <c r="D93">
        <v>9</v>
      </c>
      <c r="F93">
        <v>2</v>
      </c>
      <c r="G93" s="15">
        <f t="shared" ca="1" si="35"/>
        <v>25.399799999999999</v>
      </c>
      <c r="H93" s="15">
        <f t="shared" ca="1" si="35"/>
        <v>25.4039</v>
      </c>
      <c r="I93" s="15">
        <f t="shared" ca="1" si="35"/>
        <v>25.4039</v>
      </c>
      <c r="J93" s="15">
        <f t="shared" ca="1" si="35"/>
        <v>25.405999999999999</v>
      </c>
      <c r="K93" s="15">
        <f t="shared" ca="1" si="35"/>
        <v>25.404</v>
      </c>
      <c r="L93" s="15">
        <f t="shared" ca="1" si="35"/>
        <v>72.881505972255326</v>
      </c>
      <c r="M93" s="15">
        <f t="shared" ca="1" si="35"/>
        <v>73.713276725003197</v>
      </c>
      <c r="N93" s="15">
        <f t="shared" ca="1" si="35"/>
        <v>72.34068860312577</v>
      </c>
      <c r="O93" s="15">
        <f t="shared" ca="1" si="35"/>
        <v>71.965444935953428</v>
      </c>
      <c r="P93" s="15">
        <f t="shared" ca="1" si="35"/>
        <v>125.93450083477259</v>
      </c>
      <c r="Q93" s="15">
        <f t="shared" ca="1" si="35"/>
        <v>145.21825212795571</v>
      </c>
      <c r="R93" s="15">
        <f t="shared" ca="1" si="35"/>
        <v>74.988403866434339</v>
      </c>
      <c r="S93" s="15">
        <f t="shared" ca="1" si="35"/>
        <v>73.985285442456529</v>
      </c>
      <c r="T93" s="15">
        <f t="shared" ca="1" si="35"/>
        <v>145.67429242028152</v>
      </c>
      <c r="U93" s="15">
        <f t="shared" ca="1" si="35"/>
        <v>123.92635246306513</v>
      </c>
    </row>
    <row r="94" spans="1:21" x14ac:dyDescent="0.4">
      <c r="D94">
        <v>10</v>
      </c>
      <c r="F94">
        <v>2.25</v>
      </c>
      <c r="G94" s="15">
        <f t="shared" ca="1" si="35"/>
        <v>25.40005</v>
      </c>
      <c r="H94" s="15">
        <f t="shared" ca="1" si="35"/>
        <v>25.404150000000001</v>
      </c>
      <c r="I94" s="15">
        <f t="shared" ca="1" si="35"/>
        <v>25.404150000000001</v>
      </c>
      <c r="J94" s="15">
        <f t="shared" ca="1" si="35"/>
        <v>25.40625</v>
      </c>
      <c r="K94" s="15">
        <f t="shared" ca="1" si="35"/>
        <v>25.404250000000001</v>
      </c>
      <c r="L94" s="15">
        <f t="shared" ca="1" si="35"/>
        <v>72.881755972255334</v>
      </c>
      <c r="M94" s="15">
        <f t="shared" ca="1" si="35"/>
        <v>73.713526725003206</v>
      </c>
      <c r="N94" s="15">
        <f t="shared" ca="1" si="35"/>
        <v>72.340938603125778</v>
      </c>
      <c r="O94" s="15">
        <f t="shared" ca="1" si="35"/>
        <v>71.965694935953437</v>
      </c>
      <c r="P94" s="15">
        <f t="shared" ca="1" si="35"/>
        <v>125.9347508347726</v>
      </c>
      <c r="Q94" s="15">
        <f t="shared" ca="1" si="35"/>
        <v>145.2185021279557</v>
      </c>
      <c r="R94" s="15">
        <f t="shared" ca="1" si="35"/>
        <v>74.988653866434348</v>
      </c>
      <c r="S94" s="15">
        <f t="shared" ca="1" si="35"/>
        <v>73.985535442456538</v>
      </c>
      <c r="T94" s="15">
        <f t="shared" ca="1" si="35"/>
        <v>145.67454242028151</v>
      </c>
      <c r="U94" s="15">
        <f t="shared" ca="1" si="35"/>
        <v>123.92660246306514</v>
      </c>
    </row>
    <row r="95" spans="1:21" x14ac:dyDescent="0.4">
      <c r="D95">
        <v>11</v>
      </c>
      <c r="F95">
        <v>2.5</v>
      </c>
      <c r="G95" s="15">
        <f t="shared" ca="1" si="35"/>
        <v>25.400300000000001</v>
      </c>
      <c r="H95" s="15">
        <f t="shared" ca="1" si="35"/>
        <v>25.404400000000003</v>
      </c>
      <c r="I95" s="15">
        <f t="shared" ca="1" si="35"/>
        <v>25.404400000000003</v>
      </c>
      <c r="J95" s="15">
        <f t="shared" ca="1" si="35"/>
        <v>25.406500000000001</v>
      </c>
      <c r="K95" s="15">
        <f t="shared" ca="1" si="35"/>
        <v>25.404500000000002</v>
      </c>
      <c r="L95" s="15">
        <f t="shared" ca="1" si="35"/>
        <v>72.882005972255328</v>
      </c>
      <c r="M95" s="15">
        <f t="shared" ca="1" si="35"/>
        <v>73.7137767250032</v>
      </c>
      <c r="N95" s="15">
        <f t="shared" ca="1" si="35"/>
        <v>72.341188603125772</v>
      </c>
      <c r="O95" s="15">
        <f t="shared" ca="1" si="35"/>
        <v>71.965944935953431</v>
      </c>
      <c r="P95" s="15">
        <f t="shared" ca="1" si="35"/>
        <v>125.93500083477259</v>
      </c>
      <c r="Q95" s="15">
        <f t="shared" ca="1" si="35"/>
        <v>145.2187521279557</v>
      </c>
      <c r="R95" s="15">
        <f t="shared" ca="1" si="35"/>
        <v>74.988903866434342</v>
      </c>
      <c r="S95" s="15">
        <f t="shared" ca="1" si="35"/>
        <v>73.985785442456532</v>
      </c>
      <c r="T95" s="15">
        <f t="shared" ca="1" si="35"/>
        <v>145.67479242028151</v>
      </c>
      <c r="U95" s="15">
        <f t="shared" ca="1" si="35"/>
        <v>123.92685246306513</v>
      </c>
    </row>
    <row r="96" spans="1:21" x14ac:dyDescent="0.4">
      <c r="D96">
        <v>12</v>
      </c>
      <c r="F96">
        <v>2.75</v>
      </c>
      <c r="G96" s="15">
        <f t="shared" ca="1" si="35"/>
        <v>25.400549999999999</v>
      </c>
      <c r="H96" s="15">
        <f t="shared" ca="1" si="35"/>
        <v>25.40465</v>
      </c>
      <c r="I96" s="15">
        <f t="shared" ca="1" si="35"/>
        <v>25.40465</v>
      </c>
      <c r="J96" s="15">
        <f t="shared" ca="1" si="35"/>
        <v>25.406749999999999</v>
      </c>
      <c r="K96" s="15">
        <f t="shared" ca="1" si="35"/>
        <v>25.40475</v>
      </c>
      <c r="L96" s="15">
        <f t="shared" ca="1" si="35"/>
        <v>72.882255972255336</v>
      </c>
      <c r="M96" s="15">
        <f t="shared" ca="1" si="35"/>
        <v>73.714026725003208</v>
      </c>
      <c r="N96" s="15">
        <f t="shared" ca="1" si="35"/>
        <v>72.341438603125781</v>
      </c>
      <c r="O96" s="15">
        <f t="shared" ca="1" si="35"/>
        <v>71.966194935953439</v>
      </c>
      <c r="P96" s="15">
        <f t="shared" ca="1" si="35"/>
        <v>125.9352508347726</v>
      </c>
      <c r="Q96" s="15">
        <f t="shared" ca="1" si="35"/>
        <v>145.21900212795569</v>
      </c>
      <c r="R96" s="15">
        <f t="shared" ca="1" si="35"/>
        <v>74.98915386643435</v>
      </c>
      <c r="S96" s="15">
        <f t="shared" ca="1" si="35"/>
        <v>73.98603544245654</v>
      </c>
      <c r="T96" s="15">
        <f t="shared" ca="1" si="35"/>
        <v>145.6750424202815</v>
      </c>
      <c r="U96" s="15">
        <f t="shared" ca="1" si="35"/>
        <v>123.92710246306514</v>
      </c>
    </row>
    <row r="97" spans="4:21" x14ac:dyDescent="0.4">
      <c r="D97">
        <v>13</v>
      </c>
      <c r="F97">
        <v>3</v>
      </c>
      <c r="G97" s="15">
        <f t="shared" ca="1" si="35"/>
        <v>25.4008</v>
      </c>
      <c r="H97" s="15">
        <f t="shared" ca="1" si="35"/>
        <v>25.404900000000001</v>
      </c>
      <c r="I97" s="15">
        <f t="shared" ca="1" si="35"/>
        <v>25.404900000000001</v>
      </c>
      <c r="J97" s="15">
        <f t="shared" ca="1" si="35"/>
        <v>25.407</v>
      </c>
      <c r="K97" s="15">
        <f t="shared" ca="1" si="35"/>
        <v>25.405000000000001</v>
      </c>
      <c r="L97" s="15">
        <f t="shared" ca="1" si="35"/>
        <v>72.882505972255331</v>
      </c>
      <c r="M97" s="15">
        <f t="shared" ca="1" si="35"/>
        <v>73.714276725003202</v>
      </c>
      <c r="N97" s="15">
        <f t="shared" ca="1" si="35"/>
        <v>72.341688603125775</v>
      </c>
      <c r="O97" s="15">
        <f t="shared" ca="1" si="35"/>
        <v>71.966444935953433</v>
      </c>
      <c r="P97" s="15">
        <f t="shared" ca="1" si="35"/>
        <v>125.9355008347726</v>
      </c>
      <c r="Q97" s="15">
        <f t="shared" ca="1" si="35"/>
        <v>145.21925212795568</v>
      </c>
      <c r="R97" s="15">
        <f t="shared" ca="1" si="35"/>
        <v>74.989403866434344</v>
      </c>
      <c r="S97" s="15">
        <f t="shared" ca="1" si="35"/>
        <v>73.986285442456534</v>
      </c>
      <c r="T97" s="15">
        <f t="shared" ca="1" si="35"/>
        <v>145.67529242028149</v>
      </c>
      <c r="U97" s="15">
        <f t="shared" ca="1" si="35"/>
        <v>123.92735246306513</v>
      </c>
    </row>
    <row r="98" spans="4:21" x14ac:dyDescent="0.4">
      <c r="D98">
        <v>14</v>
      </c>
      <c r="F98">
        <v>3.25</v>
      </c>
      <c r="G98" s="15">
        <f t="shared" ca="1" si="35"/>
        <v>25.401050000000001</v>
      </c>
      <c r="H98" s="15">
        <f t="shared" ca="1" si="35"/>
        <v>25.405150000000003</v>
      </c>
      <c r="I98" s="15">
        <f t="shared" ca="1" si="35"/>
        <v>25.405150000000003</v>
      </c>
      <c r="J98" s="15">
        <f t="shared" ca="1" si="35"/>
        <v>25.407250000000001</v>
      </c>
      <c r="K98" s="15">
        <f t="shared" ca="1" si="35"/>
        <v>25.405250000000002</v>
      </c>
      <c r="L98" s="15">
        <f t="shared" ca="1" si="35"/>
        <v>72.882755972255325</v>
      </c>
      <c r="M98" s="15">
        <f t="shared" ca="1" si="35"/>
        <v>73.714526725003196</v>
      </c>
      <c r="N98" s="15">
        <f t="shared" ca="1" si="35"/>
        <v>72.341938603125769</v>
      </c>
      <c r="O98" s="15">
        <f t="shared" ca="1" si="35"/>
        <v>71.966694935953427</v>
      </c>
      <c r="P98" s="15">
        <f t="shared" ca="1" si="35"/>
        <v>125.93575083477259</v>
      </c>
      <c r="Q98" s="15">
        <f t="shared" ca="1" si="35"/>
        <v>145.21950212795571</v>
      </c>
      <c r="R98" s="15">
        <f t="shared" ca="1" si="35"/>
        <v>74.989653866434338</v>
      </c>
      <c r="S98" s="15">
        <f t="shared" ca="1" si="35"/>
        <v>73.986535442456528</v>
      </c>
      <c r="T98" s="15">
        <f t="shared" ca="1" si="35"/>
        <v>145.67554242028152</v>
      </c>
      <c r="U98" s="15">
        <f t="shared" ca="1" si="35"/>
        <v>123.92760246306513</v>
      </c>
    </row>
    <row r="99" spans="4:21" x14ac:dyDescent="0.4">
      <c r="D99">
        <v>15</v>
      </c>
      <c r="F99">
        <v>3.5</v>
      </c>
      <c r="G99" s="15">
        <f t="shared" ca="1" si="35"/>
        <v>25.401299999999999</v>
      </c>
      <c r="H99" s="15">
        <f t="shared" ca="1" si="35"/>
        <v>25.4054</v>
      </c>
      <c r="I99" s="15">
        <f t="shared" ca="1" si="35"/>
        <v>25.4054</v>
      </c>
      <c r="J99" s="15">
        <f t="shared" ca="1" si="35"/>
        <v>25.407499999999999</v>
      </c>
      <c r="K99" s="15">
        <f t="shared" ca="1" si="35"/>
        <v>25.4055</v>
      </c>
      <c r="L99" s="15">
        <f t="shared" ca="1" si="35"/>
        <v>72.883005972255333</v>
      </c>
      <c r="M99" s="15">
        <f t="shared" ca="1" si="35"/>
        <v>73.714776725003205</v>
      </c>
      <c r="N99" s="15">
        <f t="shared" ca="1" si="35"/>
        <v>72.342188603125777</v>
      </c>
      <c r="O99" s="15">
        <f t="shared" ca="1" si="35"/>
        <v>71.966944935953435</v>
      </c>
      <c r="P99" s="15">
        <f t="shared" ca="1" si="35"/>
        <v>125.9360008347726</v>
      </c>
      <c r="Q99" s="15">
        <f t="shared" ca="1" si="35"/>
        <v>145.2197521279557</v>
      </c>
      <c r="R99" s="15">
        <f t="shared" ca="1" si="35"/>
        <v>74.989903866434346</v>
      </c>
      <c r="S99" s="15">
        <f t="shared" ca="1" si="35"/>
        <v>73.986785442456537</v>
      </c>
      <c r="T99" s="15">
        <f t="shared" ca="1" si="35"/>
        <v>145.67579242028151</v>
      </c>
      <c r="U99" s="15">
        <f t="shared" ca="1" si="35"/>
        <v>123.92785246306514</v>
      </c>
    </row>
    <row r="100" spans="4:21" x14ac:dyDescent="0.4">
      <c r="D100">
        <v>16</v>
      </c>
      <c r="F100">
        <v>3.75</v>
      </c>
      <c r="G100" s="15">
        <f t="shared" ca="1" si="35"/>
        <v>25.40155</v>
      </c>
      <c r="H100" s="15">
        <f t="shared" ca="1" si="35"/>
        <v>25.405650000000001</v>
      </c>
      <c r="I100" s="15">
        <f t="shared" ca="1" si="35"/>
        <v>25.405650000000001</v>
      </c>
      <c r="J100" s="15">
        <f t="shared" ca="1" si="35"/>
        <v>25.40775</v>
      </c>
      <c r="K100" s="15">
        <f t="shared" ca="1" si="35"/>
        <v>25.405750000000001</v>
      </c>
      <c r="L100" s="15">
        <f t="shared" ca="1" si="35"/>
        <v>72.883255972255327</v>
      </c>
      <c r="M100" s="15">
        <f t="shared" ca="1" si="35"/>
        <v>73.715026725003199</v>
      </c>
      <c r="N100" s="15">
        <f t="shared" ca="1" si="35"/>
        <v>72.342438603125771</v>
      </c>
      <c r="O100" s="15">
        <f t="shared" ca="1" si="35"/>
        <v>71.96719493595343</v>
      </c>
      <c r="P100" s="15">
        <f t="shared" ca="1" si="35"/>
        <v>125.93625083477259</v>
      </c>
      <c r="Q100" s="15">
        <f t="shared" ca="1" si="35"/>
        <v>145.22000212795569</v>
      </c>
      <c r="R100" s="15">
        <f t="shared" ca="1" si="35"/>
        <v>74.990153866434341</v>
      </c>
      <c r="S100" s="15">
        <f t="shared" ca="1" si="35"/>
        <v>73.987035442456531</v>
      </c>
      <c r="T100" s="15">
        <f t="shared" ca="1" si="35"/>
        <v>145.6760424202815</v>
      </c>
      <c r="U100" s="15">
        <f t="shared" ca="1" si="35"/>
        <v>123.92810246306513</v>
      </c>
    </row>
    <row r="101" spans="4:21" x14ac:dyDescent="0.4">
      <c r="D101">
        <v>17</v>
      </c>
      <c r="F101">
        <v>4</v>
      </c>
      <c r="G101" s="15">
        <f t="shared" ca="1" si="35"/>
        <v>25.401800000000001</v>
      </c>
      <c r="H101" s="15">
        <f t="shared" ca="1" si="35"/>
        <v>25.405900000000003</v>
      </c>
      <c r="I101" s="15">
        <f t="shared" ca="1" si="35"/>
        <v>25.405900000000003</v>
      </c>
      <c r="J101" s="15">
        <f t="shared" ca="1" si="35"/>
        <v>25.408000000000001</v>
      </c>
      <c r="K101" s="15">
        <f t="shared" ca="1" si="35"/>
        <v>25.406000000000002</v>
      </c>
      <c r="L101" s="15">
        <f t="shared" ca="1" si="35"/>
        <v>72.883505972255335</v>
      </c>
      <c r="M101" s="15">
        <f t="shared" ca="1" si="35"/>
        <v>73.715276725003207</v>
      </c>
      <c r="N101" s="15">
        <f t="shared" ca="1" si="35"/>
        <v>72.342688603125779</v>
      </c>
      <c r="O101" s="15">
        <f t="shared" ca="1" si="35"/>
        <v>71.967444935953438</v>
      </c>
      <c r="P101" s="15">
        <f t="shared" ca="1" si="35"/>
        <v>125.9365008347726</v>
      </c>
      <c r="Q101" s="15">
        <f t="shared" ca="1" si="35"/>
        <v>145.22025212795569</v>
      </c>
      <c r="R101" s="15">
        <f t="shared" ca="1" si="35"/>
        <v>74.990403866434349</v>
      </c>
      <c r="S101" s="15">
        <f t="shared" ca="1" si="35"/>
        <v>73.987285442456539</v>
      </c>
      <c r="T101" s="15">
        <f t="shared" ca="1" si="35"/>
        <v>145.6762924202815</v>
      </c>
      <c r="U101" s="15">
        <f t="shared" ca="1" si="35"/>
        <v>123.92835246306514</v>
      </c>
    </row>
    <row r="102" spans="4:21" x14ac:dyDescent="0.4">
      <c r="D102">
        <v>18</v>
      </c>
      <c r="F102">
        <v>4.25</v>
      </c>
      <c r="G102" s="15">
        <f t="shared" ca="1" si="35"/>
        <v>25.402049999999999</v>
      </c>
      <c r="H102" s="15">
        <f t="shared" ca="1" si="35"/>
        <v>25.40615</v>
      </c>
      <c r="I102" s="15">
        <f t="shared" ca="1" si="35"/>
        <v>25.40615</v>
      </c>
      <c r="J102" s="15">
        <f t="shared" ca="1" si="35"/>
        <v>25.408249999999999</v>
      </c>
      <c r="K102" s="15">
        <f t="shared" ca="1" si="35"/>
        <v>25.40625</v>
      </c>
      <c r="L102" s="15">
        <f t="shared" ca="1" si="35"/>
        <v>72.883755972255329</v>
      </c>
      <c r="M102" s="15">
        <f t="shared" ca="1" si="35"/>
        <v>73.715526725003201</v>
      </c>
      <c r="N102" s="15">
        <f t="shared" ca="1" si="35"/>
        <v>72.342938603125774</v>
      </c>
      <c r="O102" s="15">
        <f t="shared" ca="1" si="35"/>
        <v>71.967694935953432</v>
      </c>
      <c r="P102" s="15">
        <f t="shared" ca="1" si="35"/>
        <v>125.9367508347726</v>
      </c>
      <c r="Q102" s="15">
        <f t="shared" ca="1" si="35"/>
        <v>145.22050212795571</v>
      </c>
      <c r="R102" s="15">
        <f t="shared" ca="1" si="35"/>
        <v>74.990653866434343</v>
      </c>
      <c r="S102" s="15">
        <f t="shared" ca="1" si="35"/>
        <v>73.987535442456533</v>
      </c>
      <c r="T102" s="15">
        <f t="shared" ca="1" si="35"/>
        <v>145.67654242028152</v>
      </c>
      <c r="U102" s="15">
        <f t="shared" ca="1" si="35"/>
        <v>123.92860246306513</v>
      </c>
    </row>
    <row r="103" spans="4:21" x14ac:dyDescent="0.4">
      <c r="D103">
        <v>19</v>
      </c>
      <c r="F103">
        <v>4.5</v>
      </c>
      <c r="G103" s="15">
        <f t="shared" ca="1" si="35"/>
        <v>25.4023</v>
      </c>
      <c r="H103" s="15">
        <f t="shared" ca="1" si="35"/>
        <v>25.406400000000001</v>
      </c>
      <c r="I103" s="15">
        <f t="shared" ca="1" si="35"/>
        <v>25.406400000000001</v>
      </c>
      <c r="J103" s="15">
        <f t="shared" ca="1" si="35"/>
        <v>25.4085</v>
      </c>
      <c r="K103" s="15">
        <f t="shared" ca="1" si="35"/>
        <v>25.406500000000001</v>
      </c>
      <c r="L103" s="15">
        <f t="shared" ca="1" si="35"/>
        <v>72.884005972255324</v>
      </c>
      <c r="M103" s="15">
        <f t="shared" ca="1" si="35"/>
        <v>73.715776725003195</v>
      </c>
      <c r="N103" s="15">
        <f t="shared" ca="1" si="35"/>
        <v>72.343188603125768</v>
      </c>
      <c r="O103" s="15">
        <f t="shared" ca="1" si="35"/>
        <v>71.967944935953426</v>
      </c>
      <c r="P103" s="15">
        <f t="shared" ca="1" si="35"/>
        <v>125.93700083477259</v>
      </c>
      <c r="Q103" s="15">
        <f t="shared" ca="1" si="35"/>
        <v>145.22075212795571</v>
      </c>
      <c r="R103" s="15">
        <f t="shared" ca="1" si="35"/>
        <v>74.990903866434337</v>
      </c>
      <c r="S103" s="15">
        <f t="shared" ca="1" si="35"/>
        <v>73.987785442456527</v>
      </c>
      <c r="T103" s="15">
        <f t="shared" ca="1" si="35"/>
        <v>145.67679242028152</v>
      </c>
      <c r="U103" s="15">
        <f t="shared" ca="1" si="35"/>
        <v>123.92885246306513</v>
      </c>
    </row>
    <row r="104" spans="4:21" x14ac:dyDescent="0.4">
      <c r="D104">
        <v>20</v>
      </c>
      <c r="F104">
        <v>4.75</v>
      </c>
      <c r="G104" s="15">
        <f t="shared" ref="G104:U110" ca="1" si="36">G$85+$F104/1000</f>
        <v>25.402550000000002</v>
      </c>
      <c r="H104" s="15">
        <f t="shared" ca="1" si="36"/>
        <v>25.406650000000003</v>
      </c>
      <c r="I104" s="15">
        <f t="shared" ca="1" si="36"/>
        <v>25.406650000000003</v>
      </c>
      <c r="J104" s="15">
        <f t="shared" ca="1" si="36"/>
        <v>25.408750000000001</v>
      </c>
      <c r="K104" s="15">
        <f t="shared" ca="1" si="36"/>
        <v>25.406750000000002</v>
      </c>
      <c r="L104" s="15">
        <f t="shared" ca="1" si="36"/>
        <v>72.884255972255332</v>
      </c>
      <c r="M104" s="15">
        <f t="shared" ca="1" si="36"/>
        <v>73.716026725003204</v>
      </c>
      <c r="N104" s="15">
        <f t="shared" ca="1" si="36"/>
        <v>72.343438603125776</v>
      </c>
      <c r="O104" s="15">
        <f t="shared" ca="1" si="36"/>
        <v>71.968194935953434</v>
      </c>
      <c r="P104" s="15">
        <f t="shared" ca="1" si="36"/>
        <v>125.9372508347726</v>
      </c>
      <c r="Q104" s="15">
        <f t="shared" ca="1" si="36"/>
        <v>145.2210021279557</v>
      </c>
      <c r="R104" s="15">
        <f t="shared" ca="1" si="36"/>
        <v>74.991153866434345</v>
      </c>
      <c r="S104" s="15">
        <f t="shared" ca="1" si="36"/>
        <v>73.988035442456535</v>
      </c>
      <c r="T104" s="15">
        <f t="shared" ca="1" si="36"/>
        <v>145.67704242028151</v>
      </c>
      <c r="U104" s="15">
        <f t="shared" ca="1" si="36"/>
        <v>123.92910246306513</v>
      </c>
    </row>
    <row r="105" spans="4:21" x14ac:dyDescent="0.4">
      <c r="D105">
        <v>21</v>
      </c>
      <c r="F105">
        <v>5</v>
      </c>
      <c r="G105" s="15">
        <f t="shared" ca="1" si="36"/>
        <v>25.402799999999999</v>
      </c>
      <c r="H105" s="15">
        <f t="shared" ca="1" si="36"/>
        <v>25.4069</v>
      </c>
      <c r="I105" s="15">
        <f t="shared" ca="1" si="36"/>
        <v>25.4069</v>
      </c>
      <c r="J105" s="15">
        <f t="shared" ca="1" si="36"/>
        <v>25.408999999999999</v>
      </c>
      <c r="K105" s="15">
        <f t="shared" ca="1" si="36"/>
        <v>25.407</v>
      </c>
      <c r="L105" s="15">
        <f t="shared" ca="1" si="36"/>
        <v>72.884505972255326</v>
      </c>
      <c r="M105" s="15">
        <f t="shared" ca="1" si="36"/>
        <v>73.716276725003198</v>
      </c>
      <c r="N105" s="15">
        <f t="shared" ca="1" si="36"/>
        <v>72.34368860312577</v>
      </c>
      <c r="O105" s="15">
        <f t="shared" ca="1" si="36"/>
        <v>71.968444935953428</v>
      </c>
      <c r="P105" s="15">
        <f t="shared" ca="1" si="36"/>
        <v>125.93750083477259</v>
      </c>
      <c r="Q105" s="15">
        <f t="shared" ca="1" si="36"/>
        <v>145.22125212795569</v>
      </c>
      <c r="R105" s="15">
        <f t="shared" ca="1" si="36"/>
        <v>74.991403866434339</v>
      </c>
      <c r="S105" s="15">
        <f t="shared" ca="1" si="36"/>
        <v>73.988285442456529</v>
      </c>
      <c r="T105" s="15">
        <f t="shared" ca="1" si="36"/>
        <v>145.6772924202815</v>
      </c>
      <c r="U105" s="15">
        <f t="shared" ca="1" si="36"/>
        <v>123.92935246306513</v>
      </c>
    </row>
    <row r="106" spans="4:21" x14ac:dyDescent="0.4">
      <c r="D106">
        <v>22</v>
      </c>
      <c r="F106">
        <v>5.25</v>
      </c>
      <c r="G106" s="15">
        <f t="shared" ca="1" si="36"/>
        <v>25.40305</v>
      </c>
      <c r="H106" s="15">
        <f t="shared" ca="1" si="36"/>
        <v>25.407150000000001</v>
      </c>
      <c r="I106" s="15">
        <f t="shared" ca="1" si="36"/>
        <v>25.407150000000001</v>
      </c>
      <c r="J106" s="15">
        <f t="shared" ca="1" si="36"/>
        <v>25.40925</v>
      </c>
      <c r="K106" s="15">
        <f t="shared" ca="1" si="36"/>
        <v>25.407250000000001</v>
      </c>
      <c r="L106" s="15">
        <f t="shared" ca="1" si="36"/>
        <v>72.884755972255334</v>
      </c>
      <c r="M106" s="15">
        <f t="shared" ca="1" si="36"/>
        <v>73.716526725003206</v>
      </c>
      <c r="N106" s="15">
        <f t="shared" ca="1" si="36"/>
        <v>72.343938603125778</v>
      </c>
      <c r="O106" s="15">
        <f t="shared" ca="1" si="36"/>
        <v>71.968694935953437</v>
      </c>
      <c r="P106" s="15">
        <f t="shared" ca="1" si="36"/>
        <v>125.9377508347726</v>
      </c>
      <c r="Q106" s="15">
        <f t="shared" ca="1" si="36"/>
        <v>145.22150212795569</v>
      </c>
      <c r="R106" s="15">
        <f t="shared" ca="1" si="36"/>
        <v>74.991653866434348</v>
      </c>
      <c r="S106" s="15">
        <f t="shared" ca="1" si="36"/>
        <v>73.988535442456538</v>
      </c>
      <c r="T106" s="15">
        <f t="shared" ca="1" si="36"/>
        <v>145.6775424202815</v>
      </c>
      <c r="U106" s="15">
        <f t="shared" ca="1" si="36"/>
        <v>123.92960246306514</v>
      </c>
    </row>
    <row r="107" spans="4:21" x14ac:dyDescent="0.4">
      <c r="D107">
        <v>23</v>
      </c>
      <c r="F107">
        <v>5.5</v>
      </c>
      <c r="G107" s="15">
        <f t="shared" ca="1" si="36"/>
        <v>25.403300000000002</v>
      </c>
      <c r="H107" s="15">
        <f t="shared" ca="1" si="36"/>
        <v>25.407400000000003</v>
      </c>
      <c r="I107" s="15">
        <f t="shared" ca="1" si="36"/>
        <v>25.407400000000003</v>
      </c>
      <c r="J107" s="15">
        <f t="shared" ca="1" si="36"/>
        <v>25.409500000000001</v>
      </c>
      <c r="K107" s="15">
        <f t="shared" ca="1" si="36"/>
        <v>25.407500000000002</v>
      </c>
      <c r="L107" s="15">
        <f t="shared" ca="1" si="36"/>
        <v>72.885005972255328</v>
      </c>
      <c r="M107" s="15">
        <f t="shared" ca="1" si="36"/>
        <v>73.7167767250032</v>
      </c>
      <c r="N107" s="15">
        <f t="shared" ca="1" si="36"/>
        <v>72.344188603125772</v>
      </c>
      <c r="O107" s="15">
        <f t="shared" ca="1" si="36"/>
        <v>71.968944935953431</v>
      </c>
      <c r="P107" s="15">
        <f t="shared" ca="1" si="36"/>
        <v>125.93800083477259</v>
      </c>
      <c r="Q107" s="15">
        <f t="shared" ca="1" si="36"/>
        <v>145.22175212795571</v>
      </c>
      <c r="R107" s="15">
        <f t="shared" ca="1" si="36"/>
        <v>74.991903866434342</v>
      </c>
      <c r="S107" s="15">
        <f t="shared" ca="1" si="36"/>
        <v>73.988785442456532</v>
      </c>
      <c r="T107" s="15">
        <f t="shared" ca="1" si="36"/>
        <v>145.67779242028152</v>
      </c>
      <c r="U107" s="15">
        <f t="shared" ca="1" si="36"/>
        <v>123.92985246306513</v>
      </c>
    </row>
    <row r="108" spans="4:21" x14ac:dyDescent="0.4">
      <c r="D108">
        <v>24</v>
      </c>
      <c r="F108">
        <v>5.75</v>
      </c>
      <c r="G108" s="15">
        <f t="shared" ca="1" si="36"/>
        <v>25.403549999999999</v>
      </c>
      <c r="H108" s="15">
        <f t="shared" ca="1" si="36"/>
        <v>25.40765</v>
      </c>
      <c r="I108" s="15">
        <f t="shared" ca="1" si="36"/>
        <v>25.40765</v>
      </c>
      <c r="J108" s="15">
        <f t="shared" ca="1" si="36"/>
        <v>25.409749999999999</v>
      </c>
      <c r="K108" s="15">
        <f t="shared" ca="1" si="36"/>
        <v>25.40775</v>
      </c>
      <c r="L108" s="15">
        <f t="shared" ca="1" si="36"/>
        <v>72.885255972255337</v>
      </c>
      <c r="M108" s="15">
        <f t="shared" ca="1" si="36"/>
        <v>73.717026725003208</v>
      </c>
      <c r="N108" s="15">
        <f t="shared" ca="1" si="36"/>
        <v>72.344438603125781</v>
      </c>
      <c r="O108" s="15">
        <f t="shared" ca="1" si="36"/>
        <v>71.969194935953439</v>
      </c>
      <c r="P108" s="15">
        <f t="shared" ca="1" si="36"/>
        <v>125.9382508347726</v>
      </c>
      <c r="Q108" s="15">
        <f t="shared" ca="1" si="36"/>
        <v>145.2220021279557</v>
      </c>
      <c r="R108" s="15">
        <f t="shared" ca="1" si="36"/>
        <v>74.99215386643435</v>
      </c>
      <c r="S108" s="15">
        <f t="shared" ca="1" si="36"/>
        <v>73.98903544245654</v>
      </c>
      <c r="T108" s="15">
        <f t="shared" ca="1" si="36"/>
        <v>145.67804242028151</v>
      </c>
      <c r="U108" s="15">
        <f t="shared" ca="1" si="36"/>
        <v>123.93010246306514</v>
      </c>
    </row>
    <row r="109" spans="4:21" x14ac:dyDescent="0.4">
      <c r="D109">
        <v>25</v>
      </c>
      <c r="F109">
        <v>6</v>
      </c>
      <c r="G109" s="15">
        <f t="shared" ca="1" si="36"/>
        <v>25.4038</v>
      </c>
      <c r="H109" s="15">
        <f t="shared" ca="1" si="36"/>
        <v>25.407900000000001</v>
      </c>
      <c r="I109" s="15">
        <f t="shared" ca="1" si="36"/>
        <v>25.407900000000001</v>
      </c>
      <c r="J109" s="15">
        <f t="shared" ca="1" si="36"/>
        <v>25.41</v>
      </c>
      <c r="K109" s="15">
        <f t="shared" ca="1" si="36"/>
        <v>25.408000000000001</v>
      </c>
      <c r="L109" s="15">
        <f t="shared" ca="1" si="36"/>
        <v>72.885505972255331</v>
      </c>
      <c r="M109" s="15">
        <f t="shared" ca="1" si="36"/>
        <v>73.717276725003202</v>
      </c>
      <c r="N109" s="15">
        <f t="shared" ca="1" si="36"/>
        <v>72.344688603125775</v>
      </c>
      <c r="O109" s="15">
        <f t="shared" ca="1" si="36"/>
        <v>71.969444935953433</v>
      </c>
      <c r="P109" s="15">
        <f t="shared" ca="1" si="36"/>
        <v>125.9385008347726</v>
      </c>
      <c r="Q109" s="15">
        <f t="shared" ca="1" si="36"/>
        <v>145.2222521279557</v>
      </c>
      <c r="R109" s="15">
        <f t="shared" ca="1" si="36"/>
        <v>74.992403866434344</v>
      </c>
      <c r="S109" s="15">
        <f t="shared" ca="1" si="36"/>
        <v>73.989285442456534</v>
      </c>
      <c r="T109" s="15">
        <f t="shared" ca="1" si="36"/>
        <v>145.67829242028151</v>
      </c>
      <c r="U109" s="15">
        <f t="shared" ca="1" si="36"/>
        <v>123.93035246306513</v>
      </c>
    </row>
    <row r="110" spans="4:21" x14ac:dyDescent="0.4">
      <c r="D110">
        <v>26</v>
      </c>
      <c r="F110">
        <v>6.25</v>
      </c>
      <c r="G110" s="15">
        <f t="shared" ca="1" si="36"/>
        <v>25.404050000000002</v>
      </c>
      <c r="H110" s="15">
        <f t="shared" ca="1" si="36"/>
        <v>25.408150000000003</v>
      </c>
      <c r="I110" s="15">
        <f t="shared" ca="1" si="36"/>
        <v>25.408150000000003</v>
      </c>
      <c r="J110" s="15">
        <f t="shared" ca="1" si="36"/>
        <v>25.410250000000001</v>
      </c>
      <c r="K110" s="15">
        <f t="shared" ca="1" si="36"/>
        <v>25.408250000000002</v>
      </c>
      <c r="L110" s="15">
        <f t="shared" ca="1" si="36"/>
        <v>72.885755972255325</v>
      </c>
      <c r="M110" s="15">
        <f t="shared" ca="1" si="36"/>
        <v>73.717526725003196</v>
      </c>
      <c r="N110" s="15">
        <f t="shared" ca="1" si="36"/>
        <v>72.344938603125769</v>
      </c>
      <c r="O110" s="15">
        <f t="shared" ca="1" si="36"/>
        <v>71.969694935953427</v>
      </c>
      <c r="P110" s="15">
        <f t="shared" ca="1" si="36"/>
        <v>125.93875083477259</v>
      </c>
      <c r="Q110" s="15">
        <f t="shared" ca="1" si="36"/>
        <v>145.22250212795569</v>
      </c>
      <c r="R110" s="15">
        <f t="shared" ca="1" si="36"/>
        <v>74.992653866434338</v>
      </c>
      <c r="S110" s="15">
        <f t="shared" ca="1" si="36"/>
        <v>73.989535442456528</v>
      </c>
      <c r="T110" s="15">
        <f t="shared" ca="1" si="36"/>
        <v>145.6785424202815</v>
      </c>
      <c r="U110" s="15">
        <f t="shared" ca="1" si="36"/>
        <v>123.93060246306513</v>
      </c>
    </row>
    <row r="112" spans="4:21" x14ac:dyDescent="0.4">
      <c r="D112">
        <v>1</v>
      </c>
      <c r="G112">
        <f t="array" aca="1" ref="G112:G138" ca="1">FREQUENCY(G7:G48,G85:G110)</f>
        <v>1</v>
      </c>
      <c r="H112">
        <f t="array" aca="1" ref="H112:H138" ca="1">FREQUENCY(H7:H48,H85:H110)</f>
        <v>3</v>
      </c>
      <c r="I112">
        <f t="array" aca="1" ref="I112:I138" ca="1">FREQUENCY(I7:I48,I85:I110)</f>
        <v>1</v>
      </c>
      <c r="J112">
        <f t="array" aca="1" ref="J112:J138" ca="1">FREQUENCY(J7:J48,J85:J110)</f>
        <v>1</v>
      </c>
      <c r="K112">
        <f t="array" aca="1" ref="K112:K138" ca="1">FREQUENCY(K7:K48,K85:K110)</f>
        <v>1</v>
      </c>
      <c r="L112">
        <f t="array" aca="1" ref="L112:L138" ca="1">FREQUENCY(L7:L48,L85:L110)</f>
        <v>1</v>
      </c>
      <c r="M112">
        <f t="array" aca="1" ref="M112:M138" ca="1">FREQUENCY(M7:M48,M85:M110)</f>
        <v>1</v>
      </c>
      <c r="N112">
        <f t="array" aca="1" ref="N112:N138" ca="1">FREQUENCY(N7:N48,N85:N110)</f>
        <v>1</v>
      </c>
      <c r="O112">
        <f t="array" aca="1" ref="O112:O138" ca="1">FREQUENCY(O7:O48,O85:O110)</f>
        <v>1</v>
      </c>
      <c r="P112">
        <f t="array" aca="1" ref="P112:P138" ca="1">FREQUENCY(P7:P48,P85:P110)</f>
        <v>1</v>
      </c>
      <c r="Q112">
        <f t="array" aca="1" ref="Q112:Q138" ca="1">FREQUENCY(Q7:Q48,Q85:Q110)</f>
        <v>1</v>
      </c>
      <c r="R112">
        <f t="array" aca="1" ref="R112:R138" ca="1">FREQUENCY(R7:R48,R85:R110)</f>
        <v>1</v>
      </c>
      <c r="S112">
        <f t="array" aca="1" ref="S112:S138" ca="1">FREQUENCY(S7:S48,S85:S110)</f>
        <v>1</v>
      </c>
      <c r="T112">
        <f t="array" aca="1" ref="T112:T138" ca="1">FREQUENCY(T7:T48,T85:T110)</f>
        <v>1</v>
      </c>
      <c r="U112">
        <f t="array" aca="1" ref="U112:U138" ca="1">FREQUENCY(U7:U48,U85:U110)</f>
        <v>1</v>
      </c>
    </row>
    <row r="113" spans="4:21" x14ac:dyDescent="0.4">
      <c r="D113">
        <v>2</v>
      </c>
      <c r="G113">
        <f ca="1"/>
        <v>1</v>
      </c>
      <c r="H113">
        <f ca="1"/>
        <v>2</v>
      </c>
      <c r="I113">
        <f ca="1"/>
        <v>0</v>
      </c>
      <c r="J113">
        <f ca="1"/>
        <v>1</v>
      </c>
      <c r="K113">
        <f ca="1"/>
        <v>3</v>
      </c>
      <c r="L113">
        <f ca="1"/>
        <v>3</v>
      </c>
      <c r="M113">
        <f ca="1"/>
        <v>3</v>
      </c>
      <c r="N113">
        <f ca="1"/>
        <v>0</v>
      </c>
      <c r="O113">
        <f ca="1"/>
        <v>0</v>
      </c>
      <c r="P113">
        <f ca="1"/>
        <v>3</v>
      </c>
      <c r="Q113">
        <f ca="1"/>
        <v>4</v>
      </c>
      <c r="R113">
        <f ca="1"/>
        <v>0</v>
      </c>
      <c r="S113">
        <f ca="1"/>
        <v>2</v>
      </c>
      <c r="T113">
        <f ca="1"/>
        <v>0</v>
      </c>
      <c r="U113">
        <f ca="1"/>
        <v>2</v>
      </c>
    </row>
    <row r="114" spans="4:21" x14ac:dyDescent="0.4">
      <c r="D114">
        <v>3</v>
      </c>
      <c r="G114">
        <f ca="1"/>
        <v>3</v>
      </c>
      <c r="H114">
        <f ca="1"/>
        <v>6</v>
      </c>
      <c r="I114">
        <f ca="1"/>
        <v>5</v>
      </c>
      <c r="J114">
        <f ca="1"/>
        <v>9</v>
      </c>
      <c r="K114">
        <f ca="1"/>
        <v>10</v>
      </c>
      <c r="L114">
        <f ca="1"/>
        <v>7</v>
      </c>
      <c r="M114">
        <f ca="1"/>
        <v>5</v>
      </c>
      <c r="N114">
        <f ca="1"/>
        <v>1</v>
      </c>
      <c r="O114">
        <f ca="1"/>
        <v>1</v>
      </c>
      <c r="P114">
        <f ca="1"/>
        <v>7</v>
      </c>
      <c r="Q114">
        <f ca="1"/>
        <v>4</v>
      </c>
      <c r="R114">
        <f ca="1"/>
        <v>1</v>
      </c>
      <c r="S114">
        <f ca="1"/>
        <v>3</v>
      </c>
      <c r="T114">
        <f ca="1"/>
        <v>2</v>
      </c>
      <c r="U114">
        <f ca="1"/>
        <v>2</v>
      </c>
    </row>
    <row r="115" spans="4:21" x14ac:dyDescent="0.4">
      <c r="D115">
        <v>4</v>
      </c>
      <c r="G115">
        <f ca="1"/>
        <v>2</v>
      </c>
      <c r="H115">
        <f ca="1"/>
        <v>3</v>
      </c>
      <c r="I115">
        <f ca="1"/>
        <v>4</v>
      </c>
      <c r="J115">
        <f ca="1"/>
        <v>4</v>
      </c>
      <c r="K115">
        <f ca="1"/>
        <v>7</v>
      </c>
      <c r="L115">
        <f ca="1"/>
        <v>5</v>
      </c>
      <c r="M115">
        <f ca="1"/>
        <v>4</v>
      </c>
      <c r="N115">
        <f ca="1"/>
        <v>6</v>
      </c>
      <c r="O115">
        <f ca="1"/>
        <v>1</v>
      </c>
      <c r="P115">
        <f ca="1"/>
        <v>2</v>
      </c>
      <c r="Q115">
        <f ca="1"/>
        <v>4</v>
      </c>
      <c r="R115">
        <f ca="1"/>
        <v>7</v>
      </c>
      <c r="S115">
        <f ca="1"/>
        <v>10</v>
      </c>
      <c r="T115">
        <f ca="1"/>
        <v>4</v>
      </c>
      <c r="U115">
        <f ca="1"/>
        <v>2</v>
      </c>
    </row>
    <row r="116" spans="4:21" x14ac:dyDescent="0.4">
      <c r="D116">
        <v>5</v>
      </c>
      <c r="G116">
        <f ca="1"/>
        <v>7</v>
      </c>
      <c r="H116">
        <f ca="1"/>
        <v>6</v>
      </c>
      <c r="I116">
        <f ca="1"/>
        <v>7</v>
      </c>
      <c r="J116">
        <f ca="1"/>
        <v>8</v>
      </c>
      <c r="K116">
        <f ca="1"/>
        <v>11</v>
      </c>
      <c r="L116">
        <f ca="1"/>
        <v>3</v>
      </c>
      <c r="M116">
        <f ca="1"/>
        <v>7</v>
      </c>
      <c r="N116">
        <f ca="1"/>
        <v>6</v>
      </c>
      <c r="O116">
        <f ca="1"/>
        <v>2</v>
      </c>
      <c r="P116">
        <f ca="1"/>
        <v>4</v>
      </c>
      <c r="Q116">
        <f ca="1"/>
        <v>5</v>
      </c>
      <c r="R116">
        <f ca="1"/>
        <v>4</v>
      </c>
      <c r="S116">
        <f ca="1"/>
        <v>4</v>
      </c>
      <c r="T116">
        <f ca="1"/>
        <v>5</v>
      </c>
      <c r="U116">
        <f ca="1"/>
        <v>2</v>
      </c>
    </row>
    <row r="117" spans="4:21" x14ac:dyDescent="0.4">
      <c r="D117">
        <v>6</v>
      </c>
      <c r="G117">
        <f ca="1"/>
        <v>9</v>
      </c>
      <c r="H117">
        <f ca="1"/>
        <v>5</v>
      </c>
      <c r="I117">
        <f ca="1"/>
        <v>7</v>
      </c>
      <c r="J117">
        <f ca="1"/>
        <v>10</v>
      </c>
      <c r="K117">
        <f ca="1"/>
        <v>3</v>
      </c>
      <c r="L117">
        <f ca="1"/>
        <v>6</v>
      </c>
      <c r="M117">
        <f ca="1"/>
        <v>4</v>
      </c>
      <c r="N117">
        <f ca="1"/>
        <v>8</v>
      </c>
      <c r="O117">
        <f ca="1"/>
        <v>5</v>
      </c>
      <c r="P117">
        <f ca="1"/>
        <v>0</v>
      </c>
      <c r="Q117">
        <f ca="1"/>
        <v>3</v>
      </c>
      <c r="R117">
        <f ca="1"/>
        <v>2</v>
      </c>
      <c r="S117">
        <f ca="1"/>
        <v>2</v>
      </c>
      <c r="T117">
        <f ca="1"/>
        <v>1</v>
      </c>
      <c r="U117">
        <f ca="1"/>
        <v>4</v>
      </c>
    </row>
    <row r="118" spans="4:21" x14ac:dyDescent="0.4">
      <c r="D118">
        <v>7</v>
      </c>
      <c r="G118">
        <f ca="1"/>
        <v>10</v>
      </c>
      <c r="H118">
        <f ca="1"/>
        <v>8</v>
      </c>
      <c r="I118">
        <f ca="1"/>
        <v>8</v>
      </c>
      <c r="J118">
        <f ca="1"/>
        <v>2</v>
      </c>
      <c r="K118">
        <f ca="1"/>
        <v>1</v>
      </c>
      <c r="L118">
        <f ca="1"/>
        <v>5</v>
      </c>
      <c r="M118">
        <f ca="1"/>
        <v>5</v>
      </c>
      <c r="N118">
        <f ca="1"/>
        <v>11</v>
      </c>
      <c r="O118">
        <f ca="1"/>
        <v>7</v>
      </c>
      <c r="P118">
        <f ca="1"/>
        <v>1</v>
      </c>
      <c r="Q118">
        <f ca="1"/>
        <v>6</v>
      </c>
      <c r="R118">
        <f ca="1"/>
        <v>3</v>
      </c>
      <c r="S118">
        <f ca="1"/>
        <v>0</v>
      </c>
      <c r="T118">
        <f ca="1"/>
        <v>5</v>
      </c>
      <c r="U118">
        <f ca="1"/>
        <v>1</v>
      </c>
    </row>
    <row r="119" spans="4:21" x14ac:dyDescent="0.4">
      <c r="D119">
        <v>8</v>
      </c>
      <c r="G119">
        <f ca="1"/>
        <v>1</v>
      </c>
      <c r="H119">
        <f ca="1"/>
        <v>2</v>
      </c>
      <c r="I119">
        <f ca="1"/>
        <v>3</v>
      </c>
      <c r="J119">
        <f ca="1"/>
        <v>1</v>
      </c>
      <c r="K119">
        <f ca="1"/>
        <v>0</v>
      </c>
      <c r="L119">
        <f ca="1"/>
        <v>4</v>
      </c>
      <c r="M119">
        <f ca="1"/>
        <v>4</v>
      </c>
      <c r="N119">
        <f ca="1"/>
        <v>2</v>
      </c>
      <c r="O119">
        <f ca="1"/>
        <v>9</v>
      </c>
      <c r="P119">
        <f ca="1"/>
        <v>0</v>
      </c>
      <c r="Q119">
        <f ca="1"/>
        <v>3</v>
      </c>
      <c r="R119">
        <f ca="1"/>
        <v>6</v>
      </c>
      <c r="S119">
        <f ca="1"/>
        <v>2</v>
      </c>
      <c r="T119">
        <f ca="1"/>
        <v>5</v>
      </c>
      <c r="U119">
        <f ca="1"/>
        <v>2</v>
      </c>
    </row>
    <row r="120" spans="4:21" x14ac:dyDescent="0.4">
      <c r="D120">
        <v>9</v>
      </c>
      <c r="G120">
        <f ca="1"/>
        <v>2</v>
      </c>
      <c r="H120">
        <f ca="1"/>
        <v>0</v>
      </c>
      <c r="I120">
        <f ca="1"/>
        <v>1</v>
      </c>
      <c r="J120">
        <f ca="1"/>
        <v>0</v>
      </c>
      <c r="K120">
        <f ca="1"/>
        <v>0</v>
      </c>
      <c r="L120">
        <f ca="1"/>
        <v>2</v>
      </c>
      <c r="M120">
        <f ca="1"/>
        <v>3</v>
      </c>
      <c r="N120">
        <f ca="1"/>
        <v>1</v>
      </c>
      <c r="O120">
        <f ca="1"/>
        <v>6</v>
      </c>
      <c r="P120">
        <f ca="1"/>
        <v>4</v>
      </c>
      <c r="Q120">
        <f ca="1"/>
        <v>5</v>
      </c>
      <c r="R120">
        <f ca="1"/>
        <v>6</v>
      </c>
      <c r="S120">
        <f ca="1"/>
        <v>5</v>
      </c>
      <c r="T120">
        <f ca="1"/>
        <v>4</v>
      </c>
      <c r="U120">
        <f ca="1"/>
        <v>1</v>
      </c>
    </row>
    <row r="121" spans="4:21" x14ac:dyDescent="0.4">
      <c r="D121">
        <v>10</v>
      </c>
      <c r="G121">
        <f ca="1"/>
        <v>0</v>
      </c>
      <c r="H121">
        <f ca="1"/>
        <v>1</v>
      </c>
      <c r="I121">
        <f ca="1"/>
        <v>0</v>
      </c>
      <c r="J121">
        <f ca="1"/>
        <v>0</v>
      </c>
      <c r="K121">
        <f ca="1"/>
        <v>0</v>
      </c>
      <c r="L121">
        <f ca="1"/>
        <v>0</v>
      </c>
      <c r="M121">
        <f ca="1"/>
        <v>0</v>
      </c>
      <c r="N121">
        <f ca="1"/>
        <v>0</v>
      </c>
      <c r="O121">
        <f ca="1"/>
        <v>2</v>
      </c>
      <c r="P121">
        <f ca="1"/>
        <v>3</v>
      </c>
      <c r="Q121">
        <f ca="1"/>
        <v>0</v>
      </c>
      <c r="R121">
        <f ca="1"/>
        <v>3</v>
      </c>
      <c r="S121">
        <f ca="1"/>
        <v>3</v>
      </c>
      <c r="T121">
        <f ca="1"/>
        <v>4</v>
      </c>
      <c r="U121">
        <f ca="1"/>
        <v>1</v>
      </c>
    </row>
    <row r="122" spans="4:21" x14ac:dyDescent="0.4">
      <c r="D122">
        <v>11</v>
      </c>
      <c r="G122">
        <f ca="1"/>
        <v>0</v>
      </c>
      <c r="H122">
        <f ca="1"/>
        <v>0</v>
      </c>
      <c r="I122">
        <f ca="1"/>
        <v>0</v>
      </c>
      <c r="J122">
        <f ca="1"/>
        <v>0</v>
      </c>
      <c r="K122">
        <f ca="1"/>
        <v>0</v>
      </c>
      <c r="L122">
        <f ca="1"/>
        <v>0</v>
      </c>
      <c r="M122">
        <f ca="1"/>
        <v>0</v>
      </c>
      <c r="N122">
        <f ca="1"/>
        <v>0</v>
      </c>
      <c r="O122">
        <f ca="1"/>
        <v>1</v>
      </c>
      <c r="P122">
        <f ca="1"/>
        <v>4</v>
      </c>
      <c r="Q122">
        <f ca="1"/>
        <v>1</v>
      </c>
      <c r="R122">
        <f ca="1"/>
        <v>2</v>
      </c>
      <c r="S122">
        <f ca="1"/>
        <v>1</v>
      </c>
      <c r="T122">
        <f ca="1"/>
        <v>3</v>
      </c>
      <c r="U122">
        <f ca="1"/>
        <v>2</v>
      </c>
    </row>
    <row r="123" spans="4:21" x14ac:dyDescent="0.4">
      <c r="D123">
        <v>12</v>
      </c>
      <c r="G123">
        <f ca="1"/>
        <v>0</v>
      </c>
      <c r="H123">
        <f ca="1"/>
        <v>0</v>
      </c>
      <c r="I123">
        <f ca="1"/>
        <v>0</v>
      </c>
      <c r="J123">
        <f ca="1"/>
        <v>0</v>
      </c>
      <c r="K123">
        <f ca="1"/>
        <v>0</v>
      </c>
      <c r="L123">
        <f ca="1"/>
        <v>0</v>
      </c>
      <c r="M123">
        <f ca="1"/>
        <v>0</v>
      </c>
      <c r="N123">
        <f ca="1"/>
        <v>0</v>
      </c>
      <c r="O123">
        <f ca="1"/>
        <v>1</v>
      </c>
      <c r="P123">
        <f ca="1"/>
        <v>2</v>
      </c>
      <c r="Q123">
        <f ca="1"/>
        <v>0</v>
      </c>
      <c r="R123">
        <f ca="1"/>
        <v>1</v>
      </c>
      <c r="S123">
        <f ca="1"/>
        <v>3</v>
      </c>
      <c r="T123">
        <f ca="1"/>
        <v>1</v>
      </c>
      <c r="U123">
        <f ca="1"/>
        <v>5</v>
      </c>
    </row>
    <row r="124" spans="4:21" x14ac:dyDescent="0.4">
      <c r="D124">
        <v>13</v>
      </c>
      <c r="G124">
        <f ca="1"/>
        <v>0</v>
      </c>
      <c r="H124">
        <f ca="1"/>
        <v>0</v>
      </c>
      <c r="I124">
        <f ca="1"/>
        <v>0</v>
      </c>
      <c r="J124">
        <f ca="1"/>
        <v>0</v>
      </c>
      <c r="K124">
        <f ca="1"/>
        <v>0</v>
      </c>
      <c r="L124">
        <f ca="1"/>
        <v>0</v>
      </c>
      <c r="M124">
        <f ca="1"/>
        <v>0</v>
      </c>
      <c r="N124">
        <f ca="1"/>
        <v>0</v>
      </c>
      <c r="O124">
        <f ca="1"/>
        <v>0</v>
      </c>
      <c r="P124">
        <f ca="1"/>
        <v>5</v>
      </c>
      <c r="Q124">
        <f ca="1"/>
        <v>0</v>
      </c>
      <c r="R124">
        <f ca="1"/>
        <v>0</v>
      </c>
      <c r="S124">
        <f ca="1"/>
        <v>0</v>
      </c>
      <c r="T124">
        <f ca="1"/>
        <v>1</v>
      </c>
      <c r="U124">
        <f ca="1"/>
        <v>5</v>
      </c>
    </row>
    <row r="125" spans="4:21" x14ac:dyDescent="0.4">
      <c r="D125">
        <v>14</v>
      </c>
      <c r="G125">
        <f ca="1"/>
        <v>0</v>
      </c>
      <c r="H125">
        <f ca="1"/>
        <v>0</v>
      </c>
      <c r="I125">
        <f ca="1"/>
        <v>0</v>
      </c>
      <c r="J125">
        <f ca="1"/>
        <v>0</v>
      </c>
      <c r="K125">
        <f ca="1"/>
        <v>0</v>
      </c>
      <c r="L125">
        <f ca="1"/>
        <v>0</v>
      </c>
      <c r="M125">
        <f ca="1"/>
        <v>0</v>
      </c>
      <c r="N125">
        <f ca="1"/>
        <v>0</v>
      </c>
      <c r="O125">
        <f ca="1"/>
        <v>0</v>
      </c>
      <c r="P125">
        <f ca="1"/>
        <v>0</v>
      </c>
      <c r="Q125">
        <f ca="1"/>
        <v>0</v>
      </c>
      <c r="R125">
        <f ca="1"/>
        <v>0</v>
      </c>
      <c r="S125">
        <f ca="1"/>
        <v>0</v>
      </c>
      <c r="T125">
        <f ca="1"/>
        <v>0</v>
      </c>
      <c r="U125">
        <f ca="1"/>
        <v>3</v>
      </c>
    </row>
    <row r="126" spans="4:21" x14ac:dyDescent="0.4">
      <c r="D126">
        <v>15</v>
      </c>
      <c r="G126">
        <f ca="1"/>
        <v>0</v>
      </c>
      <c r="H126">
        <f ca="1"/>
        <v>0</v>
      </c>
      <c r="I126">
        <f ca="1"/>
        <v>0</v>
      </c>
      <c r="J126">
        <f ca="1"/>
        <v>0</v>
      </c>
      <c r="K126">
        <f ca="1"/>
        <v>0</v>
      </c>
      <c r="L126">
        <f ca="1"/>
        <v>0</v>
      </c>
      <c r="M126">
        <f ca="1"/>
        <v>0</v>
      </c>
      <c r="N126">
        <f ca="1"/>
        <v>0</v>
      </c>
      <c r="O126">
        <f ca="1"/>
        <v>0</v>
      </c>
      <c r="P126">
        <f ca="1"/>
        <v>0</v>
      </c>
      <c r="Q126">
        <f ca="1"/>
        <v>0</v>
      </c>
      <c r="R126">
        <f ca="1"/>
        <v>0</v>
      </c>
      <c r="S126">
        <f ca="1"/>
        <v>0</v>
      </c>
      <c r="T126">
        <f ca="1"/>
        <v>0</v>
      </c>
      <c r="U126">
        <f ca="1"/>
        <v>2</v>
      </c>
    </row>
    <row r="127" spans="4:21" x14ac:dyDescent="0.4">
      <c r="D127">
        <v>16</v>
      </c>
      <c r="G127">
        <f ca="1"/>
        <v>0</v>
      </c>
      <c r="H127">
        <f ca="1"/>
        <v>0</v>
      </c>
      <c r="I127">
        <f ca="1"/>
        <v>0</v>
      </c>
      <c r="J127">
        <f ca="1"/>
        <v>0</v>
      </c>
      <c r="K127">
        <f ca="1"/>
        <v>0</v>
      </c>
      <c r="L127">
        <f ca="1"/>
        <v>0</v>
      </c>
      <c r="M127">
        <f ca="1"/>
        <v>0</v>
      </c>
      <c r="N127">
        <f ca="1"/>
        <v>0</v>
      </c>
      <c r="O127">
        <f ca="1"/>
        <v>0</v>
      </c>
      <c r="P127">
        <f ca="1"/>
        <v>0</v>
      </c>
      <c r="Q127">
        <f ca="1"/>
        <v>0</v>
      </c>
      <c r="R127">
        <f ca="1"/>
        <v>0</v>
      </c>
      <c r="S127">
        <f ca="1"/>
        <v>0</v>
      </c>
      <c r="T127">
        <f ca="1"/>
        <v>0</v>
      </c>
      <c r="U127">
        <f ca="1"/>
        <v>1</v>
      </c>
    </row>
    <row r="128" spans="4:21" x14ac:dyDescent="0.4">
      <c r="D128">
        <v>17</v>
      </c>
      <c r="G128">
        <f ca="1"/>
        <v>0</v>
      </c>
      <c r="H128">
        <f ca="1"/>
        <v>0</v>
      </c>
      <c r="I128">
        <f ca="1"/>
        <v>0</v>
      </c>
      <c r="J128">
        <f ca="1"/>
        <v>0</v>
      </c>
      <c r="K128">
        <f ca="1"/>
        <v>0</v>
      </c>
      <c r="L128">
        <f ca="1"/>
        <v>0</v>
      </c>
      <c r="M128">
        <f ca="1"/>
        <v>0</v>
      </c>
      <c r="N128">
        <f ca="1"/>
        <v>0</v>
      </c>
      <c r="O128">
        <f ca="1"/>
        <v>0</v>
      </c>
      <c r="P128">
        <f ca="1"/>
        <v>0</v>
      </c>
      <c r="Q128">
        <f ca="1"/>
        <v>0</v>
      </c>
      <c r="R128">
        <f ca="1"/>
        <v>0</v>
      </c>
      <c r="S128">
        <f ca="1"/>
        <v>0</v>
      </c>
      <c r="T128">
        <f ca="1"/>
        <v>0</v>
      </c>
      <c r="U128">
        <f ca="1"/>
        <v>0</v>
      </c>
    </row>
    <row r="129" spans="4:21" x14ac:dyDescent="0.4">
      <c r="D129">
        <v>18</v>
      </c>
      <c r="G129">
        <f ca="1"/>
        <v>0</v>
      </c>
      <c r="H129">
        <f ca="1"/>
        <v>0</v>
      </c>
      <c r="I129">
        <f ca="1"/>
        <v>0</v>
      </c>
      <c r="J129">
        <f ca="1"/>
        <v>0</v>
      </c>
      <c r="K129">
        <f ca="1"/>
        <v>0</v>
      </c>
      <c r="L129">
        <f ca="1"/>
        <v>0</v>
      </c>
      <c r="M129">
        <f ca="1"/>
        <v>0</v>
      </c>
      <c r="N129">
        <f ca="1"/>
        <v>0</v>
      </c>
      <c r="O129">
        <f ca="1"/>
        <v>0</v>
      </c>
      <c r="P129">
        <f ca="1"/>
        <v>0</v>
      </c>
      <c r="Q129">
        <f ca="1"/>
        <v>0</v>
      </c>
      <c r="R129">
        <f ca="1"/>
        <v>0</v>
      </c>
      <c r="S129">
        <f ca="1"/>
        <v>0</v>
      </c>
      <c r="T129">
        <f ca="1"/>
        <v>0</v>
      </c>
      <c r="U129">
        <f ca="1"/>
        <v>0</v>
      </c>
    </row>
    <row r="130" spans="4:21" x14ac:dyDescent="0.4">
      <c r="D130">
        <v>19</v>
      </c>
      <c r="G130">
        <f ca="1"/>
        <v>0</v>
      </c>
      <c r="H130">
        <f ca="1"/>
        <v>0</v>
      </c>
      <c r="I130">
        <f ca="1"/>
        <v>0</v>
      </c>
      <c r="J130">
        <f ca="1"/>
        <v>0</v>
      </c>
      <c r="K130">
        <f ca="1"/>
        <v>0</v>
      </c>
      <c r="L130">
        <f ca="1"/>
        <v>0</v>
      </c>
      <c r="M130">
        <f ca="1"/>
        <v>0</v>
      </c>
      <c r="N130">
        <f ca="1"/>
        <v>0</v>
      </c>
      <c r="O130">
        <f ca="1"/>
        <v>0</v>
      </c>
      <c r="P130">
        <f ca="1"/>
        <v>0</v>
      </c>
      <c r="Q130">
        <f ca="1"/>
        <v>0</v>
      </c>
      <c r="R130">
        <f ca="1"/>
        <v>0</v>
      </c>
      <c r="S130">
        <f ca="1"/>
        <v>0</v>
      </c>
      <c r="T130">
        <f ca="1"/>
        <v>0</v>
      </c>
      <c r="U130">
        <f ca="1"/>
        <v>0</v>
      </c>
    </row>
    <row r="131" spans="4:21" x14ac:dyDescent="0.4">
      <c r="D131">
        <v>20</v>
      </c>
      <c r="G131">
        <f ca="1"/>
        <v>0</v>
      </c>
      <c r="H131">
        <f ca="1"/>
        <v>0</v>
      </c>
      <c r="I131">
        <f ca="1"/>
        <v>0</v>
      </c>
      <c r="J131">
        <f ca="1"/>
        <v>0</v>
      </c>
      <c r="K131">
        <f ca="1"/>
        <v>0</v>
      </c>
      <c r="L131">
        <f ca="1"/>
        <v>0</v>
      </c>
      <c r="M131">
        <f ca="1"/>
        <v>0</v>
      </c>
      <c r="N131">
        <f ca="1"/>
        <v>0</v>
      </c>
      <c r="O131">
        <f ca="1"/>
        <v>0</v>
      </c>
      <c r="P131">
        <f ca="1"/>
        <v>0</v>
      </c>
      <c r="Q131">
        <f ca="1"/>
        <v>0</v>
      </c>
      <c r="R131">
        <f ca="1"/>
        <v>0</v>
      </c>
      <c r="S131">
        <f ca="1"/>
        <v>0</v>
      </c>
      <c r="T131">
        <f ca="1"/>
        <v>0</v>
      </c>
      <c r="U131">
        <f ca="1"/>
        <v>0</v>
      </c>
    </row>
    <row r="132" spans="4:21" x14ac:dyDescent="0.4">
      <c r="D132">
        <v>21</v>
      </c>
      <c r="G132">
        <f ca="1"/>
        <v>0</v>
      </c>
      <c r="H132">
        <f ca="1"/>
        <v>0</v>
      </c>
      <c r="I132">
        <f ca="1"/>
        <v>0</v>
      </c>
      <c r="J132">
        <f ca="1"/>
        <v>0</v>
      </c>
      <c r="K132">
        <f ca="1"/>
        <v>0</v>
      </c>
      <c r="L132">
        <f ca="1"/>
        <v>0</v>
      </c>
      <c r="M132">
        <f ca="1"/>
        <v>0</v>
      </c>
      <c r="N132">
        <f ca="1"/>
        <v>0</v>
      </c>
      <c r="O132">
        <f ca="1"/>
        <v>0</v>
      </c>
      <c r="P132">
        <f ca="1"/>
        <v>0</v>
      </c>
      <c r="Q132">
        <f ca="1"/>
        <v>0</v>
      </c>
      <c r="R132">
        <f ca="1"/>
        <v>0</v>
      </c>
      <c r="S132">
        <f ca="1"/>
        <v>0</v>
      </c>
      <c r="T132">
        <f ca="1"/>
        <v>0</v>
      </c>
      <c r="U132">
        <f ca="1"/>
        <v>0</v>
      </c>
    </row>
    <row r="133" spans="4:21" x14ac:dyDescent="0.4">
      <c r="D133">
        <v>22</v>
      </c>
      <c r="G133">
        <f ca="1"/>
        <v>0</v>
      </c>
      <c r="H133">
        <f ca="1"/>
        <v>0</v>
      </c>
      <c r="I133">
        <f ca="1"/>
        <v>0</v>
      </c>
      <c r="J133">
        <f ca="1"/>
        <v>0</v>
      </c>
      <c r="K133">
        <f ca="1"/>
        <v>0</v>
      </c>
      <c r="L133">
        <f ca="1"/>
        <v>0</v>
      </c>
      <c r="M133">
        <f ca="1"/>
        <v>0</v>
      </c>
      <c r="N133">
        <f ca="1"/>
        <v>0</v>
      </c>
      <c r="O133">
        <f ca="1"/>
        <v>0</v>
      </c>
      <c r="P133">
        <f ca="1"/>
        <v>0</v>
      </c>
      <c r="Q133">
        <f ca="1"/>
        <v>0</v>
      </c>
      <c r="R133">
        <f ca="1"/>
        <v>0</v>
      </c>
      <c r="S133">
        <f ca="1"/>
        <v>0</v>
      </c>
      <c r="T133">
        <f ca="1"/>
        <v>0</v>
      </c>
      <c r="U133">
        <f ca="1"/>
        <v>0</v>
      </c>
    </row>
    <row r="134" spans="4:21" x14ac:dyDescent="0.4">
      <c r="D134">
        <v>23</v>
      </c>
      <c r="G134">
        <f ca="1"/>
        <v>0</v>
      </c>
      <c r="H134">
        <f ca="1"/>
        <v>0</v>
      </c>
      <c r="I134">
        <f ca="1"/>
        <v>0</v>
      </c>
      <c r="J134">
        <f ca="1"/>
        <v>0</v>
      </c>
      <c r="K134">
        <f ca="1"/>
        <v>0</v>
      </c>
      <c r="L134">
        <f ca="1"/>
        <v>0</v>
      </c>
      <c r="M134">
        <f ca="1"/>
        <v>0</v>
      </c>
      <c r="N134">
        <f ca="1"/>
        <v>0</v>
      </c>
      <c r="O134">
        <f ca="1"/>
        <v>0</v>
      </c>
      <c r="P134">
        <f ca="1"/>
        <v>0</v>
      </c>
      <c r="Q134">
        <f ca="1"/>
        <v>0</v>
      </c>
      <c r="R134">
        <f ca="1"/>
        <v>0</v>
      </c>
      <c r="S134">
        <f ca="1"/>
        <v>0</v>
      </c>
      <c r="T134">
        <f ca="1"/>
        <v>0</v>
      </c>
      <c r="U134">
        <f ca="1"/>
        <v>0</v>
      </c>
    </row>
    <row r="135" spans="4:21" x14ac:dyDescent="0.4">
      <c r="D135">
        <v>24</v>
      </c>
      <c r="G135">
        <f ca="1"/>
        <v>0</v>
      </c>
      <c r="H135">
        <f ca="1"/>
        <v>0</v>
      </c>
      <c r="I135">
        <f ca="1"/>
        <v>0</v>
      </c>
      <c r="J135">
        <f ca="1"/>
        <v>0</v>
      </c>
      <c r="K135">
        <f ca="1"/>
        <v>0</v>
      </c>
      <c r="L135">
        <f ca="1"/>
        <v>0</v>
      </c>
      <c r="M135">
        <f ca="1"/>
        <v>0</v>
      </c>
      <c r="N135">
        <f ca="1"/>
        <v>0</v>
      </c>
      <c r="O135">
        <f ca="1"/>
        <v>0</v>
      </c>
      <c r="P135">
        <f ca="1"/>
        <v>0</v>
      </c>
      <c r="Q135">
        <f ca="1"/>
        <v>0</v>
      </c>
      <c r="R135">
        <f ca="1"/>
        <v>0</v>
      </c>
      <c r="S135">
        <f ca="1"/>
        <v>0</v>
      </c>
      <c r="T135">
        <f ca="1"/>
        <v>0</v>
      </c>
      <c r="U135">
        <f ca="1"/>
        <v>0</v>
      </c>
    </row>
    <row r="136" spans="4:21" x14ac:dyDescent="0.4">
      <c r="D136">
        <v>25</v>
      </c>
      <c r="G136">
        <f ca="1"/>
        <v>0</v>
      </c>
      <c r="H136">
        <f ca="1"/>
        <v>0</v>
      </c>
      <c r="I136">
        <f ca="1"/>
        <v>0</v>
      </c>
      <c r="J136">
        <f ca="1"/>
        <v>0</v>
      </c>
      <c r="K136">
        <f ca="1"/>
        <v>0</v>
      </c>
      <c r="L136">
        <f ca="1"/>
        <v>0</v>
      </c>
      <c r="M136">
        <f ca="1"/>
        <v>0</v>
      </c>
      <c r="N136">
        <f ca="1"/>
        <v>0</v>
      </c>
      <c r="O136">
        <f ca="1"/>
        <v>0</v>
      </c>
      <c r="P136">
        <f ca="1"/>
        <v>0</v>
      </c>
      <c r="Q136">
        <f ca="1"/>
        <v>0</v>
      </c>
      <c r="R136">
        <f ca="1"/>
        <v>0</v>
      </c>
      <c r="S136">
        <f ca="1"/>
        <v>0</v>
      </c>
      <c r="T136">
        <f ca="1"/>
        <v>0</v>
      </c>
      <c r="U136">
        <f ca="1"/>
        <v>0</v>
      </c>
    </row>
    <row r="137" spans="4:21" x14ac:dyDescent="0.4">
      <c r="D137">
        <v>26</v>
      </c>
      <c r="G137">
        <f ca="1"/>
        <v>0</v>
      </c>
      <c r="H137">
        <f ca="1"/>
        <v>0</v>
      </c>
      <c r="I137">
        <f ca="1"/>
        <v>0</v>
      </c>
      <c r="J137">
        <f ca="1"/>
        <v>0</v>
      </c>
      <c r="K137">
        <f ca="1"/>
        <v>0</v>
      </c>
      <c r="L137">
        <f ca="1"/>
        <v>0</v>
      </c>
      <c r="M137">
        <f ca="1"/>
        <v>0</v>
      </c>
      <c r="N137">
        <f ca="1"/>
        <v>0</v>
      </c>
      <c r="O137">
        <f ca="1"/>
        <v>0</v>
      </c>
      <c r="P137">
        <f ca="1"/>
        <v>0</v>
      </c>
      <c r="Q137">
        <f ca="1"/>
        <v>0</v>
      </c>
      <c r="R137">
        <f ca="1"/>
        <v>0</v>
      </c>
      <c r="S137">
        <f ca="1"/>
        <v>0</v>
      </c>
      <c r="T137">
        <f ca="1"/>
        <v>0</v>
      </c>
      <c r="U137">
        <f ca="1"/>
        <v>0</v>
      </c>
    </row>
    <row r="138" spans="4:21" x14ac:dyDescent="0.4">
      <c r="G138">
        <f ca="1"/>
        <v>0</v>
      </c>
      <c r="H138">
        <f ca="1"/>
        <v>0</v>
      </c>
      <c r="I138">
        <f ca="1"/>
        <v>0</v>
      </c>
      <c r="J138">
        <f ca="1"/>
        <v>0</v>
      </c>
      <c r="K138">
        <f ca="1"/>
        <v>0</v>
      </c>
      <c r="L138">
        <f ca="1"/>
        <v>0</v>
      </c>
      <c r="M138">
        <f ca="1"/>
        <v>0</v>
      </c>
      <c r="N138">
        <f ca="1"/>
        <v>0</v>
      </c>
      <c r="O138">
        <f ca="1"/>
        <v>0</v>
      </c>
      <c r="P138">
        <f ca="1"/>
        <v>0</v>
      </c>
      <c r="Q138">
        <f ca="1"/>
        <v>0</v>
      </c>
      <c r="R138">
        <f ca="1"/>
        <v>0</v>
      </c>
      <c r="S138">
        <f ca="1"/>
        <v>0</v>
      </c>
      <c r="T138">
        <f ca="1"/>
        <v>0</v>
      </c>
      <c r="U138">
        <f ca="1"/>
        <v>0</v>
      </c>
    </row>
    <row r="140" spans="4:21" ht="72" customHeight="1" x14ac:dyDescent="0.4"/>
  </sheetData>
  <sortState xmlns:xlrd2="http://schemas.microsoft.com/office/spreadsheetml/2017/richdata2" ref="A7:D42">
    <sortCondition ref="D7:D42"/>
  </sortState>
  <phoneticPr fontId="3" type="noConversion"/>
  <conditionalFormatting sqref="G7:G42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42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42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42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42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4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4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4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4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4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4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4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4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4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4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7:Y4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4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42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7:AB42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7:AC4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:AD4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7:AE4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7:AF4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7:AG4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7:AH4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7:AI4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7:AJ4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1C22EED4-090E-47E6-A1BE-1AF608FEB8F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Summary!G112:G138</xm:f>
              <xm:sqref>G140</xm:sqref>
            </x14:sparkline>
            <x14:sparkline>
              <xm:f>Summary!H112:H138</xm:f>
              <xm:sqref>H140</xm:sqref>
            </x14:sparkline>
            <x14:sparkline>
              <xm:f>Summary!I112:I138</xm:f>
              <xm:sqref>I140</xm:sqref>
            </x14:sparkline>
            <x14:sparkline>
              <xm:f>Summary!J112:J138</xm:f>
              <xm:sqref>J140</xm:sqref>
            </x14:sparkline>
            <x14:sparkline>
              <xm:f>Summary!K112:K138</xm:f>
              <xm:sqref>K140</xm:sqref>
            </x14:sparkline>
            <x14:sparkline>
              <xm:f>Summary!L112:L138</xm:f>
              <xm:sqref>L140</xm:sqref>
            </x14:sparkline>
            <x14:sparkline>
              <xm:f>Summary!M112:M138</xm:f>
              <xm:sqref>M140</xm:sqref>
            </x14:sparkline>
            <x14:sparkline>
              <xm:f>Summary!N112:N138</xm:f>
              <xm:sqref>N140</xm:sqref>
            </x14:sparkline>
            <x14:sparkline>
              <xm:f>Summary!O112:O138</xm:f>
              <xm:sqref>O140</xm:sqref>
            </x14:sparkline>
            <x14:sparkline>
              <xm:f>Summary!P112:P138</xm:f>
              <xm:sqref>P140</xm:sqref>
            </x14:sparkline>
            <x14:sparkline>
              <xm:f>Summary!Q112:Q138</xm:f>
              <xm:sqref>Q140</xm:sqref>
            </x14:sparkline>
            <x14:sparkline>
              <xm:f>Summary!R112:R138</xm:f>
              <xm:sqref>R140</xm:sqref>
            </x14:sparkline>
            <x14:sparkline>
              <xm:f>Summary!S112:S138</xm:f>
              <xm:sqref>S140</xm:sqref>
            </x14:sparkline>
            <x14:sparkline>
              <xm:f>Summary!T112:T138</xm:f>
              <xm:sqref>T140</xm:sqref>
            </x14:sparkline>
            <x14:sparkline>
              <xm:f>Summary!U112:U138</xm:f>
              <xm:sqref>U140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98A00-6A35-41EB-83E3-1AF2F707756E}">
  <dimension ref="A1:R29"/>
  <sheetViews>
    <sheetView workbookViewId="0"/>
  </sheetViews>
  <sheetFormatPr defaultRowHeight="14.6" x14ac:dyDescent="0.4"/>
  <cols>
    <col min="1" max="1" width="24.23046875" bestFit="1" customWidth="1"/>
    <col min="2" max="2" width="13.921875" bestFit="1" customWidth="1"/>
    <col min="3" max="3" width="17.53515625" bestFit="1" customWidth="1"/>
    <col min="4" max="4" width="7.84375" bestFit="1" customWidth="1"/>
    <col min="5" max="5" width="5.4609375" bestFit="1" customWidth="1"/>
    <col min="6" max="6" width="1.84375" bestFit="1" customWidth="1"/>
    <col min="7" max="7" width="8.84375" bestFit="1" customWidth="1"/>
    <col min="8" max="8" width="8.4609375" bestFit="1" customWidth="1"/>
    <col min="9" max="9" width="6.84375" bestFit="1" customWidth="1"/>
    <col min="10" max="10" width="7.4609375" bestFit="1" customWidth="1"/>
    <col min="11" max="12" width="6.84375" bestFit="1" customWidth="1"/>
    <col min="13" max="14" width="7.84375" bestFit="1" customWidth="1"/>
    <col min="15" max="15" width="4.84375" bestFit="1" customWidth="1"/>
    <col min="16" max="16" width="6.84375" bestFit="1" customWidth="1"/>
    <col min="17" max="18" width="4.84375" bestFit="1" customWidth="1"/>
  </cols>
  <sheetData>
    <row r="1" spans="1:18" x14ac:dyDescent="0.4">
      <c r="A1" t="s">
        <v>91</v>
      </c>
      <c r="B1" t="s">
        <v>92</v>
      </c>
    </row>
    <row r="2" spans="1:18" x14ac:dyDescent="0.4">
      <c r="A2" t="s">
        <v>93</v>
      </c>
      <c r="B2" t="s">
        <v>94</v>
      </c>
    </row>
    <row r="3" spans="1:18" x14ac:dyDescent="0.4">
      <c r="A3" t="s">
        <v>95</v>
      </c>
      <c r="B3" t="s">
        <v>96</v>
      </c>
    </row>
    <row r="4" spans="1:18" x14ac:dyDescent="0.4">
      <c r="A4" t="s">
        <v>97</v>
      </c>
      <c r="B4" t="s">
        <v>98</v>
      </c>
    </row>
    <row r="5" spans="1:18" x14ac:dyDescent="0.4">
      <c r="A5" t="s">
        <v>99</v>
      </c>
    </row>
    <row r="6" spans="1:18" x14ac:dyDescent="0.4">
      <c r="A6" t="s">
        <v>100</v>
      </c>
    </row>
    <row r="7" spans="1:18" x14ac:dyDescent="0.4">
      <c r="A7" t="s">
        <v>101</v>
      </c>
    </row>
    <row r="8" spans="1:18" x14ac:dyDescent="0.4">
      <c r="A8" t="s">
        <v>93</v>
      </c>
    </row>
    <row r="9" spans="1:18" x14ac:dyDescent="0.4">
      <c r="A9" t="s">
        <v>102</v>
      </c>
    </row>
    <row r="10" spans="1:18" x14ac:dyDescent="0.4">
      <c r="A10">
        <v>4</v>
      </c>
      <c r="B10" t="s">
        <v>103</v>
      </c>
      <c r="C10" t="s">
        <v>104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105</v>
      </c>
    </row>
    <row r="11" spans="1:18" x14ac:dyDescent="0.4">
      <c r="A11">
        <v>5</v>
      </c>
      <c r="B11" t="s">
        <v>106</v>
      </c>
      <c r="C11" t="s">
        <v>104</v>
      </c>
      <c r="D11">
        <v>62.5</v>
      </c>
      <c r="E11">
        <v>37.5</v>
      </c>
      <c r="F11">
        <v>0</v>
      </c>
      <c r="G11">
        <v>62.482799999999997</v>
      </c>
      <c r="H11">
        <v>37.515500000000003</v>
      </c>
      <c r="I11">
        <v>8.2799999999999999E-2</v>
      </c>
      <c r="J11">
        <v>-1.72E-2</v>
      </c>
      <c r="K11">
        <v>1.55E-2</v>
      </c>
      <c r="L11">
        <v>8.2799999999999999E-2</v>
      </c>
      <c r="P11">
        <v>0.1719</v>
      </c>
      <c r="Q11">
        <v>0.05</v>
      </c>
      <c r="R11" t="s">
        <v>107</v>
      </c>
    </row>
    <row r="12" spans="1:18" x14ac:dyDescent="0.4">
      <c r="A12">
        <v>6</v>
      </c>
      <c r="B12" t="s">
        <v>108</v>
      </c>
      <c r="C12" t="s">
        <v>104</v>
      </c>
      <c r="D12">
        <v>-63.5</v>
      </c>
      <c r="E12">
        <v>37.5</v>
      </c>
      <c r="F12">
        <v>0</v>
      </c>
      <c r="G12">
        <v>-63.451999999999998</v>
      </c>
      <c r="H12">
        <v>37.515500000000003</v>
      </c>
      <c r="I12">
        <v>6.8599999999999994E-2</v>
      </c>
      <c r="J12">
        <v>4.8000000000000001E-2</v>
      </c>
      <c r="K12">
        <v>1.55E-2</v>
      </c>
      <c r="L12">
        <v>6.8599999999999994E-2</v>
      </c>
      <c r="P12">
        <v>0.17030000000000001</v>
      </c>
      <c r="Q12">
        <v>0.05</v>
      </c>
      <c r="R12" t="s">
        <v>107</v>
      </c>
    </row>
    <row r="13" spans="1:18" x14ac:dyDescent="0.4">
      <c r="A13">
        <v>7</v>
      </c>
      <c r="B13" t="s">
        <v>109</v>
      </c>
      <c r="C13" t="s">
        <v>104</v>
      </c>
      <c r="D13">
        <v>-62.5</v>
      </c>
      <c r="E13">
        <v>-36.5</v>
      </c>
      <c r="F13">
        <v>0</v>
      </c>
      <c r="G13">
        <v>-62.478700000000003</v>
      </c>
      <c r="H13">
        <v>-36.462200000000003</v>
      </c>
      <c r="I13">
        <v>8.3000000000000004E-2</v>
      </c>
      <c r="J13">
        <v>2.1299999999999999E-2</v>
      </c>
      <c r="K13">
        <v>3.78E-2</v>
      </c>
      <c r="L13">
        <v>8.3000000000000004E-2</v>
      </c>
      <c r="P13">
        <v>0.18729999999999999</v>
      </c>
      <c r="Q13">
        <v>0.05</v>
      </c>
      <c r="R13" t="s">
        <v>107</v>
      </c>
    </row>
    <row r="14" spans="1:18" x14ac:dyDescent="0.4">
      <c r="A14">
        <v>8</v>
      </c>
      <c r="B14" t="s">
        <v>110</v>
      </c>
      <c r="C14" t="s">
        <v>104</v>
      </c>
      <c r="D14">
        <v>61.5</v>
      </c>
      <c r="E14">
        <v>-37.5</v>
      </c>
      <c r="F14">
        <v>0</v>
      </c>
      <c r="G14">
        <v>61.444200000000002</v>
      </c>
      <c r="H14">
        <v>-37.464399999999998</v>
      </c>
      <c r="I14">
        <v>6.9099999999999995E-2</v>
      </c>
      <c r="J14">
        <v>-5.5800000000000002E-2</v>
      </c>
      <c r="K14">
        <v>3.56E-2</v>
      </c>
      <c r="L14">
        <v>6.9099999999999995E-2</v>
      </c>
      <c r="P14">
        <v>0.19139999999999999</v>
      </c>
      <c r="Q14">
        <v>0.05</v>
      </c>
      <c r="R14" t="s">
        <v>107</v>
      </c>
    </row>
    <row r="15" spans="1:18" x14ac:dyDescent="0.4">
      <c r="A15">
        <v>9</v>
      </c>
      <c r="B15" t="s">
        <v>0</v>
      </c>
      <c r="C15" t="s">
        <v>111</v>
      </c>
      <c r="D15">
        <v>25.4</v>
      </c>
      <c r="G15">
        <v>25.398599999999998</v>
      </c>
      <c r="J15">
        <v>-1.4E-3</v>
      </c>
      <c r="M15">
        <v>25.5</v>
      </c>
      <c r="N15">
        <v>25.3</v>
      </c>
      <c r="O15" t="s">
        <v>105</v>
      </c>
      <c r="P15">
        <v>6.1000000000000004E-3</v>
      </c>
      <c r="Q15">
        <v>0.05</v>
      </c>
      <c r="R15" t="s">
        <v>105</v>
      </c>
    </row>
    <row r="16" spans="1:18" x14ac:dyDescent="0.4">
      <c r="A16">
        <v>10</v>
      </c>
      <c r="B16" t="s">
        <v>1</v>
      </c>
      <c r="C16" t="s">
        <v>111</v>
      </c>
      <c r="D16">
        <v>25.4</v>
      </c>
      <c r="G16">
        <v>25.403300000000002</v>
      </c>
      <c r="J16">
        <v>3.3E-3</v>
      </c>
      <c r="M16">
        <v>25.5</v>
      </c>
      <c r="N16">
        <v>25.3</v>
      </c>
      <c r="O16" t="s">
        <v>105</v>
      </c>
      <c r="P16">
        <v>4.7000000000000002E-3</v>
      </c>
      <c r="Q16">
        <v>0.05</v>
      </c>
      <c r="R16" t="s">
        <v>105</v>
      </c>
    </row>
    <row r="17" spans="1:18" x14ac:dyDescent="0.4">
      <c r="A17">
        <v>11</v>
      </c>
      <c r="B17" t="s">
        <v>2</v>
      </c>
      <c r="C17" t="s">
        <v>111</v>
      </c>
      <c r="D17">
        <v>25.4</v>
      </c>
      <c r="G17">
        <v>25.4024</v>
      </c>
      <c r="J17">
        <v>2.3999999999999998E-3</v>
      </c>
      <c r="M17">
        <v>25.5</v>
      </c>
      <c r="N17">
        <v>25.3</v>
      </c>
      <c r="O17" t="s">
        <v>105</v>
      </c>
      <c r="P17">
        <v>4.8999999999999998E-3</v>
      </c>
      <c r="Q17">
        <v>0.05</v>
      </c>
      <c r="R17" t="s">
        <v>105</v>
      </c>
    </row>
    <row r="18" spans="1:18" x14ac:dyDescent="0.4">
      <c r="A18">
        <v>12</v>
      </c>
      <c r="B18" t="s">
        <v>3</v>
      </c>
      <c r="C18" t="s">
        <v>111</v>
      </c>
      <c r="D18">
        <v>25.4</v>
      </c>
      <c r="G18">
        <v>25.404499999999999</v>
      </c>
      <c r="J18">
        <v>4.4999999999999997E-3</v>
      </c>
      <c r="M18">
        <v>25.5</v>
      </c>
      <c r="N18">
        <v>25.3</v>
      </c>
      <c r="O18" t="s">
        <v>105</v>
      </c>
      <c r="P18">
        <v>6.1000000000000004E-3</v>
      </c>
      <c r="Q18">
        <v>0.05</v>
      </c>
      <c r="R18" t="s">
        <v>105</v>
      </c>
    </row>
    <row r="19" spans="1:18" x14ac:dyDescent="0.4">
      <c r="A19">
        <v>13</v>
      </c>
      <c r="B19" t="s">
        <v>4</v>
      </c>
      <c r="C19" t="s">
        <v>111</v>
      </c>
      <c r="D19">
        <v>25.4</v>
      </c>
      <c r="G19">
        <v>25.4026</v>
      </c>
      <c r="J19">
        <v>2.5999999999999999E-3</v>
      </c>
      <c r="M19">
        <v>25.5</v>
      </c>
      <c r="N19">
        <v>25.3</v>
      </c>
      <c r="O19" t="s">
        <v>105</v>
      </c>
      <c r="P19">
        <v>5.1000000000000004E-3</v>
      </c>
      <c r="Q19">
        <v>0.05</v>
      </c>
      <c r="R19" t="s">
        <v>105</v>
      </c>
    </row>
    <row r="20" spans="1:18" x14ac:dyDescent="0.4">
      <c r="A20">
        <v>14</v>
      </c>
      <c r="B20" t="s">
        <v>5</v>
      </c>
      <c r="C20" t="s">
        <v>112</v>
      </c>
      <c r="D20">
        <v>72.887</v>
      </c>
      <c r="G20">
        <v>72.880099999999999</v>
      </c>
      <c r="J20">
        <v>-6.8999999999999999E-3</v>
      </c>
      <c r="M20">
        <v>72.986999999999995</v>
      </c>
      <c r="N20">
        <v>72.787000000000006</v>
      </c>
      <c r="O20" t="s">
        <v>105</v>
      </c>
    </row>
    <row r="21" spans="1:18" x14ac:dyDescent="0.4">
      <c r="A21">
        <v>15</v>
      </c>
      <c r="B21" t="s">
        <v>6</v>
      </c>
      <c r="C21" t="s">
        <v>112</v>
      </c>
      <c r="D21">
        <v>73.745999999999995</v>
      </c>
      <c r="G21">
        <v>73.712800000000001</v>
      </c>
      <c r="J21">
        <v>-3.32E-2</v>
      </c>
      <c r="M21">
        <v>73.846000000000004</v>
      </c>
      <c r="N21">
        <v>73.646000000000001</v>
      </c>
      <c r="O21" t="s">
        <v>105</v>
      </c>
    </row>
    <row r="22" spans="1:18" x14ac:dyDescent="0.4">
      <c r="A22">
        <v>16</v>
      </c>
      <c r="B22" t="s">
        <v>7</v>
      </c>
      <c r="C22" t="s">
        <v>112</v>
      </c>
      <c r="D22">
        <v>72.376999999999995</v>
      </c>
      <c r="G22">
        <v>72.34</v>
      </c>
      <c r="J22">
        <v>-3.6999999999999998E-2</v>
      </c>
      <c r="M22">
        <v>72.477000000000004</v>
      </c>
      <c r="N22">
        <v>72.277000000000001</v>
      </c>
      <c r="O22" t="s">
        <v>105</v>
      </c>
    </row>
    <row r="23" spans="1:18" x14ac:dyDescent="0.4">
      <c r="A23">
        <v>17</v>
      </c>
      <c r="B23" t="s">
        <v>8</v>
      </c>
      <c r="C23" t="s">
        <v>112</v>
      </c>
      <c r="D23">
        <v>72.031000000000006</v>
      </c>
      <c r="G23">
        <v>71.965100000000007</v>
      </c>
      <c r="J23">
        <v>-6.59E-2</v>
      </c>
      <c r="M23">
        <v>72.131</v>
      </c>
      <c r="N23">
        <v>71.930999999999997</v>
      </c>
      <c r="O23" t="s">
        <v>105</v>
      </c>
    </row>
    <row r="24" spans="1:18" x14ac:dyDescent="0.4">
      <c r="A24">
        <v>18</v>
      </c>
      <c r="B24" t="s">
        <v>9</v>
      </c>
      <c r="C24" t="s">
        <v>112</v>
      </c>
      <c r="D24">
        <v>75.007000000000005</v>
      </c>
      <c r="G24">
        <v>74.987099999999998</v>
      </c>
      <c r="J24">
        <v>-1.9900000000000001E-2</v>
      </c>
      <c r="M24">
        <v>75.106999999999999</v>
      </c>
      <c r="N24">
        <v>74.906999999999996</v>
      </c>
      <c r="O24" t="s">
        <v>105</v>
      </c>
    </row>
    <row r="25" spans="1:18" x14ac:dyDescent="0.4">
      <c r="A25">
        <v>19</v>
      </c>
      <c r="B25" t="s">
        <v>10</v>
      </c>
      <c r="C25" t="s">
        <v>112</v>
      </c>
      <c r="D25">
        <v>74.007000000000005</v>
      </c>
      <c r="G25">
        <v>73.984099999999998</v>
      </c>
      <c r="J25">
        <v>-2.29E-2</v>
      </c>
      <c r="M25">
        <v>74.106999999999999</v>
      </c>
      <c r="N25">
        <v>73.906999999999996</v>
      </c>
      <c r="O25" t="s">
        <v>105</v>
      </c>
    </row>
    <row r="26" spans="1:18" x14ac:dyDescent="0.4">
      <c r="A26">
        <v>20</v>
      </c>
      <c r="B26" t="s">
        <v>11</v>
      </c>
      <c r="C26" t="s">
        <v>112</v>
      </c>
      <c r="D26">
        <v>126</v>
      </c>
      <c r="G26">
        <v>125.9348</v>
      </c>
      <c r="J26">
        <v>-6.5199999999999994E-2</v>
      </c>
      <c r="M26">
        <v>126.1</v>
      </c>
      <c r="N26">
        <v>125.9</v>
      </c>
      <c r="O26" t="s">
        <v>105</v>
      </c>
    </row>
    <row r="27" spans="1:18" x14ac:dyDescent="0.4">
      <c r="A27">
        <v>21</v>
      </c>
      <c r="B27" t="s">
        <v>12</v>
      </c>
      <c r="C27" t="s">
        <v>112</v>
      </c>
      <c r="D27">
        <v>124.004</v>
      </c>
      <c r="G27">
        <v>123.9269</v>
      </c>
      <c r="J27">
        <v>-7.7100000000000002E-2</v>
      </c>
      <c r="M27">
        <v>124.104</v>
      </c>
      <c r="N27">
        <v>123.904</v>
      </c>
      <c r="O27" t="s">
        <v>105</v>
      </c>
    </row>
    <row r="28" spans="1:18" x14ac:dyDescent="0.4">
      <c r="A28">
        <v>22</v>
      </c>
      <c r="B28" t="s">
        <v>13</v>
      </c>
      <c r="C28" t="s">
        <v>112</v>
      </c>
      <c r="D28">
        <v>145.262</v>
      </c>
      <c r="G28">
        <v>145.21729999999999</v>
      </c>
      <c r="J28">
        <v>-4.4699999999999997E-2</v>
      </c>
      <c r="M28">
        <v>145.36199999999999</v>
      </c>
      <c r="N28">
        <v>145.16200000000001</v>
      </c>
      <c r="O28" t="s">
        <v>105</v>
      </c>
    </row>
    <row r="29" spans="1:18" x14ac:dyDescent="0.4">
      <c r="A29">
        <v>23</v>
      </c>
      <c r="B29" t="s">
        <v>14</v>
      </c>
      <c r="C29" t="s">
        <v>112</v>
      </c>
      <c r="D29">
        <v>145.774</v>
      </c>
      <c r="G29">
        <v>145.67439999999999</v>
      </c>
      <c r="J29">
        <v>-9.9599999999999994E-2</v>
      </c>
      <c r="M29">
        <v>145.874</v>
      </c>
      <c r="N29">
        <v>145.67400000000001</v>
      </c>
      <c r="O29" t="s">
        <v>105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66973E-1397-4146-91EC-3615A5138D7D}">
  <dimension ref="A1:R29"/>
  <sheetViews>
    <sheetView workbookViewId="0"/>
  </sheetViews>
  <sheetFormatPr defaultRowHeight="14.6" x14ac:dyDescent="0.4"/>
  <cols>
    <col min="1" max="1" width="24.23046875" bestFit="1" customWidth="1"/>
    <col min="2" max="2" width="13.921875" bestFit="1" customWidth="1"/>
    <col min="3" max="3" width="17.53515625" bestFit="1" customWidth="1"/>
    <col min="4" max="4" width="7.84375" bestFit="1" customWidth="1"/>
    <col min="5" max="5" width="5.4609375" bestFit="1" customWidth="1"/>
    <col min="6" max="6" width="1.84375" bestFit="1" customWidth="1"/>
    <col min="7" max="7" width="8.84375" bestFit="1" customWidth="1"/>
    <col min="8" max="8" width="8.4609375" bestFit="1" customWidth="1"/>
    <col min="9" max="9" width="6.84375" bestFit="1" customWidth="1"/>
    <col min="10" max="10" width="7.4609375" bestFit="1" customWidth="1"/>
    <col min="11" max="12" width="6.84375" bestFit="1" customWidth="1"/>
    <col min="13" max="14" width="7.84375" bestFit="1" customWidth="1"/>
    <col min="15" max="15" width="4.84375" bestFit="1" customWidth="1"/>
    <col min="16" max="16" width="6.84375" bestFit="1" customWidth="1"/>
    <col min="17" max="18" width="4.84375" bestFit="1" customWidth="1"/>
  </cols>
  <sheetData>
    <row r="1" spans="1:18" x14ac:dyDescent="0.4">
      <c r="A1" t="s">
        <v>91</v>
      </c>
      <c r="B1" t="s">
        <v>92</v>
      </c>
    </row>
    <row r="2" spans="1:18" x14ac:dyDescent="0.4">
      <c r="A2" t="s">
        <v>93</v>
      </c>
      <c r="B2" t="s">
        <v>94</v>
      </c>
    </row>
    <row r="3" spans="1:18" x14ac:dyDescent="0.4">
      <c r="A3" t="s">
        <v>95</v>
      </c>
      <c r="B3" t="s">
        <v>113</v>
      </c>
    </row>
    <row r="4" spans="1:18" x14ac:dyDescent="0.4">
      <c r="A4" t="s">
        <v>97</v>
      </c>
      <c r="B4" t="s">
        <v>114</v>
      </c>
    </row>
    <row r="5" spans="1:18" x14ac:dyDescent="0.4">
      <c r="A5" t="s">
        <v>99</v>
      </c>
    </row>
    <row r="6" spans="1:18" x14ac:dyDescent="0.4">
      <c r="A6" t="s">
        <v>100</v>
      </c>
    </row>
    <row r="7" spans="1:18" x14ac:dyDescent="0.4">
      <c r="A7" t="s">
        <v>101</v>
      </c>
    </row>
    <row r="8" spans="1:18" x14ac:dyDescent="0.4">
      <c r="A8" t="s">
        <v>93</v>
      </c>
    </row>
    <row r="9" spans="1:18" x14ac:dyDescent="0.4">
      <c r="A9" t="s">
        <v>102</v>
      </c>
    </row>
    <row r="10" spans="1:18" x14ac:dyDescent="0.4">
      <c r="A10">
        <v>4</v>
      </c>
      <c r="B10" t="s">
        <v>103</v>
      </c>
      <c r="C10" t="s">
        <v>104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105</v>
      </c>
    </row>
    <row r="11" spans="1:18" x14ac:dyDescent="0.4">
      <c r="A11">
        <v>5</v>
      </c>
      <c r="B11" t="s">
        <v>106</v>
      </c>
      <c r="C11" t="s">
        <v>104</v>
      </c>
      <c r="D11">
        <v>62.5</v>
      </c>
      <c r="E11">
        <v>37.5</v>
      </c>
      <c r="F11">
        <v>0</v>
      </c>
      <c r="G11">
        <v>62.4833</v>
      </c>
      <c r="H11">
        <v>37.515799999999999</v>
      </c>
      <c r="I11">
        <v>8.2400000000000001E-2</v>
      </c>
      <c r="J11">
        <v>-1.67E-2</v>
      </c>
      <c r="K11">
        <v>1.5800000000000002E-2</v>
      </c>
      <c r="L11">
        <v>8.2400000000000001E-2</v>
      </c>
      <c r="P11">
        <v>0.17100000000000001</v>
      </c>
      <c r="Q11">
        <v>0.05</v>
      </c>
      <c r="R11" t="s">
        <v>107</v>
      </c>
    </row>
    <row r="12" spans="1:18" x14ac:dyDescent="0.4">
      <c r="A12">
        <v>6</v>
      </c>
      <c r="B12" t="s">
        <v>108</v>
      </c>
      <c r="C12" t="s">
        <v>104</v>
      </c>
      <c r="D12">
        <v>-63.5</v>
      </c>
      <c r="E12">
        <v>37.5</v>
      </c>
      <c r="F12">
        <v>0</v>
      </c>
      <c r="G12">
        <v>-63.451999999999998</v>
      </c>
      <c r="H12">
        <v>37.515799999999999</v>
      </c>
      <c r="I12">
        <v>6.83E-2</v>
      </c>
      <c r="J12">
        <v>4.8000000000000001E-2</v>
      </c>
      <c r="K12">
        <v>1.5800000000000002E-2</v>
      </c>
      <c r="L12">
        <v>6.83E-2</v>
      </c>
      <c r="P12">
        <v>0.17</v>
      </c>
      <c r="Q12">
        <v>0.05</v>
      </c>
      <c r="R12" t="s">
        <v>107</v>
      </c>
    </row>
    <row r="13" spans="1:18" x14ac:dyDescent="0.4">
      <c r="A13">
        <v>7</v>
      </c>
      <c r="B13" t="s">
        <v>109</v>
      </c>
      <c r="C13" t="s">
        <v>104</v>
      </c>
      <c r="D13">
        <v>-62.5</v>
      </c>
      <c r="E13">
        <v>-36.5</v>
      </c>
      <c r="F13">
        <v>0</v>
      </c>
      <c r="G13">
        <v>-62.479300000000002</v>
      </c>
      <c r="H13">
        <v>-36.461500000000001</v>
      </c>
      <c r="I13">
        <v>8.2500000000000004E-2</v>
      </c>
      <c r="J13">
        <v>2.07E-2</v>
      </c>
      <c r="K13">
        <v>3.85E-2</v>
      </c>
      <c r="L13">
        <v>8.2500000000000004E-2</v>
      </c>
      <c r="P13">
        <v>0.18690000000000001</v>
      </c>
      <c r="Q13">
        <v>0.05</v>
      </c>
      <c r="R13" t="s">
        <v>107</v>
      </c>
    </row>
    <row r="14" spans="1:18" x14ac:dyDescent="0.4">
      <c r="A14">
        <v>8</v>
      </c>
      <c r="B14" t="s">
        <v>110</v>
      </c>
      <c r="C14" t="s">
        <v>104</v>
      </c>
      <c r="D14">
        <v>61.5</v>
      </c>
      <c r="E14">
        <v>-37.5</v>
      </c>
      <c r="F14">
        <v>0</v>
      </c>
      <c r="G14">
        <v>61.444000000000003</v>
      </c>
      <c r="H14">
        <v>-37.464399999999998</v>
      </c>
      <c r="I14">
        <v>6.88E-2</v>
      </c>
      <c r="J14">
        <v>-5.6000000000000001E-2</v>
      </c>
      <c r="K14">
        <v>3.56E-2</v>
      </c>
      <c r="L14">
        <v>6.88E-2</v>
      </c>
      <c r="P14">
        <v>0.19109999999999999</v>
      </c>
      <c r="Q14">
        <v>0.05</v>
      </c>
      <c r="R14" t="s">
        <v>107</v>
      </c>
    </row>
    <row r="15" spans="1:18" x14ac:dyDescent="0.4">
      <c r="A15">
        <v>9</v>
      </c>
      <c r="B15" t="s">
        <v>0</v>
      </c>
      <c r="C15" t="s">
        <v>111</v>
      </c>
      <c r="D15">
        <v>25.4</v>
      </c>
      <c r="G15">
        <v>25.398499999999999</v>
      </c>
      <c r="J15">
        <v>-1.5E-3</v>
      </c>
      <c r="M15">
        <v>25.5</v>
      </c>
      <c r="N15">
        <v>25.3</v>
      </c>
      <c r="O15" t="s">
        <v>105</v>
      </c>
      <c r="P15">
        <v>4.4000000000000003E-3</v>
      </c>
      <c r="Q15">
        <v>0.05</v>
      </c>
      <c r="R15" t="s">
        <v>105</v>
      </c>
    </row>
    <row r="16" spans="1:18" x14ac:dyDescent="0.4">
      <c r="A16">
        <v>10</v>
      </c>
      <c r="B16" t="s">
        <v>1</v>
      </c>
      <c r="C16" t="s">
        <v>111</v>
      </c>
      <c r="D16">
        <v>25.4</v>
      </c>
      <c r="G16">
        <v>25.4024</v>
      </c>
      <c r="J16">
        <v>2.3999999999999998E-3</v>
      </c>
      <c r="M16">
        <v>25.5</v>
      </c>
      <c r="N16">
        <v>25.3</v>
      </c>
      <c r="O16" t="s">
        <v>105</v>
      </c>
      <c r="P16">
        <v>8.6999999999999994E-3</v>
      </c>
      <c r="Q16">
        <v>0.05</v>
      </c>
      <c r="R16" t="s">
        <v>105</v>
      </c>
    </row>
    <row r="17" spans="1:18" x14ac:dyDescent="0.4">
      <c r="A17">
        <v>11</v>
      </c>
      <c r="B17" t="s">
        <v>2</v>
      </c>
      <c r="C17" t="s">
        <v>111</v>
      </c>
      <c r="D17">
        <v>25.4</v>
      </c>
      <c r="G17">
        <v>25.4025</v>
      </c>
      <c r="J17">
        <v>2.5000000000000001E-3</v>
      </c>
      <c r="M17">
        <v>25.5</v>
      </c>
      <c r="N17">
        <v>25.3</v>
      </c>
      <c r="O17" t="s">
        <v>105</v>
      </c>
      <c r="P17">
        <v>5.7000000000000002E-3</v>
      </c>
      <c r="Q17">
        <v>0.05</v>
      </c>
      <c r="R17" t="s">
        <v>105</v>
      </c>
    </row>
    <row r="18" spans="1:18" x14ac:dyDescent="0.4">
      <c r="A18">
        <v>12</v>
      </c>
      <c r="B18" t="s">
        <v>3</v>
      </c>
      <c r="C18" t="s">
        <v>111</v>
      </c>
      <c r="D18">
        <v>25.4</v>
      </c>
      <c r="G18">
        <v>25.404499999999999</v>
      </c>
      <c r="J18">
        <v>4.4999999999999997E-3</v>
      </c>
      <c r="M18">
        <v>25.5</v>
      </c>
      <c r="N18">
        <v>25.3</v>
      </c>
      <c r="O18" t="s">
        <v>105</v>
      </c>
      <c r="P18">
        <v>4.3E-3</v>
      </c>
      <c r="Q18">
        <v>0.05</v>
      </c>
      <c r="R18" t="s">
        <v>105</v>
      </c>
    </row>
    <row r="19" spans="1:18" x14ac:dyDescent="0.4">
      <c r="A19">
        <v>13</v>
      </c>
      <c r="B19" t="s">
        <v>4</v>
      </c>
      <c r="C19" t="s">
        <v>111</v>
      </c>
      <c r="D19">
        <v>25.4</v>
      </c>
      <c r="G19">
        <v>25.402000000000001</v>
      </c>
      <c r="J19">
        <v>2E-3</v>
      </c>
      <c r="M19">
        <v>25.5</v>
      </c>
      <c r="N19">
        <v>25.3</v>
      </c>
      <c r="O19" t="s">
        <v>105</v>
      </c>
      <c r="P19">
        <v>6.8999999999999999E-3</v>
      </c>
      <c r="Q19">
        <v>0.05</v>
      </c>
      <c r="R19" t="s">
        <v>105</v>
      </c>
    </row>
    <row r="20" spans="1:18" x14ac:dyDescent="0.4">
      <c r="A20">
        <v>14</v>
      </c>
      <c r="B20" t="s">
        <v>5</v>
      </c>
      <c r="C20" t="s">
        <v>112</v>
      </c>
      <c r="D20">
        <v>72.887</v>
      </c>
      <c r="G20">
        <v>72.880700000000004</v>
      </c>
      <c r="J20">
        <v>-6.3E-3</v>
      </c>
      <c r="M20">
        <v>72.986999999999995</v>
      </c>
      <c r="N20">
        <v>72.787000000000006</v>
      </c>
      <c r="O20" t="s">
        <v>105</v>
      </c>
    </row>
    <row r="21" spans="1:18" x14ac:dyDescent="0.4">
      <c r="A21">
        <v>15</v>
      </c>
      <c r="B21" t="s">
        <v>6</v>
      </c>
      <c r="C21" t="s">
        <v>112</v>
      </c>
      <c r="D21">
        <v>73.745999999999995</v>
      </c>
      <c r="G21">
        <v>73.712900000000005</v>
      </c>
      <c r="J21">
        <v>-3.3099999999999997E-2</v>
      </c>
      <c r="M21">
        <v>73.846000000000004</v>
      </c>
      <c r="N21">
        <v>73.646000000000001</v>
      </c>
      <c r="O21" t="s">
        <v>105</v>
      </c>
    </row>
    <row r="22" spans="1:18" x14ac:dyDescent="0.4">
      <c r="A22">
        <v>16</v>
      </c>
      <c r="B22" t="s">
        <v>7</v>
      </c>
      <c r="C22" t="s">
        <v>112</v>
      </c>
      <c r="D22">
        <v>72.376999999999995</v>
      </c>
      <c r="G22">
        <v>72.340199999999996</v>
      </c>
      <c r="J22">
        <v>-3.6799999999999999E-2</v>
      </c>
      <c r="M22">
        <v>72.477000000000004</v>
      </c>
      <c r="N22">
        <v>72.277000000000001</v>
      </c>
      <c r="O22" t="s">
        <v>105</v>
      </c>
    </row>
    <row r="23" spans="1:18" x14ac:dyDescent="0.4">
      <c r="A23">
        <v>17</v>
      </c>
      <c r="B23" t="s">
        <v>8</v>
      </c>
      <c r="C23" t="s">
        <v>112</v>
      </c>
      <c r="D23">
        <v>72.031000000000006</v>
      </c>
      <c r="G23">
        <v>71.9649</v>
      </c>
      <c r="J23">
        <v>-6.6100000000000006E-2</v>
      </c>
      <c r="M23">
        <v>72.131</v>
      </c>
      <c r="N23">
        <v>71.930999999999997</v>
      </c>
      <c r="O23" t="s">
        <v>105</v>
      </c>
    </row>
    <row r="24" spans="1:18" x14ac:dyDescent="0.4">
      <c r="A24">
        <v>18</v>
      </c>
      <c r="B24" t="s">
        <v>9</v>
      </c>
      <c r="C24" t="s">
        <v>112</v>
      </c>
      <c r="D24">
        <v>75.007000000000005</v>
      </c>
      <c r="G24">
        <v>74.987300000000005</v>
      </c>
      <c r="J24">
        <v>-1.9699999999999999E-2</v>
      </c>
      <c r="M24">
        <v>75.106999999999999</v>
      </c>
      <c r="N24">
        <v>74.906999999999996</v>
      </c>
      <c r="O24" t="s">
        <v>105</v>
      </c>
    </row>
    <row r="25" spans="1:18" x14ac:dyDescent="0.4">
      <c r="A25">
        <v>19</v>
      </c>
      <c r="B25" t="s">
        <v>10</v>
      </c>
      <c r="C25" t="s">
        <v>112</v>
      </c>
      <c r="D25">
        <v>74.007000000000005</v>
      </c>
      <c r="G25">
        <v>73.983599999999996</v>
      </c>
      <c r="J25">
        <v>-2.3400000000000001E-2</v>
      </c>
      <c r="M25">
        <v>74.106999999999999</v>
      </c>
      <c r="N25">
        <v>73.906999999999996</v>
      </c>
      <c r="O25" t="s">
        <v>105</v>
      </c>
    </row>
    <row r="26" spans="1:18" x14ac:dyDescent="0.4">
      <c r="A26">
        <v>20</v>
      </c>
      <c r="B26" t="s">
        <v>11</v>
      </c>
      <c r="C26" t="s">
        <v>112</v>
      </c>
      <c r="D26">
        <v>126</v>
      </c>
      <c r="G26">
        <v>125.9353</v>
      </c>
      <c r="J26">
        <v>-6.4699999999999994E-2</v>
      </c>
      <c r="M26">
        <v>126.1</v>
      </c>
      <c r="N26">
        <v>125.9</v>
      </c>
      <c r="O26" t="s">
        <v>105</v>
      </c>
    </row>
    <row r="27" spans="1:18" x14ac:dyDescent="0.4">
      <c r="A27">
        <v>21</v>
      </c>
      <c r="B27" t="s">
        <v>12</v>
      </c>
      <c r="C27" t="s">
        <v>112</v>
      </c>
      <c r="D27">
        <v>124.004</v>
      </c>
      <c r="G27">
        <v>123.92740000000001</v>
      </c>
      <c r="J27">
        <v>-7.6600000000000001E-2</v>
      </c>
      <c r="M27">
        <v>124.104</v>
      </c>
      <c r="N27">
        <v>123.904</v>
      </c>
      <c r="O27" t="s">
        <v>105</v>
      </c>
    </row>
    <row r="28" spans="1:18" x14ac:dyDescent="0.4">
      <c r="A28">
        <v>22</v>
      </c>
      <c r="B28" t="s">
        <v>13</v>
      </c>
      <c r="C28" t="s">
        <v>112</v>
      </c>
      <c r="D28">
        <v>145.262</v>
      </c>
      <c r="G28">
        <v>145.21799999999999</v>
      </c>
      <c r="J28">
        <v>-4.3999999999999997E-2</v>
      </c>
      <c r="M28">
        <v>145.36199999999999</v>
      </c>
      <c r="N28">
        <v>145.16200000000001</v>
      </c>
      <c r="O28" t="s">
        <v>105</v>
      </c>
    </row>
    <row r="29" spans="1:18" x14ac:dyDescent="0.4">
      <c r="A29">
        <v>23</v>
      </c>
      <c r="B29" t="s">
        <v>14</v>
      </c>
      <c r="C29" t="s">
        <v>112</v>
      </c>
      <c r="D29">
        <v>145.774</v>
      </c>
      <c r="G29">
        <v>145.67439999999999</v>
      </c>
      <c r="J29">
        <v>-9.9599999999999994E-2</v>
      </c>
      <c r="M29">
        <v>145.874</v>
      </c>
      <c r="N29">
        <v>145.67400000000001</v>
      </c>
      <c r="O29" t="s">
        <v>105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8EF2B-94B3-405C-B809-216F8A020D76}">
  <dimension ref="A1:R29"/>
  <sheetViews>
    <sheetView workbookViewId="0"/>
  </sheetViews>
  <sheetFormatPr defaultRowHeight="14.6" x14ac:dyDescent="0.4"/>
  <cols>
    <col min="1" max="1" width="24.23046875" bestFit="1" customWidth="1"/>
    <col min="2" max="2" width="13.921875" bestFit="1" customWidth="1"/>
    <col min="3" max="3" width="17.53515625" bestFit="1" customWidth="1"/>
    <col min="4" max="4" width="7.84375" bestFit="1" customWidth="1"/>
    <col min="5" max="5" width="5.4609375" bestFit="1" customWidth="1"/>
    <col min="6" max="6" width="1.84375" bestFit="1" customWidth="1"/>
    <col min="7" max="7" width="8.84375" bestFit="1" customWidth="1"/>
    <col min="8" max="8" width="8.4609375" bestFit="1" customWidth="1"/>
    <col min="9" max="9" width="6.84375" bestFit="1" customWidth="1"/>
    <col min="10" max="10" width="7.4609375" bestFit="1" customWidth="1"/>
    <col min="11" max="12" width="6.84375" bestFit="1" customWidth="1"/>
    <col min="13" max="14" width="7.84375" bestFit="1" customWidth="1"/>
    <col min="15" max="15" width="4.84375" bestFit="1" customWidth="1"/>
    <col min="16" max="16" width="6.84375" bestFit="1" customWidth="1"/>
    <col min="17" max="18" width="4.84375" bestFit="1" customWidth="1"/>
  </cols>
  <sheetData>
    <row r="1" spans="1:18" x14ac:dyDescent="0.4">
      <c r="A1" t="s">
        <v>91</v>
      </c>
      <c r="B1" t="s">
        <v>92</v>
      </c>
    </row>
    <row r="2" spans="1:18" x14ac:dyDescent="0.4">
      <c r="A2" t="s">
        <v>93</v>
      </c>
      <c r="B2" t="s">
        <v>94</v>
      </c>
    </row>
    <row r="3" spans="1:18" x14ac:dyDescent="0.4">
      <c r="A3" t="s">
        <v>95</v>
      </c>
      <c r="B3" t="s">
        <v>115</v>
      </c>
    </row>
    <row r="4" spans="1:18" x14ac:dyDescent="0.4">
      <c r="A4" t="s">
        <v>97</v>
      </c>
      <c r="B4" t="s">
        <v>114</v>
      </c>
    </row>
    <row r="5" spans="1:18" x14ac:dyDescent="0.4">
      <c r="A5" t="s">
        <v>99</v>
      </c>
    </row>
    <row r="6" spans="1:18" x14ac:dyDescent="0.4">
      <c r="A6" t="s">
        <v>100</v>
      </c>
    </row>
    <row r="7" spans="1:18" x14ac:dyDescent="0.4">
      <c r="A7" t="s">
        <v>101</v>
      </c>
    </row>
    <row r="8" spans="1:18" x14ac:dyDescent="0.4">
      <c r="A8" t="s">
        <v>93</v>
      </c>
    </row>
    <row r="9" spans="1:18" x14ac:dyDescent="0.4">
      <c r="A9" t="s">
        <v>102</v>
      </c>
    </row>
    <row r="10" spans="1:18" x14ac:dyDescent="0.4">
      <c r="A10">
        <v>4</v>
      </c>
      <c r="B10" t="s">
        <v>103</v>
      </c>
      <c r="C10" t="s">
        <v>104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105</v>
      </c>
    </row>
    <row r="11" spans="1:18" x14ac:dyDescent="0.4">
      <c r="A11">
        <v>5</v>
      </c>
      <c r="B11" t="s">
        <v>106</v>
      </c>
      <c r="C11" t="s">
        <v>104</v>
      </c>
      <c r="D11">
        <v>62.5</v>
      </c>
      <c r="E11">
        <v>37.5</v>
      </c>
      <c r="F11">
        <v>0</v>
      </c>
      <c r="G11">
        <v>62.482900000000001</v>
      </c>
      <c r="H11">
        <v>37.515799999999999</v>
      </c>
      <c r="I11">
        <v>8.2799999999999999E-2</v>
      </c>
      <c r="J11">
        <v>-1.7100000000000001E-2</v>
      </c>
      <c r="K11">
        <v>1.5800000000000002E-2</v>
      </c>
      <c r="L11">
        <v>8.2799999999999999E-2</v>
      </c>
      <c r="P11">
        <v>0.1721</v>
      </c>
      <c r="Q11">
        <v>0.05</v>
      </c>
      <c r="R11" t="s">
        <v>107</v>
      </c>
    </row>
    <row r="12" spans="1:18" x14ac:dyDescent="0.4">
      <c r="A12">
        <v>6</v>
      </c>
      <c r="B12" t="s">
        <v>108</v>
      </c>
      <c r="C12" t="s">
        <v>104</v>
      </c>
      <c r="D12">
        <v>-63.5</v>
      </c>
      <c r="E12">
        <v>37.5</v>
      </c>
      <c r="F12">
        <v>0</v>
      </c>
      <c r="G12">
        <v>-63.452399999999997</v>
      </c>
      <c r="H12">
        <v>37.515799999999999</v>
      </c>
      <c r="I12">
        <v>6.8500000000000005E-2</v>
      </c>
      <c r="J12">
        <v>4.7600000000000003E-2</v>
      </c>
      <c r="K12">
        <v>1.5800000000000002E-2</v>
      </c>
      <c r="L12">
        <v>6.8500000000000005E-2</v>
      </c>
      <c r="P12">
        <v>0.16980000000000001</v>
      </c>
      <c r="Q12">
        <v>0.05</v>
      </c>
      <c r="R12" t="s">
        <v>107</v>
      </c>
    </row>
    <row r="13" spans="1:18" x14ac:dyDescent="0.4">
      <c r="A13">
        <v>7</v>
      </c>
      <c r="B13" t="s">
        <v>109</v>
      </c>
      <c r="C13" t="s">
        <v>104</v>
      </c>
      <c r="D13">
        <v>-62.5</v>
      </c>
      <c r="E13">
        <v>-36.5</v>
      </c>
      <c r="F13">
        <v>0</v>
      </c>
      <c r="G13">
        <v>-62.478499999999997</v>
      </c>
      <c r="H13">
        <v>-36.461799999999997</v>
      </c>
      <c r="I13">
        <v>8.3000000000000004E-2</v>
      </c>
      <c r="J13">
        <v>2.1499999999999998E-2</v>
      </c>
      <c r="K13">
        <v>3.8199999999999998E-2</v>
      </c>
      <c r="L13">
        <v>8.3000000000000004E-2</v>
      </c>
      <c r="P13">
        <v>0.18779999999999999</v>
      </c>
      <c r="Q13">
        <v>0.05</v>
      </c>
      <c r="R13" t="s">
        <v>107</v>
      </c>
    </row>
    <row r="14" spans="1:18" x14ac:dyDescent="0.4">
      <c r="A14">
        <v>8</v>
      </c>
      <c r="B14" t="s">
        <v>110</v>
      </c>
      <c r="C14" t="s">
        <v>104</v>
      </c>
      <c r="D14">
        <v>61.5</v>
      </c>
      <c r="E14">
        <v>-37.5</v>
      </c>
      <c r="F14">
        <v>0</v>
      </c>
      <c r="G14">
        <v>61.444600000000001</v>
      </c>
      <c r="H14">
        <v>-37.464100000000002</v>
      </c>
      <c r="I14">
        <v>6.9000000000000006E-2</v>
      </c>
      <c r="J14">
        <v>-5.5399999999999998E-2</v>
      </c>
      <c r="K14">
        <v>3.5900000000000001E-2</v>
      </c>
      <c r="L14">
        <v>6.9000000000000006E-2</v>
      </c>
      <c r="P14">
        <v>0.19089999999999999</v>
      </c>
      <c r="Q14">
        <v>0.05</v>
      </c>
      <c r="R14" t="s">
        <v>107</v>
      </c>
    </row>
    <row r="15" spans="1:18" x14ac:dyDescent="0.4">
      <c r="A15">
        <v>9</v>
      </c>
      <c r="B15" t="s">
        <v>0</v>
      </c>
      <c r="C15" t="s">
        <v>111</v>
      </c>
      <c r="D15">
        <v>25.4</v>
      </c>
      <c r="G15">
        <v>25.398599999999998</v>
      </c>
      <c r="J15">
        <v>-1.4E-3</v>
      </c>
      <c r="M15">
        <v>25.5</v>
      </c>
      <c r="N15">
        <v>25.3</v>
      </c>
      <c r="O15" t="s">
        <v>105</v>
      </c>
      <c r="P15">
        <v>5.7000000000000002E-3</v>
      </c>
      <c r="Q15">
        <v>0.05</v>
      </c>
      <c r="R15" t="s">
        <v>105</v>
      </c>
    </row>
    <row r="16" spans="1:18" x14ac:dyDescent="0.4">
      <c r="A16">
        <v>10</v>
      </c>
      <c r="B16" t="s">
        <v>1</v>
      </c>
      <c r="C16" t="s">
        <v>111</v>
      </c>
      <c r="D16">
        <v>25.4</v>
      </c>
      <c r="G16">
        <v>25.403300000000002</v>
      </c>
      <c r="J16">
        <v>3.3E-3</v>
      </c>
      <c r="M16">
        <v>25.5</v>
      </c>
      <c r="N16">
        <v>25.3</v>
      </c>
      <c r="O16" t="s">
        <v>105</v>
      </c>
      <c r="P16">
        <v>6.4999999999999997E-3</v>
      </c>
      <c r="Q16">
        <v>0.05</v>
      </c>
      <c r="R16" t="s">
        <v>105</v>
      </c>
    </row>
    <row r="17" spans="1:18" x14ac:dyDescent="0.4">
      <c r="A17">
        <v>11</v>
      </c>
      <c r="B17" t="s">
        <v>2</v>
      </c>
      <c r="C17" t="s">
        <v>111</v>
      </c>
      <c r="D17">
        <v>25.4</v>
      </c>
      <c r="G17">
        <v>25.4024</v>
      </c>
      <c r="J17">
        <v>2.3999999999999998E-3</v>
      </c>
      <c r="M17">
        <v>25.5</v>
      </c>
      <c r="N17">
        <v>25.3</v>
      </c>
      <c r="O17" t="s">
        <v>105</v>
      </c>
      <c r="P17">
        <v>4.7000000000000002E-3</v>
      </c>
      <c r="Q17">
        <v>0.05</v>
      </c>
      <c r="R17" t="s">
        <v>105</v>
      </c>
    </row>
    <row r="18" spans="1:18" x14ac:dyDescent="0.4">
      <c r="A18">
        <v>12</v>
      </c>
      <c r="B18" t="s">
        <v>3</v>
      </c>
      <c r="C18" t="s">
        <v>111</v>
      </c>
      <c r="D18">
        <v>25.4</v>
      </c>
      <c r="G18">
        <v>25.404399999999999</v>
      </c>
      <c r="J18">
        <v>4.4000000000000003E-3</v>
      </c>
      <c r="M18">
        <v>25.5</v>
      </c>
      <c r="N18">
        <v>25.3</v>
      </c>
      <c r="O18" t="s">
        <v>105</v>
      </c>
      <c r="P18">
        <v>5.0000000000000001E-3</v>
      </c>
      <c r="Q18">
        <v>0.05</v>
      </c>
      <c r="R18" t="s">
        <v>105</v>
      </c>
    </row>
    <row r="19" spans="1:18" x14ac:dyDescent="0.4">
      <c r="A19">
        <v>13</v>
      </c>
      <c r="B19" t="s">
        <v>4</v>
      </c>
      <c r="C19" t="s">
        <v>111</v>
      </c>
      <c r="D19">
        <v>25.4</v>
      </c>
      <c r="G19">
        <v>25.402899999999999</v>
      </c>
      <c r="J19">
        <v>2.8999999999999998E-3</v>
      </c>
      <c r="M19">
        <v>25.5</v>
      </c>
      <c r="N19">
        <v>25.3</v>
      </c>
      <c r="O19" t="s">
        <v>105</v>
      </c>
      <c r="P19">
        <v>6.0000000000000001E-3</v>
      </c>
      <c r="Q19">
        <v>0.05</v>
      </c>
      <c r="R19" t="s">
        <v>105</v>
      </c>
    </row>
    <row r="20" spans="1:18" x14ac:dyDescent="0.4">
      <c r="A20">
        <v>14</v>
      </c>
      <c r="B20" t="s">
        <v>5</v>
      </c>
      <c r="C20" t="s">
        <v>112</v>
      </c>
      <c r="D20">
        <v>72.887</v>
      </c>
      <c r="G20">
        <v>72.880399999999995</v>
      </c>
      <c r="J20">
        <v>-6.6E-3</v>
      </c>
      <c r="M20">
        <v>72.986999999999995</v>
      </c>
      <c r="N20">
        <v>72.787000000000006</v>
      </c>
      <c r="O20" t="s">
        <v>105</v>
      </c>
    </row>
    <row r="21" spans="1:18" x14ac:dyDescent="0.4">
      <c r="A21">
        <v>15</v>
      </c>
      <c r="B21" t="s">
        <v>6</v>
      </c>
      <c r="C21" t="s">
        <v>112</v>
      </c>
      <c r="D21">
        <v>73.745999999999995</v>
      </c>
      <c r="G21">
        <v>73.713300000000004</v>
      </c>
      <c r="J21">
        <v>-3.27E-2</v>
      </c>
      <c r="M21">
        <v>73.846000000000004</v>
      </c>
      <c r="N21">
        <v>73.646000000000001</v>
      </c>
      <c r="O21" t="s">
        <v>105</v>
      </c>
    </row>
    <row r="22" spans="1:18" x14ac:dyDescent="0.4">
      <c r="A22">
        <v>16</v>
      </c>
      <c r="B22" t="s">
        <v>7</v>
      </c>
      <c r="C22" t="s">
        <v>112</v>
      </c>
      <c r="D22">
        <v>72.376999999999995</v>
      </c>
      <c r="G22">
        <v>72.339699999999993</v>
      </c>
      <c r="J22">
        <v>-3.73E-2</v>
      </c>
      <c r="M22">
        <v>72.477000000000004</v>
      </c>
      <c r="N22">
        <v>72.277000000000001</v>
      </c>
      <c r="O22" t="s">
        <v>105</v>
      </c>
    </row>
    <row r="23" spans="1:18" x14ac:dyDescent="0.4">
      <c r="A23">
        <v>17</v>
      </c>
      <c r="B23" t="s">
        <v>8</v>
      </c>
      <c r="C23" t="s">
        <v>112</v>
      </c>
      <c r="D23">
        <v>72.031000000000006</v>
      </c>
      <c r="G23">
        <v>71.965299999999999</v>
      </c>
      <c r="J23">
        <v>-6.5699999999999995E-2</v>
      </c>
      <c r="M23">
        <v>72.131</v>
      </c>
      <c r="N23">
        <v>71.930999999999997</v>
      </c>
      <c r="O23" t="s">
        <v>105</v>
      </c>
    </row>
    <row r="24" spans="1:18" x14ac:dyDescent="0.4">
      <c r="A24">
        <v>18</v>
      </c>
      <c r="B24" t="s">
        <v>9</v>
      </c>
      <c r="C24" t="s">
        <v>112</v>
      </c>
      <c r="D24">
        <v>75.007000000000005</v>
      </c>
      <c r="G24">
        <v>74.987099999999998</v>
      </c>
      <c r="J24">
        <v>-1.9900000000000001E-2</v>
      </c>
      <c r="M24">
        <v>75.106999999999999</v>
      </c>
      <c r="N24">
        <v>74.906999999999996</v>
      </c>
      <c r="O24" t="s">
        <v>105</v>
      </c>
    </row>
    <row r="25" spans="1:18" x14ac:dyDescent="0.4">
      <c r="A25">
        <v>19</v>
      </c>
      <c r="B25" t="s">
        <v>10</v>
      </c>
      <c r="C25" t="s">
        <v>112</v>
      </c>
      <c r="D25">
        <v>74.007000000000005</v>
      </c>
      <c r="G25">
        <v>73.983999999999995</v>
      </c>
      <c r="J25">
        <v>-2.3E-2</v>
      </c>
      <c r="M25">
        <v>74.106999999999999</v>
      </c>
      <c r="N25">
        <v>73.906999999999996</v>
      </c>
      <c r="O25" t="s">
        <v>105</v>
      </c>
    </row>
    <row r="26" spans="1:18" x14ac:dyDescent="0.4">
      <c r="A26">
        <v>20</v>
      </c>
      <c r="B26" t="s">
        <v>11</v>
      </c>
      <c r="C26" t="s">
        <v>112</v>
      </c>
      <c r="D26">
        <v>126</v>
      </c>
      <c r="G26">
        <v>125.9354</v>
      </c>
      <c r="J26">
        <v>-6.4600000000000005E-2</v>
      </c>
      <c r="M26">
        <v>126.1</v>
      </c>
      <c r="N26">
        <v>125.9</v>
      </c>
      <c r="O26" t="s">
        <v>105</v>
      </c>
    </row>
    <row r="27" spans="1:18" x14ac:dyDescent="0.4">
      <c r="A27">
        <v>21</v>
      </c>
      <c r="B27" t="s">
        <v>12</v>
      </c>
      <c r="C27" t="s">
        <v>112</v>
      </c>
      <c r="D27">
        <v>124.004</v>
      </c>
      <c r="G27">
        <v>123.9272</v>
      </c>
      <c r="J27">
        <v>-7.6799999999999993E-2</v>
      </c>
      <c r="M27">
        <v>124.104</v>
      </c>
      <c r="N27">
        <v>123.904</v>
      </c>
      <c r="O27" t="s">
        <v>105</v>
      </c>
    </row>
    <row r="28" spans="1:18" x14ac:dyDescent="0.4">
      <c r="A28">
        <v>22</v>
      </c>
      <c r="B28" t="s">
        <v>13</v>
      </c>
      <c r="C28" t="s">
        <v>112</v>
      </c>
      <c r="D28">
        <v>145.262</v>
      </c>
      <c r="G28">
        <v>145.21719999999999</v>
      </c>
      <c r="J28">
        <v>-4.48E-2</v>
      </c>
      <c r="M28">
        <v>145.36199999999999</v>
      </c>
      <c r="N28">
        <v>145.16200000000001</v>
      </c>
      <c r="O28" t="s">
        <v>105</v>
      </c>
    </row>
    <row r="29" spans="1:18" x14ac:dyDescent="0.4">
      <c r="A29">
        <v>23</v>
      </c>
      <c r="B29" t="s">
        <v>14</v>
      </c>
      <c r="C29" t="s">
        <v>112</v>
      </c>
      <c r="D29">
        <v>145.774</v>
      </c>
      <c r="G29">
        <v>145.67519999999999</v>
      </c>
      <c r="J29">
        <v>-9.8799999999999999E-2</v>
      </c>
      <c r="M29">
        <v>145.874</v>
      </c>
      <c r="N29">
        <v>145.67400000000001</v>
      </c>
      <c r="O29" t="s">
        <v>105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6317F-830C-45AA-A197-4BB04F539062}">
  <dimension ref="A1:R29"/>
  <sheetViews>
    <sheetView workbookViewId="0"/>
  </sheetViews>
  <sheetFormatPr defaultRowHeight="14.6" x14ac:dyDescent="0.4"/>
  <cols>
    <col min="1" max="1" width="24.23046875" bestFit="1" customWidth="1"/>
    <col min="2" max="2" width="13.921875" bestFit="1" customWidth="1"/>
    <col min="3" max="3" width="17.53515625" bestFit="1" customWidth="1"/>
    <col min="4" max="4" width="7.84375" bestFit="1" customWidth="1"/>
    <col min="5" max="5" width="5.4609375" bestFit="1" customWidth="1"/>
    <col min="6" max="6" width="1.84375" bestFit="1" customWidth="1"/>
    <col min="7" max="7" width="8.84375" bestFit="1" customWidth="1"/>
    <col min="8" max="8" width="8.4609375" bestFit="1" customWidth="1"/>
    <col min="9" max="9" width="6.84375" bestFit="1" customWidth="1"/>
    <col min="10" max="10" width="7.4609375" bestFit="1" customWidth="1"/>
    <col min="11" max="12" width="6.84375" bestFit="1" customWidth="1"/>
    <col min="13" max="14" width="7.84375" bestFit="1" customWidth="1"/>
    <col min="15" max="15" width="4.84375" bestFit="1" customWidth="1"/>
    <col min="16" max="16" width="6.84375" bestFit="1" customWidth="1"/>
    <col min="17" max="18" width="4.84375" bestFit="1" customWidth="1"/>
  </cols>
  <sheetData>
    <row r="1" spans="1:18" x14ac:dyDescent="0.4">
      <c r="A1" t="s">
        <v>91</v>
      </c>
      <c r="B1" t="s">
        <v>92</v>
      </c>
    </row>
    <row r="2" spans="1:18" x14ac:dyDescent="0.4">
      <c r="A2" t="s">
        <v>93</v>
      </c>
      <c r="B2" t="s">
        <v>94</v>
      </c>
    </row>
    <row r="3" spans="1:18" x14ac:dyDescent="0.4">
      <c r="A3" t="s">
        <v>95</v>
      </c>
      <c r="B3" t="s">
        <v>116</v>
      </c>
    </row>
    <row r="4" spans="1:18" x14ac:dyDescent="0.4">
      <c r="A4" t="s">
        <v>97</v>
      </c>
      <c r="B4" t="s">
        <v>98</v>
      </c>
    </row>
    <row r="5" spans="1:18" x14ac:dyDescent="0.4">
      <c r="A5" t="s">
        <v>99</v>
      </c>
    </row>
    <row r="6" spans="1:18" x14ac:dyDescent="0.4">
      <c r="A6" t="s">
        <v>100</v>
      </c>
    </row>
    <row r="7" spans="1:18" x14ac:dyDescent="0.4">
      <c r="A7" t="s">
        <v>101</v>
      </c>
    </row>
    <row r="8" spans="1:18" x14ac:dyDescent="0.4">
      <c r="A8" t="s">
        <v>93</v>
      </c>
    </row>
    <row r="9" spans="1:18" x14ac:dyDescent="0.4">
      <c r="A9" t="s">
        <v>102</v>
      </c>
    </row>
    <row r="10" spans="1:18" x14ac:dyDescent="0.4">
      <c r="A10">
        <v>4</v>
      </c>
      <c r="B10" t="s">
        <v>103</v>
      </c>
      <c r="C10" t="s">
        <v>104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105</v>
      </c>
    </row>
    <row r="11" spans="1:18" x14ac:dyDescent="0.4">
      <c r="A11">
        <v>5</v>
      </c>
      <c r="B11" t="s">
        <v>106</v>
      </c>
      <c r="C11" t="s">
        <v>104</v>
      </c>
      <c r="D11">
        <v>62.5</v>
      </c>
      <c r="E11">
        <v>37.5</v>
      </c>
      <c r="F11">
        <v>0</v>
      </c>
      <c r="G11">
        <v>62.483800000000002</v>
      </c>
      <c r="H11">
        <v>37.516100000000002</v>
      </c>
      <c r="I11">
        <v>8.2799999999999999E-2</v>
      </c>
      <c r="J11">
        <v>-1.6199999999999999E-2</v>
      </c>
      <c r="K11">
        <v>1.61E-2</v>
      </c>
      <c r="L11">
        <v>8.2799999999999999E-2</v>
      </c>
      <c r="P11">
        <v>0.1719</v>
      </c>
      <c r="Q11">
        <v>0.05</v>
      </c>
      <c r="R11" t="s">
        <v>107</v>
      </c>
    </row>
    <row r="12" spans="1:18" x14ac:dyDescent="0.4">
      <c r="A12">
        <v>6</v>
      </c>
      <c r="B12" t="s">
        <v>108</v>
      </c>
      <c r="C12" t="s">
        <v>104</v>
      </c>
      <c r="D12">
        <v>-63.5</v>
      </c>
      <c r="E12">
        <v>37.5</v>
      </c>
      <c r="F12">
        <v>0</v>
      </c>
      <c r="G12">
        <v>-63.451000000000001</v>
      </c>
      <c r="H12">
        <v>37.516100000000002</v>
      </c>
      <c r="I12">
        <v>6.9099999999999995E-2</v>
      </c>
      <c r="J12">
        <v>4.9000000000000002E-2</v>
      </c>
      <c r="K12">
        <v>1.61E-2</v>
      </c>
      <c r="L12">
        <v>6.9099999999999995E-2</v>
      </c>
      <c r="P12">
        <v>0.17249999999999999</v>
      </c>
      <c r="Q12">
        <v>0.05</v>
      </c>
      <c r="R12" t="s">
        <v>107</v>
      </c>
    </row>
    <row r="13" spans="1:18" x14ac:dyDescent="0.4">
      <c r="A13">
        <v>7</v>
      </c>
      <c r="B13" t="s">
        <v>109</v>
      </c>
      <c r="C13" t="s">
        <v>104</v>
      </c>
      <c r="D13">
        <v>-62.5</v>
      </c>
      <c r="E13">
        <v>-36.5</v>
      </c>
      <c r="F13">
        <v>0</v>
      </c>
      <c r="G13">
        <v>-62.4786</v>
      </c>
      <c r="H13">
        <v>-36.461399999999998</v>
      </c>
      <c r="I13">
        <v>8.3000000000000004E-2</v>
      </c>
      <c r="J13">
        <v>2.1399999999999999E-2</v>
      </c>
      <c r="K13">
        <v>3.8600000000000002E-2</v>
      </c>
      <c r="L13">
        <v>8.3000000000000004E-2</v>
      </c>
      <c r="P13">
        <v>0.18809999999999999</v>
      </c>
      <c r="Q13">
        <v>0.05</v>
      </c>
      <c r="R13" t="s">
        <v>107</v>
      </c>
    </row>
    <row r="14" spans="1:18" x14ac:dyDescent="0.4">
      <c r="A14">
        <v>8</v>
      </c>
      <c r="B14" t="s">
        <v>110</v>
      </c>
      <c r="C14" t="s">
        <v>104</v>
      </c>
      <c r="D14">
        <v>61.5</v>
      </c>
      <c r="E14">
        <v>-37.5</v>
      </c>
      <c r="F14">
        <v>0</v>
      </c>
      <c r="G14">
        <v>61.445399999999999</v>
      </c>
      <c r="H14">
        <v>-37.463700000000003</v>
      </c>
      <c r="I14">
        <v>6.9500000000000006E-2</v>
      </c>
      <c r="J14">
        <v>-5.4600000000000003E-2</v>
      </c>
      <c r="K14">
        <v>3.6299999999999999E-2</v>
      </c>
      <c r="L14">
        <v>6.9500000000000006E-2</v>
      </c>
      <c r="P14">
        <v>0.19109999999999999</v>
      </c>
      <c r="Q14">
        <v>0.05</v>
      </c>
      <c r="R14" t="s">
        <v>107</v>
      </c>
    </row>
    <row r="15" spans="1:18" x14ac:dyDescent="0.4">
      <c r="A15">
        <v>9</v>
      </c>
      <c r="B15" t="s">
        <v>0</v>
      </c>
      <c r="C15" t="s">
        <v>111</v>
      </c>
      <c r="D15">
        <v>25.4</v>
      </c>
      <c r="G15">
        <v>25.398800000000001</v>
      </c>
      <c r="J15">
        <v>-1.1999999999999999E-3</v>
      </c>
      <c r="M15">
        <v>25.5</v>
      </c>
      <c r="N15">
        <v>25.3</v>
      </c>
      <c r="O15" t="s">
        <v>105</v>
      </c>
      <c r="P15">
        <v>4.8999999999999998E-3</v>
      </c>
      <c r="Q15">
        <v>0.05</v>
      </c>
      <c r="R15" t="s">
        <v>105</v>
      </c>
    </row>
    <row r="16" spans="1:18" x14ac:dyDescent="0.4">
      <c r="A16">
        <v>10</v>
      </c>
      <c r="B16" t="s">
        <v>1</v>
      </c>
      <c r="C16" t="s">
        <v>111</v>
      </c>
      <c r="D16">
        <v>25.4</v>
      </c>
      <c r="G16">
        <v>25.402699999999999</v>
      </c>
      <c r="J16">
        <v>2.7000000000000001E-3</v>
      </c>
      <c r="M16">
        <v>25.5</v>
      </c>
      <c r="N16">
        <v>25.3</v>
      </c>
      <c r="O16" t="s">
        <v>105</v>
      </c>
      <c r="P16">
        <v>5.4999999999999997E-3</v>
      </c>
      <c r="Q16">
        <v>0.05</v>
      </c>
      <c r="R16" t="s">
        <v>105</v>
      </c>
    </row>
    <row r="17" spans="1:18" x14ac:dyDescent="0.4">
      <c r="A17">
        <v>11</v>
      </c>
      <c r="B17" t="s">
        <v>2</v>
      </c>
      <c r="C17" t="s">
        <v>111</v>
      </c>
      <c r="D17">
        <v>25.4</v>
      </c>
      <c r="G17">
        <v>25.4024</v>
      </c>
      <c r="J17">
        <v>2.3999999999999998E-3</v>
      </c>
      <c r="M17">
        <v>25.5</v>
      </c>
      <c r="N17">
        <v>25.3</v>
      </c>
      <c r="O17" t="s">
        <v>105</v>
      </c>
      <c r="P17">
        <v>4.4999999999999997E-3</v>
      </c>
      <c r="Q17">
        <v>0.05</v>
      </c>
      <c r="R17" t="s">
        <v>105</v>
      </c>
    </row>
    <row r="18" spans="1:18" x14ac:dyDescent="0.4">
      <c r="A18">
        <v>12</v>
      </c>
      <c r="B18" t="s">
        <v>3</v>
      </c>
      <c r="C18" t="s">
        <v>111</v>
      </c>
      <c r="D18">
        <v>25.4</v>
      </c>
      <c r="G18">
        <v>25.4057</v>
      </c>
      <c r="J18">
        <v>5.7000000000000002E-3</v>
      </c>
      <c r="M18">
        <v>25.5</v>
      </c>
      <c r="N18">
        <v>25.3</v>
      </c>
      <c r="O18" t="s">
        <v>105</v>
      </c>
      <c r="P18">
        <v>4.8999999999999998E-3</v>
      </c>
      <c r="Q18">
        <v>0.05</v>
      </c>
      <c r="R18" t="s">
        <v>105</v>
      </c>
    </row>
    <row r="19" spans="1:18" x14ac:dyDescent="0.4">
      <c r="A19">
        <v>13</v>
      </c>
      <c r="B19" t="s">
        <v>4</v>
      </c>
      <c r="C19" t="s">
        <v>111</v>
      </c>
      <c r="D19">
        <v>25.4</v>
      </c>
      <c r="G19">
        <v>25.402200000000001</v>
      </c>
      <c r="J19">
        <v>2.2000000000000001E-3</v>
      </c>
      <c r="M19">
        <v>25.5</v>
      </c>
      <c r="N19">
        <v>25.3</v>
      </c>
      <c r="O19" t="s">
        <v>105</v>
      </c>
      <c r="P19">
        <v>4.7000000000000002E-3</v>
      </c>
      <c r="Q19">
        <v>0.05</v>
      </c>
      <c r="R19" t="s">
        <v>105</v>
      </c>
    </row>
    <row r="20" spans="1:18" x14ac:dyDescent="0.4">
      <c r="A20">
        <v>14</v>
      </c>
      <c r="B20" t="s">
        <v>5</v>
      </c>
      <c r="C20" t="s">
        <v>112</v>
      </c>
      <c r="D20">
        <v>72.887</v>
      </c>
      <c r="G20">
        <v>72.881299999999996</v>
      </c>
      <c r="J20">
        <v>-5.7000000000000002E-3</v>
      </c>
      <c r="M20">
        <v>72.986999999999995</v>
      </c>
      <c r="N20">
        <v>72.787000000000006</v>
      </c>
      <c r="O20" t="s">
        <v>105</v>
      </c>
    </row>
    <row r="21" spans="1:18" x14ac:dyDescent="0.4">
      <c r="A21">
        <v>15</v>
      </c>
      <c r="B21" t="s">
        <v>6</v>
      </c>
      <c r="C21" t="s">
        <v>112</v>
      </c>
      <c r="D21">
        <v>73.745999999999995</v>
      </c>
      <c r="G21">
        <v>73.712199999999996</v>
      </c>
      <c r="J21">
        <v>-3.3799999999999997E-2</v>
      </c>
      <c r="M21">
        <v>73.846000000000004</v>
      </c>
      <c r="N21">
        <v>73.646000000000001</v>
      </c>
      <c r="O21" t="s">
        <v>105</v>
      </c>
    </row>
    <row r="22" spans="1:18" x14ac:dyDescent="0.4">
      <c r="A22">
        <v>16</v>
      </c>
      <c r="B22" t="s">
        <v>7</v>
      </c>
      <c r="C22" t="s">
        <v>112</v>
      </c>
      <c r="D22">
        <v>72.376999999999995</v>
      </c>
      <c r="G22">
        <v>72.339600000000004</v>
      </c>
      <c r="J22">
        <v>-3.7400000000000003E-2</v>
      </c>
      <c r="M22">
        <v>72.477000000000004</v>
      </c>
      <c r="N22">
        <v>72.277000000000001</v>
      </c>
      <c r="O22" t="s">
        <v>105</v>
      </c>
    </row>
    <row r="23" spans="1:18" x14ac:dyDescent="0.4">
      <c r="A23">
        <v>17</v>
      </c>
      <c r="B23" t="s">
        <v>8</v>
      </c>
      <c r="C23" t="s">
        <v>112</v>
      </c>
      <c r="D23">
        <v>72.031000000000006</v>
      </c>
      <c r="G23">
        <v>71.965800000000002</v>
      </c>
      <c r="J23">
        <v>-6.5199999999999994E-2</v>
      </c>
      <c r="M23">
        <v>72.131</v>
      </c>
      <c r="N23">
        <v>71.930999999999997</v>
      </c>
      <c r="O23" t="s">
        <v>105</v>
      </c>
    </row>
    <row r="24" spans="1:18" x14ac:dyDescent="0.4">
      <c r="A24">
        <v>18</v>
      </c>
      <c r="B24" t="s">
        <v>9</v>
      </c>
      <c r="C24" t="s">
        <v>112</v>
      </c>
      <c r="D24">
        <v>75.007000000000005</v>
      </c>
      <c r="G24">
        <v>74.986999999999995</v>
      </c>
      <c r="J24">
        <v>-0.02</v>
      </c>
      <c r="M24">
        <v>75.106999999999999</v>
      </c>
      <c r="N24">
        <v>74.906999999999996</v>
      </c>
      <c r="O24" t="s">
        <v>105</v>
      </c>
    </row>
    <row r="25" spans="1:18" x14ac:dyDescent="0.4">
      <c r="A25">
        <v>19</v>
      </c>
      <c r="B25" t="s">
        <v>10</v>
      </c>
      <c r="C25" t="s">
        <v>112</v>
      </c>
      <c r="D25">
        <v>74.007000000000005</v>
      </c>
      <c r="G25">
        <v>73.983800000000002</v>
      </c>
      <c r="J25">
        <v>-2.3199999999999998E-2</v>
      </c>
      <c r="M25">
        <v>74.106999999999999</v>
      </c>
      <c r="N25">
        <v>73.906999999999996</v>
      </c>
      <c r="O25" t="s">
        <v>105</v>
      </c>
    </row>
    <row r="26" spans="1:18" x14ac:dyDescent="0.4">
      <c r="A26">
        <v>20</v>
      </c>
      <c r="B26" t="s">
        <v>11</v>
      </c>
      <c r="C26" t="s">
        <v>112</v>
      </c>
      <c r="D26">
        <v>126</v>
      </c>
      <c r="G26">
        <v>125.93470000000001</v>
      </c>
      <c r="J26">
        <v>-6.5299999999999997E-2</v>
      </c>
      <c r="M26">
        <v>126.1</v>
      </c>
      <c r="N26">
        <v>125.9</v>
      </c>
      <c r="O26" t="s">
        <v>105</v>
      </c>
    </row>
    <row r="27" spans="1:18" x14ac:dyDescent="0.4">
      <c r="A27">
        <v>21</v>
      </c>
      <c r="B27" t="s">
        <v>12</v>
      </c>
      <c r="C27" t="s">
        <v>112</v>
      </c>
      <c r="D27">
        <v>124.004</v>
      </c>
      <c r="G27">
        <v>123.9281</v>
      </c>
      <c r="J27">
        <v>-7.5899999999999995E-2</v>
      </c>
      <c r="M27">
        <v>124.104</v>
      </c>
      <c r="N27">
        <v>123.904</v>
      </c>
      <c r="O27" t="s">
        <v>105</v>
      </c>
    </row>
    <row r="28" spans="1:18" x14ac:dyDescent="0.4">
      <c r="A28">
        <v>22</v>
      </c>
      <c r="B28" t="s">
        <v>13</v>
      </c>
      <c r="C28" t="s">
        <v>112</v>
      </c>
      <c r="D28">
        <v>145.262</v>
      </c>
      <c r="G28">
        <v>145.21799999999999</v>
      </c>
      <c r="J28">
        <v>-4.3999999999999997E-2</v>
      </c>
      <c r="M28">
        <v>145.36199999999999</v>
      </c>
      <c r="N28">
        <v>145.16200000000001</v>
      </c>
      <c r="O28" t="s">
        <v>105</v>
      </c>
    </row>
    <row r="29" spans="1:18" x14ac:dyDescent="0.4">
      <c r="A29">
        <v>23</v>
      </c>
      <c r="B29" t="s">
        <v>14</v>
      </c>
      <c r="C29" t="s">
        <v>112</v>
      </c>
      <c r="D29">
        <v>145.774</v>
      </c>
      <c r="G29">
        <v>145.6746</v>
      </c>
      <c r="J29">
        <v>-9.9400000000000002E-2</v>
      </c>
      <c r="M29">
        <v>145.874</v>
      </c>
      <c r="N29">
        <v>145.67400000000001</v>
      </c>
      <c r="O29" t="s">
        <v>105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3CA83-7DD2-46EA-9B50-01A7B3F26AEA}">
  <dimension ref="A1:R29"/>
  <sheetViews>
    <sheetView workbookViewId="0"/>
  </sheetViews>
  <sheetFormatPr defaultRowHeight="14.6" x14ac:dyDescent="0.4"/>
  <cols>
    <col min="1" max="1" width="24.23046875" bestFit="1" customWidth="1"/>
    <col min="2" max="2" width="13.921875" bestFit="1" customWidth="1"/>
    <col min="3" max="3" width="17.53515625" bestFit="1" customWidth="1"/>
    <col min="4" max="4" width="7.84375" bestFit="1" customWidth="1"/>
    <col min="5" max="5" width="5.4609375" bestFit="1" customWidth="1"/>
    <col min="6" max="6" width="1.84375" bestFit="1" customWidth="1"/>
    <col min="7" max="7" width="8.84375" bestFit="1" customWidth="1"/>
    <col min="8" max="8" width="8.4609375" bestFit="1" customWidth="1"/>
    <col min="9" max="9" width="6.84375" bestFit="1" customWidth="1"/>
    <col min="10" max="10" width="7.4609375" bestFit="1" customWidth="1"/>
    <col min="11" max="12" width="6.84375" bestFit="1" customWidth="1"/>
    <col min="13" max="14" width="7.84375" bestFit="1" customWidth="1"/>
    <col min="15" max="15" width="4.84375" bestFit="1" customWidth="1"/>
    <col min="16" max="16" width="6.84375" bestFit="1" customWidth="1"/>
    <col min="17" max="18" width="4.84375" bestFit="1" customWidth="1"/>
  </cols>
  <sheetData>
    <row r="1" spans="1:18" x14ac:dyDescent="0.4">
      <c r="A1" t="s">
        <v>91</v>
      </c>
      <c r="B1" t="s">
        <v>92</v>
      </c>
    </row>
    <row r="2" spans="1:18" x14ac:dyDescent="0.4">
      <c r="A2" t="s">
        <v>93</v>
      </c>
      <c r="B2" t="s">
        <v>94</v>
      </c>
    </row>
    <row r="3" spans="1:18" x14ac:dyDescent="0.4">
      <c r="A3" t="s">
        <v>95</v>
      </c>
      <c r="B3" t="s">
        <v>117</v>
      </c>
    </row>
    <row r="4" spans="1:18" x14ac:dyDescent="0.4">
      <c r="A4" t="s">
        <v>97</v>
      </c>
      <c r="B4" t="s">
        <v>114</v>
      </c>
    </row>
    <row r="5" spans="1:18" x14ac:dyDescent="0.4">
      <c r="A5" t="s">
        <v>99</v>
      </c>
    </row>
    <row r="6" spans="1:18" x14ac:dyDescent="0.4">
      <c r="A6" t="s">
        <v>100</v>
      </c>
    </row>
    <row r="7" spans="1:18" x14ac:dyDescent="0.4">
      <c r="A7" t="s">
        <v>101</v>
      </c>
    </row>
    <row r="8" spans="1:18" x14ac:dyDescent="0.4">
      <c r="A8" t="s">
        <v>93</v>
      </c>
    </row>
    <row r="9" spans="1:18" x14ac:dyDescent="0.4">
      <c r="A9" t="s">
        <v>102</v>
      </c>
    </row>
    <row r="10" spans="1:18" x14ac:dyDescent="0.4">
      <c r="A10">
        <v>4</v>
      </c>
      <c r="B10" t="s">
        <v>103</v>
      </c>
      <c r="C10" t="s">
        <v>104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105</v>
      </c>
    </row>
    <row r="11" spans="1:18" x14ac:dyDescent="0.4">
      <c r="A11">
        <v>5</v>
      </c>
      <c r="B11" t="s">
        <v>106</v>
      </c>
      <c r="C11" t="s">
        <v>104</v>
      </c>
      <c r="D11">
        <v>62.5</v>
      </c>
      <c r="E11">
        <v>37.5</v>
      </c>
      <c r="F11">
        <v>0</v>
      </c>
      <c r="G11">
        <v>62.484000000000002</v>
      </c>
      <c r="H11">
        <v>37.515999999999998</v>
      </c>
      <c r="I11">
        <v>8.2400000000000001E-2</v>
      </c>
      <c r="J11">
        <v>-1.6E-2</v>
      </c>
      <c r="K11">
        <v>1.6E-2</v>
      </c>
      <c r="L11">
        <v>8.2400000000000001E-2</v>
      </c>
      <c r="P11">
        <v>0.17080000000000001</v>
      </c>
      <c r="Q11">
        <v>0.05</v>
      </c>
      <c r="R11" t="s">
        <v>107</v>
      </c>
    </row>
    <row r="12" spans="1:18" x14ac:dyDescent="0.4">
      <c r="A12">
        <v>6</v>
      </c>
      <c r="B12" t="s">
        <v>108</v>
      </c>
      <c r="C12" t="s">
        <v>104</v>
      </c>
      <c r="D12">
        <v>-63.5</v>
      </c>
      <c r="E12">
        <v>37.5</v>
      </c>
      <c r="F12">
        <v>0</v>
      </c>
      <c r="G12">
        <v>-63.4512</v>
      </c>
      <c r="H12">
        <v>37.515999999999998</v>
      </c>
      <c r="I12">
        <v>6.83E-2</v>
      </c>
      <c r="J12">
        <v>4.8800000000000003E-2</v>
      </c>
      <c r="K12">
        <v>1.6E-2</v>
      </c>
      <c r="L12">
        <v>6.83E-2</v>
      </c>
      <c r="P12">
        <v>0.17080000000000001</v>
      </c>
      <c r="Q12">
        <v>0.05</v>
      </c>
      <c r="R12" t="s">
        <v>107</v>
      </c>
    </row>
    <row r="13" spans="1:18" x14ac:dyDescent="0.4">
      <c r="A13">
        <v>7</v>
      </c>
      <c r="B13" t="s">
        <v>109</v>
      </c>
      <c r="C13" t="s">
        <v>104</v>
      </c>
      <c r="D13">
        <v>-62.5</v>
      </c>
      <c r="E13">
        <v>-36.5</v>
      </c>
      <c r="F13">
        <v>0</v>
      </c>
      <c r="G13">
        <v>-62.478999999999999</v>
      </c>
      <c r="H13">
        <v>-36.4617</v>
      </c>
      <c r="I13">
        <v>8.2600000000000007E-2</v>
      </c>
      <c r="J13">
        <v>2.1000000000000001E-2</v>
      </c>
      <c r="K13">
        <v>3.8300000000000001E-2</v>
      </c>
      <c r="L13">
        <v>8.2600000000000007E-2</v>
      </c>
      <c r="P13">
        <v>0.18679999999999999</v>
      </c>
      <c r="Q13">
        <v>0.05</v>
      </c>
      <c r="R13" t="s">
        <v>107</v>
      </c>
    </row>
    <row r="14" spans="1:18" x14ac:dyDescent="0.4">
      <c r="A14">
        <v>8</v>
      </c>
      <c r="B14" t="s">
        <v>110</v>
      </c>
      <c r="C14" t="s">
        <v>104</v>
      </c>
      <c r="D14">
        <v>61.5</v>
      </c>
      <c r="E14">
        <v>-37.5</v>
      </c>
      <c r="F14">
        <v>0</v>
      </c>
      <c r="G14">
        <v>61.444200000000002</v>
      </c>
      <c r="H14">
        <v>-37.464399999999998</v>
      </c>
      <c r="I14">
        <v>6.8699999999999997E-2</v>
      </c>
      <c r="J14">
        <v>-5.5800000000000002E-2</v>
      </c>
      <c r="K14">
        <v>3.56E-2</v>
      </c>
      <c r="L14">
        <v>6.8699999999999997E-2</v>
      </c>
      <c r="P14">
        <v>0.1908</v>
      </c>
      <c r="Q14">
        <v>0.05</v>
      </c>
      <c r="R14" t="s">
        <v>107</v>
      </c>
    </row>
    <row r="15" spans="1:18" x14ac:dyDescent="0.4">
      <c r="A15">
        <v>9</v>
      </c>
      <c r="B15" t="s">
        <v>0</v>
      </c>
      <c r="C15" t="s">
        <v>111</v>
      </c>
      <c r="D15">
        <v>25.4</v>
      </c>
      <c r="G15">
        <v>25.3993</v>
      </c>
      <c r="J15">
        <v>-6.9999999999999999E-4</v>
      </c>
      <c r="M15">
        <v>25.5</v>
      </c>
      <c r="N15">
        <v>25.3</v>
      </c>
      <c r="O15" t="s">
        <v>105</v>
      </c>
      <c r="P15">
        <v>5.1000000000000004E-3</v>
      </c>
      <c r="Q15">
        <v>0.05</v>
      </c>
      <c r="R15" t="s">
        <v>105</v>
      </c>
    </row>
    <row r="16" spans="1:18" x14ac:dyDescent="0.4">
      <c r="A16">
        <v>10</v>
      </c>
      <c r="B16" t="s">
        <v>1</v>
      </c>
      <c r="C16" t="s">
        <v>111</v>
      </c>
      <c r="D16">
        <v>25.4</v>
      </c>
      <c r="G16">
        <v>25.402999999999999</v>
      </c>
      <c r="J16">
        <v>3.0000000000000001E-3</v>
      </c>
      <c r="M16">
        <v>25.5</v>
      </c>
      <c r="N16">
        <v>25.3</v>
      </c>
      <c r="O16" t="s">
        <v>105</v>
      </c>
      <c r="P16">
        <v>7.6E-3</v>
      </c>
      <c r="Q16">
        <v>0.05</v>
      </c>
      <c r="R16" t="s">
        <v>105</v>
      </c>
    </row>
    <row r="17" spans="1:18" x14ac:dyDescent="0.4">
      <c r="A17">
        <v>11</v>
      </c>
      <c r="B17" t="s">
        <v>2</v>
      </c>
      <c r="C17" t="s">
        <v>111</v>
      </c>
      <c r="D17">
        <v>25.4</v>
      </c>
      <c r="G17">
        <v>25.402899999999999</v>
      </c>
      <c r="J17">
        <v>2.8999999999999998E-3</v>
      </c>
      <c r="M17">
        <v>25.5</v>
      </c>
      <c r="N17">
        <v>25.3</v>
      </c>
      <c r="O17" t="s">
        <v>105</v>
      </c>
      <c r="P17">
        <v>5.8999999999999999E-3</v>
      </c>
      <c r="Q17">
        <v>0.05</v>
      </c>
      <c r="R17" t="s">
        <v>105</v>
      </c>
    </row>
    <row r="18" spans="1:18" x14ac:dyDescent="0.4">
      <c r="A18">
        <v>12</v>
      </c>
      <c r="B18" t="s">
        <v>3</v>
      </c>
      <c r="C18" t="s">
        <v>111</v>
      </c>
      <c r="D18">
        <v>25.4</v>
      </c>
      <c r="G18">
        <v>25.405100000000001</v>
      </c>
      <c r="J18">
        <v>5.1000000000000004E-3</v>
      </c>
      <c r="M18">
        <v>25.5</v>
      </c>
      <c r="N18">
        <v>25.3</v>
      </c>
      <c r="O18" t="s">
        <v>105</v>
      </c>
      <c r="P18">
        <v>6.8999999999999999E-3</v>
      </c>
      <c r="Q18">
        <v>0.05</v>
      </c>
      <c r="R18" t="s">
        <v>105</v>
      </c>
    </row>
    <row r="19" spans="1:18" x14ac:dyDescent="0.4">
      <c r="A19">
        <v>13</v>
      </c>
      <c r="B19" t="s">
        <v>4</v>
      </c>
      <c r="C19" t="s">
        <v>111</v>
      </c>
      <c r="D19">
        <v>25.4</v>
      </c>
      <c r="G19">
        <v>25.402999999999999</v>
      </c>
      <c r="J19">
        <v>3.0000000000000001E-3</v>
      </c>
      <c r="M19">
        <v>25.5</v>
      </c>
      <c r="N19">
        <v>25.3</v>
      </c>
      <c r="O19" t="s">
        <v>105</v>
      </c>
      <c r="P19">
        <v>4.0000000000000001E-3</v>
      </c>
      <c r="Q19">
        <v>0.05</v>
      </c>
      <c r="R19" t="s">
        <v>105</v>
      </c>
    </row>
    <row r="20" spans="1:18" x14ac:dyDescent="0.4">
      <c r="A20">
        <v>14</v>
      </c>
      <c r="B20" t="s">
        <v>5</v>
      </c>
      <c r="C20" t="s">
        <v>112</v>
      </c>
      <c r="D20">
        <v>72.887</v>
      </c>
      <c r="G20">
        <v>72.881500000000003</v>
      </c>
      <c r="J20">
        <v>-5.4999999999999997E-3</v>
      </c>
      <c r="M20">
        <v>72.986999999999995</v>
      </c>
      <c r="N20">
        <v>72.787000000000006</v>
      </c>
      <c r="O20" t="s">
        <v>105</v>
      </c>
    </row>
    <row r="21" spans="1:18" x14ac:dyDescent="0.4">
      <c r="A21">
        <v>15</v>
      </c>
      <c r="B21" t="s">
        <v>6</v>
      </c>
      <c r="C21" t="s">
        <v>112</v>
      </c>
      <c r="D21">
        <v>73.745999999999995</v>
      </c>
      <c r="G21">
        <v>73.712400000000002</v>
      </c>
      <c r="J21">
        <v>-3.3599999999999998E-2</v>
      </c>
      <c r="M21">
        <v>73.846000000000004</v>
      </c>
      <c r="N21">
        <v>73.646000000000001</v>
      </c>
      <c r="O21" t="s">
        <v>105</v>
      </c>
    </row>
    <row r="22" spans="1:18" x14ac:dyDescent="0.4">
      <c r="A22">
        <v>16</v>
      </c>
      <c r="B22" t="s">
        <v>7</v>
      </c>
      <c r="C22" t="s">
        <v>112</v>
      </c>
      <c r="D22">
        <v>72.376999999999995</v>
      </c>
      <c r="G22">
        <v>72.340100000000007</v>
      </c>
      <c r="J22">
        <v>-3.6900000000000002E-2</v>
      </c>
      <c r="M22">
        <v>72.477000000000004</v>
      </c>
      <c r="N22">
        <v>72.277000000000001</v>
      </c>
      <c r="O22" t="s">
        <v>105</v>
      </c>
    </row>
    <row r="23" spans="1:18" x14ac:dyDescent="0.4">
      <c r="A23">
        <v>17</v>
      </c>
      <c r="B23" t="s">
        <v>8</v>
      </c>
      <c r="C23" t="s">
        <v>112</v>
      </c>
      <c r="D23">
        <v>72.031000000000006</v>
      </c>
      <c r="G23">
        <v>71.965100000000007</v>
      </c>
      <c r="J23">
        <v>-6.59E-2</v>
      </c>
      <c r="M23">
        <v>72.131</v>
      </c>
      <c r="N23">
        <v>71.930999999999997</v>
      </c>
      <c r="O23" t="s">
        <v>105</v>
      </c>
    </row>
    <row r="24" spans="1:18" x14ac:dyDescent="0.4">
      <c r="A24">
        <v>18</v>
      </c>
      <c r="B24" t="s">
        <v>9</v>
      </c>
      <c r="C24" t="s">
        <v>112</v>
      </c>
      <c r="D24">
        <v>75.007000000000005</v>
      </c>
      <c r="G24">
        <v>74.9876</v>
      </c>
      <c r="J24">
        <v>-1.9400000000000001E-2</v>
      </c>
      <c r="M24">
        <v>75.106999999999999</v>
      </c>
      <c r="N24">
        <v>74.906999999999996</v>
      </c>
      <c r="O24" t="s">
        <v>105</v>
      </c>
    </row>
    <row r="25" spans="1:18" x14ac:dyDescent="0.4">
      <c r="A25">
        <v>19</v>
      </c>
      <c r="B25" t="s">
        <v>10</v>
      </c>
      <c r="C25" t="s">
        <v>112</v>
      </c>
      <c r="D25">
        <v>74.007000000000005</v>
      </c>
      <c r="G25">
        <v>73.984099999999998</v>
      </c>
      <c r="J25">
        <v>-2.29E-2</v>
      </c>
      <c r="M25">
        <v>74.106999999999999</v>
      </c>
      <c r="N25">
        <v>73.906999999999996</v>
      </c>
      <c r="O25" t="s">
        <v>105</v>
      </c>
    </row>
    <row r="26" spans="1:18" x14ac:dyDescent="0.4">
      <c r="A26">
        <v>20</v>
      </c>
      <c r="B26" t="s">
        <v>11</v>
      </c>
      <c r="C26" t="s">
        <v>112</v>
      </c>
      <c r="D26">
        <v>126</v>
      </c>
      <c r="G26">
        <v>125.9353</v>
      </c>
      <c r="J26">
        <v>-6.4699999999999994E-2</v>
      </c>
      <c r="M26">
        <v>126.1</v>
      </c>
      <c r="N26">
        <v>125.9</v>
      </c>
      <c r="O26" t="s">
        <v>105</v>
      </c>
    </row>
    <row r="27" spans="1:18" x14ac:dyDescent="0.4">
      <c r="A27">
        <v>21</v>
      </c>
      <c r="B27" t="s">
        <v>12</v>
      </c>
      <c r="C27" t="s">
        <v>112</v>
      </c>
      <c r="D27">
        <v>124.004</v>
      </c>
      <c r="G27">
        <v>123.9273</v>
      </c>
      <c r="J27">
        <v>-7.6700000000000004E-2</v>
      </c>
      <c r="M27">
        <v>124.104</v>
      </c>
      <c r="N27">
        <v>123.904</v>
      </c>
      <c r="O27" t="s">
        <v>105</v>
      </c>
    </row>
    <row r="28" spans="1:18" x14ac:dyDescent="0.4">
      <c r="A28">
        <v>22</v>
      </c>
      <c r="B28" t="s">
        <v>13</v>
      </c>
      <c r="C28" t="s">
        <v>112</v>
      </c>
      <c r="D28">
        <v>145.262</v>
      </c>
      <c r="G28">
        <v>145.21860000000001</v>
      </c>
      <c r="J28">
        <v>-4.3400000000000001E-2</v>
      </c>
      <c r="M28">
        <v>145.36199999999999</v>
      </c>
      <c r="N28">
        <v>145.16200000000001</v>
      </c>
      <c r="O28" t="s">
        <v>105</v>
      </c>
    </row>
    <row r="29" spans="1:18" x14ac:dyDescent="0.4">
      <c r="A29">
        <v>23</v>
      </c>
      <c r="B29" t="s">
        <v>14</v>
      </c>
      <c r="C29" t="s">
        <v>112</v>
      </c>
      <c r="D29">
        <v>145.774</v>
      </c>
      <c r="G29">
        <v>145.67410000000001</v>
      </c>
      <c r="J29">
        <v>-9.9900000000000003E-2</v>
      </c>
      <c r="M29">
        <v>145.874</v>
      </c>
      <c r="N29">
        <v>145.67400000000001</v>
      </c>
      <c r="O29" t="s">
        <v>105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1A4DF-7D33-4B80-AC1B-D353BDA51AB3}">
  <dimension ref="A1:R29"/>
  <sheetViews>
    <sheetView workbookViewId="0"/>
  </sheetViews>
  <sheetFormatPr defaultRowHeight="14.6" x14ac:dyDescent="0.4"/>
  <cols>
    <col min="1" max="1" width="24.23046875" bestFit="1" customWidth="1"/>
    <col min="2" max="2" width="13.921875" bestFit="1" customWidth="1"/>
    <col min="3" max="3" width="17.53515625" bestFit="1" customWidth="1"/>
    <col min="4" max="4" width="7.84375" bestFit="1" customWidth="1"/>
    <col min="5" max="5" width="5.4609375" bestFit="1" customWidth="1"/>
    <col min="6" max="6" width="1.84375" bestFit="1" customWidth="1"/>
    <col min="7" max="7" width="8.84375" bestFit="1" customWidth="1"/>
    <col min="8" max="8" width="8.4609375" bestFit="1" customWidth="1"/>
    <col min="9" max="9" width="6.84375" bestFit="1" customWidth="1"/>
    <col min="10" max="10" width="7.4609375" bestFit="1" customWidth="1"/>
    <col min="11" max="12" width="6.84375" bestFit="1" customWidth="1"/>
    <col min="13" max="14" width="7.84375" bestFit="1" customWidth="1"/>
    <col min="15" max="15" width="4.84375" bestFit="1" customWidth="1"/>
    <col min="16" max="16" width="6.84375" bestFit="1" customWidth="1"/>
    <col min="17" max="18" width="4.84375" bestFit="1" customWidth="1"/>
  </cols>
  <sheetData>
    <row r="1" spans="1:18" x14ac:dyDescent="0.4">
      <c r="A1" t="s">
        <v>91</v>
      </c>
      <c r="B1" t="s">
        <v>92</v>
      </c>
    </row>
    <row r="2" spans="1:18" x14ac:dyDescent="0.4">
      <c r="A2" t="s">
        <v>93</v>
      </c>
      <c r="B2" t="s">
        <v>94</v>
      </c>
    </row>
    <row r="3" spans="1:18" x14ac:dyDescent="0.4">
      <c r="A3" t="s">
        <v>95</v>
      </c>
      <c r="B3" t="s">
        <v>118</v>
      </c>
    </row>
    <row r="4" spans="1:18" x14ac:dyDescent="0.4">
      <c r="A4" t="s">
        <v>97</v>
      </c>
      <c r="B4" t="s">
        <v>114</v>
      </c>
    </row>
    <row r="5" spans="1:18" x14ac:dyDescent="0.4">
      <c r="A5" t="s">
        <v>99</v>
      </c>
    </row>
    <row r="6" spans="1:18" x14ac:dyDescent="0.4">
      <c r="A6" t="s">
        <v>100</v>
      </c>
    </row>
    <row r="7" spans="1:18" x14ac:dyDescent="0.4">
      <c r="A7" t="s">
        <v>101</v>
      </c>
    </row>
    <row r="8" spans="1:18" x14ac:dyDescent="0.4">
      <c r="A8" t="s">
        <v>93</v>
      </c>
    </row>
    <row r="9" spans="1:18" x14ac:dyDescent="0.4">
      <c r="A9" t="s">
        <v>102</v>
      </c>
    </row>
    <row r="10" spans="1:18" x14ac:dyDescent="0.4">
      <c r="A10">
        <v>4</v>
      </c>
      <c r="B10" t="s">
        <v>103</v>
      </c>
      <c r="C10" t="s">
        <v>104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105</v>
      </c>
    </row>
    <row r="11" spans="1:18" x14ac:dyDescent="0.4">
      <c r="A11">
        <v>5</v>
      </c>
      <c r="B11" t="s">
        <v>106</v>
      </c>
      <c r="C11" t="s">
        <v>104</v>
      </c>
      <c r="D11">
        <v>62.5</v>
      </c>
      <c r="E11">
        <v>37.5</v>
      </c>
      <c r="F11">
        <v>0</v>
      </c>
      <c r="G11">
        <v>62.483600000000003</v>
      </c>
      <c r="H11">
        <v>37.5154</v>
      </c>
      <c r="I11">
        <v>8.3099999999999993E-2</v>
      </c>
      <c r="J11">
        <v>-1.6400000000000001E-2</v>
      </c>
      <c r="K11">
        <v>1.54E-2</v>
      </c>
      <c r="L11">
        <v>8.3099999999999993E-2</v>
      </c>
      <c r="P11">
        <v>0.17219999999999999</v>
      </c>
      <c r="Q11">
        <v>0.05</v>
      </c>
      <c r="R11" t="s">
        <v>107</v>
      </c>
    </row>
    <row r="12" spans="1:18" x14ac:dyDescent="0.4">
      <c r="A12">
        <v>6</v>
      </c>
      <c r="B12" t="s">
        <v>108</v>
      </c>
      <c r="C12" t="s">
        <v>104</v>
      </c>
      <c r="D12">
        <v>-63.5</v>
      </c>
      <c r="E12">
        <v>37.5</v>
      </c>
      <c r="F12">
        <v>0</v>
      </c>
      <c r="G12">
        <v>-63.450800000000001</v>
      </c>
      <c r="H12">
        <v>37.5154</v>
      </c>
      <c r="I12">
        <v>6.88E-2</v>
      </c>
      <c r="J12">
        <v>4.9200000000000001E-2</v>
      </c>
      <c r="K12">
        <v>1.54E-2</v>
      </c>
      <c r="L12">
        <v>6.88E-2</v>
      </c>
      <c r="P12">
        <v>0.17199999999999999</v>
      </c>
      <c r="Q12">
        <v>0.05</v>
      </c>
      <c r="R12" t="s">
        <v>107</v>
      </c>
    </row>
    <row r="13" spans="1:18" x14ac:dyDescent="0.4">
      <c r="A13">
        <v>7</v>
      </c>
      <c r="B13" t="s">
        <v>109</v>
      </c>
      <c r="C13" t="s">
        <v>104</v>
      </c>
      <c r="D13">
        <v>-62.5</v>
      </c>
      <c r="E13">
        <v>-36.5</v>
      </c>
      <c r="F13">
        <v>0</v>
      </c>
      <c r="G13">
        <v>-62.478499999999997</v>
      </c>
      <c r="H13">
        <v>-36.4617</v>
      </c>
      <c r="I13">
        <v>8.3299999999999999E-2</v>
      </c>
      <c r="J13">
        <v>2.1499999999999998E-2</v>
      </c>
      <c r="K13">
        <v>3.8300000000000001E-2</v>
      </c>
      <c r="L13">
        <v>8.3299999999999999E-2</v>
      </c>
      <c r="P13">
        <v>0.1883</v>
      </c>
      <c r="Q13">
        <v>0.05</v>
      </c>
      <c r="R13" t="s">
        <v>107</v>
      </c>
    </row>
    <row r="14" spans="1:18" x14ac:dyDescent="0.4">
      <c r="A14">
        <v>8</v>
      </c>
      <c r="B14" t="s">
        <v>110</v>
      </c>
      <c r="C14" t="s">
        <v>104</v>
      </c>
      <c r="D14">
        <v>61.5</v>
      </c>
      <c r="E14">
        <v>-37.5</v>
      </c>
      <c r="F14">
        <v>0</v>
      </c>
      <c r="G14">
        <v>61.444699999999997</v>
      </c>
      <c r="H14">
        <v>-37.464199999999998</v>
      </c>
      <c r="I14">
        <v>6.93E-2</v>
      </c>
      <c r="J14">
        <v>-5.5300000000000002E-2</v>
      </c>
      <c r="K14">
        <v>3.5799999999999998E-2</v>
      </c>
      <c r="L14">
        <v>6.93E-2</v>
      </c>
      <c r="P14">
        <v>0.19120000000000001</v>
      </c>
      <c r="Q14">
        <v>0.05</v>
      </c>
      <c r="R14" t="s">
        <v>107</v>
      </c>
    </row>
    <row r="15" spans="1:18" x14ac:dyDescent="0.4">
      <c r="A15">
        <v>9</v>
      </c>
      <c r="B15" t="s">
        <v>0</v>
      </c>
      <c r="C15" t="s">
        <v>111</v>
      </c>
      <c r="D15">
        <v>25.4</v>
      </c>
      <c r="G15">
        <v>25.399000000000001</v>
      </c>
      <c r="J15">
        <v>-1E-3</v>
      </c>
      <c r="M15">
        <v>25.5</v>
      </c>
      <c r="N15">
        <v>25.3</v>
      </c>
      <c r="O15" t="s">
        <v>105</v>
      </c>
      <c r="P15">
        <v>4.5999999999999999E-3</v>
      </c>
      <c r="Q15">
        <v>0.05</v>
      </c>
      <c r="R15" t="s">
        <v>105</v>
      </c>
    </row>
    <row r="16" spans="1:18" x14ac:dyDescent="0.4">
      <c r="A16">
        <v>10</v>
      </c>
      <c r="B16" t="s">
        <v>1</v>
      </c>
      <c r="C16" t="s">
        <v>111</v>
      </c>
      <c r="D16">
        <v>25.4</v>
      </c>
      <c r="G16">
        <v>25.403600000000001</v>
      </c>
      <c r="J16">
        <v>3.5999999999999999E-3</v>
      </c>
      <c r="M16">
        <v>25.5</v>
      </c>
      <c r="N16">
        <v>25.3</v>
      </c>
      <c r="O16" t="s">
        <v>105</v>
      </c>
      <c r="P16">
        <v>8.8999999999999999E-3</v>
      </c>
      <c r="Q16">
        <v>0.05</v>
      </c>
      <c r="R16" t="s">
        <v>105</v>
      </c>
    </row>
    <row r="17" spans="1:18" x14ac:dyDescent="0.4">
      <c r="A17">
        <v>11</v>
      </c>
      <c r="B17" t="s">
        <v>2</v>
      </c>
      <c r="C17" t="s">
        <v>111</v>
      </c>
      <c r="D17">
        <v>25.4</v>
      </c>
      <c r="G17">
        <v>25.402899999999999</v>
      </c>
      <c r="J17">
        <v>2.8999999999999998E-3</v>
      </c>
      <c r="M17">
        <v>25.5</v>
      </c>
      <c r="N17">
        <v>25.3</v>
      </c>
      <c r="O17" t="s">
        <v>105</v>
      </c>
      <c r="P17">
        <v>6.4999999999999997E-3</v>
      </c>
      <c r="Q17">
        <v>0.05</v>
      </c>
      <c r="R17" t="s">
        <v>105</v>
      </c>
    </row>
    <row r="18" spans="1:18" x14ac:dyDescent="0.4">
      <c r="A18">
        <v>12</v>
      </c>
      <c r="B18" t="s">
        <v>3</v>
      </c>
      <c r="C18" t="s">
        <v>111</v>
      </c>
      <c r="D18">
        <v>25.4</v>
      </c>
      <c r="G18">
        <v>25.404699999999998</v>
      </c>
      <c r="J18">
        <v>4.7000000000000002E-3</v>
      </c>
      <c r="M18">
        <v>25.5</v>
      </c>
      <c r="N18">
        <v>25.3</v>
      </c>
      <c r="O18" t="s">
        <v>105</v>
      </c>
      <c r="P18">
        <v>7.9000000000000008E-3</v>
      </c>
      <c r="Q18">
        <v>0.05</v>
      </c>
      <c r="R18" t="s">
        <v>105</v>
      </c>
    </row>
    <row r="19" spans="1:18" x14ac:dyDescent="0.4">
      <c r="A19">
        <v>13</v>
      </c>
      <c r="B19" t="s">
        <v>4</v>
      </c>
      <c r="C19" t="s">
        <v>111</v>
      </c>
      <c r="D19">
        <v>25.4</v>
      </c>
      <c r="G19">
        <v>25.4025</v>
      </c>
      <c r="J19">
        <v>2.5000000000000001E-3</v>
      </c>
      <c r="M19">
        <v>25.5</v>
      </c>
      <c r="N19">
        <v>25.3</v>
      </c>
      <c r="O19" t="s">
        <v>105</v>
      </c>
      <c r="P19">
        <v>5.7999999999999996E-3</v>
      </c>
      <c r="Q19">
        <v>0.05</v>
      </c>
      <c r="R19" t="s">
        <v>105</v>
      </c>
    </row>
    <row r="20" spans="1:18" x14ac:dyDescent="0.4">
      <c r="A20">
        <v>14</v>
      </c>
      <c r="B20" t="s">
        <v>5</v>
      </c>
      <c r="C20" t="s">
        <v>112</v>
      </c>
      <c r="D20">
        <v>72.887</v>
      </c>
      <c r="G20">
        <v>72.880899999999997</v>
      </c>
      <c r="J20">
        <v>-6.1000000000000004E-3</v>
      </c>
      <c r="M20">
        <v>72.986999999999995</v>
      </c>
      <c r="N20">
        <v>72.787000000000006</v>
      </c>
      <c r="O20" t="s">
        <v>105</v>
      </c>
    </row>
    <row r="21" spans="1:18" x14ac:dyDescent="0.4">
      <c r="A21">
        <v>15</v>
      </c>
      <c r="B21" t="s">
        <v>6</v>
      </c>
      <c r="C21" t="s">
        <v>112</v>
      </c>
      <c r="D21">
        <v>73.745999999999995</v>
      </c>
      <c r="G21">
        <v>73.711699999999993</v>
      </c>
      <c r="J21">
        <v>-3.4299999999999997E-2</v>
      </c>
      <c r="M21">
        <v>73.846000000000004</v>
      </c>
      <c r="N21">
        <v>73.646000000000001</v>
      </c>
      <c r="O21" t="s">
        <v>105</v>
      </c>
    </row>
    <row r="22" spans="1:18" x14ac:dyDescent="0.4">
      <c r="A22">
        <v>16</v>
      </c>
      <c r="B22" t="s">
        <v>7</v>
      </c>
      <c r="C22" t="s">
        <v>112</v>
      </c>
      <c r="D22">
        <v>72.376999999999995</v>
      </c>
      <c r="G22">
        <v>72.339699999999993</v>
      </c>
      <c r="J22">
        <v>-3.73E-2</v>
      </c>
      <c r="M22">
        <v>72.477000000000004</v>
      </c>
      <c r="N22">
        <v>72.277000000000001</v>
      </c>
      <c r="O22" t="s">
        <v>105</v>
      </c>
    </row>
    <row r="23" spans="1:18" x14ac:dyDescent="0.4">
      <c r="A23">
        <v>17</v>
      </c>
      <c r="B23" t="s">
        <v>8</v>
      </c>
      <c r="C23" t="s">
        <v>112</v>
      </c>
      <c r="D23">
        <v>72.031000000000006</v>
      </c>
      <c r="G23">
        <v>71.965400000000002</v>
      </c>
      <c r="J23">
        <v>-6.5600000000000006E-2</v>
      </c>
      <c r="M23">
        <v>72.131</v>
      </c>
      <c r="N23">
        <v>71.930999999999997</v>
      </c>
      <c r="O23" t="s">
        <v>105</v>
      </c>
    </row>
    <row r="24" spans="1:18" x14ac:dyDescent="0.4">
      <c r="A24">
        <v>18</v>
      </c>
      <c r="B24" t="s">
        <v>9</v>
      </c>
      <c r="C24" t="s">
        <v>112</v>
      </c>
      <c r="D24">
        <v>75.007000000000005</v>
      </c>
      <c r="G24">
        <v>74.986800000000002</v>
      </c>
      <c r="J24">
        <v>-2.0199999999999999E-2</v>
      </c>
      <c r="M24">
        <v>75.106999999999999</v>
      </c>
      <c r="N24">
        <v>74.906999999999996</v>
      </c>
      <c r="O24" t="s">
        <v>105</v>
      </c>
    </row>
    <row r="25" spans="1:18" x14ac:dyDescent="0.4">
      <c r="A25">
        <v>19</v>
      </c>
      <c r="B25" t="s">
        <v>10</v>
      </c>
      <c r="C25" t="s">
        <v>112</v>
      </c>
      <c r="D25">
        <v>74.007000000000005</v>
      </c>
      <c r="G25">
        <v>73.983500000000006</v>
      </c>
      <c r="J25">
        <v>-2.35E-2</v>
      </c>
      <c r="M25">
        <v>74.106999999999999</v>
      </c>
      <c r="N25">
        <v>73.906999999999996</v>
      </c>
      <c r="O25" t="s">
        <v>105</v>
      </c>
    </row>
    <row r="26" spans="1:18" x14ac:dyDescent="0.4">
      <c r="A26">
        <v>20</v>
      </c>
      <c r="B26" t="s">
        <v>11</v>
      </c>
      <c r="C26" t="s">
        <v>112</v>
      </c>
      <c r="D26">
        <v>126</v>
      </c>
      <c r="G26">
        <v>125.9345</v>
      </c>
      <c r="J26">
        <v>-6.5500000000000003E-2</v>
      </c>
      <c r="M26">
        <v>126.1</v>
      </c>
      <c r="N26">
        <v>125.9</v>
      </c>
      <c r="O26" t="s">
        <v>105</v>
      </c>
    </row>
    <row r="27" spans="1:18" x14ac:dyDescent="0.4">
      <c r="A27">
        <v>21</v>
      </c>
      <c r="B27" t="s">
        <v>12</v>
      </c>
      <c r="C27" t="s">
        <v>112</v>
      </c>
      <c r="D27">
        <v>124.004</v>
      </c>
      <c r="G27">
        <v>123.9273</v>
      </c>
      <c r="J27">
        <v>-7.6700000000000004E-2</v>
      </c>
      <c r="M27">
        <v>124.104</v>
      </c>
      <c r="N27">
        <v>123.904</v>
      </c>
      <c r="O27" t="s">
        <v>105</v>
      </c>
    </row>
    <row r="28" spans="1:18" x14ac:dyDescent="0.4">
      <c r="A28">
        <v>22</v>
      </c>
      <c r="B28" t="s">
        <v>13</v>
      </c>
      <c r="C28" t="s">
        <v>112</v>
      </c>
      <c r="D28">
        <v>145.262</v>
      </c>
      <c r="G28">
        <v>145.2176</v>
      </c>
      <c r="J28">
        <v>-4.4400000000000002E-2</v>
      </c>
      <c r="M28">
        <v>145.36199999999999</v>
      </c>
      <c r="N28">
        <v>145.16200000000001</v>
      </c>
      <c r="O28" t="s">
        <v>105</v>
      </c>
    </row>
    <row r="29" spans="1:18" x14ac:dyDescent="0.4">
      <c r="A29">
        <v>23</v>
      </c>
      <c r="B29" t="s">
        <v>14</v>
      </c>
      <c r="C29" t="s">
        <v>112</v>
      </c>
      <c r="D29">
        <v>145.774</v>
      </c>
      <c r="G29">
        <v>145.6737</v>
      </c>
      <c r="J29">
        <v>-0.1003</v>
      </c>
      <c r="M29">
        <v>145.874</v>
      </c>
      <c r="N29">
        <v>145.67400000000001</v>
      </c>
      <c r="O29" t="s">
        <v>107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42D2C-9FFD-4AA1-9B72-E0D202F48F57}">
  <dimension ref="A1:R29"/>
  <sheetViews>
    <sheetView workbookViewId="0"/>
  </sheetViews>
  <sheetFormatPr defaultRowHeight="14.6" x14ac:dyDescent="0.4"/>
  <cols>
    <col min="1" max="1" width="24.23046875" bestFit="1" customWidth="1"/>
    <col min="2" max="2" width="13.921875" bestFit="1" customWidth="1"/>
    <col min="3" max="3" width="17.53515625" bestFit="1" customWidth="1"/>
    <col min="4" max="4" width="7.84375" bestFit="1" customWidth="1"/>
    <col min="5" max="5" width="5.4609375" bestFit="1" customWidth="1"/>
    <col min="6" max="6" width="1.84375" bestFit="1" customWidth="1"/>
    <col min="7" max="7" width="8.84375" bestFit="1" customWidth="1"/>
    <col min="8" max="8" width="8.4609375" bestFit="1" customWidth="1"/>
    <col min="9" max="9" width="6.84375" bestFit="1" customWidth="1"/>
    <col min="10" max="10" width="7.4609375" bestFit="1" customWidth="1"/>
    <col min="11" max="12" width="6.84375" bestFit="1" customWidth="1"/>
    <col min="13" max="14" width="7.84375" bestFit="1" customWidth="1"/>
    <col min="15" max="15" width="4.84375" bestFit="1" customWidth="1"/>
    <col min="16" max="16" width="6.84375" bestFit="1" customWidth="1"/>
    <col min="17" max="18" width="4.84375" bestFit="1" customWidth="1"/>
  </cols>
  <sheetData>
    <row r="1" spans="1:18" x14ac:dyDescent="0.4">
      <c r="A1" t="s">
        <v>91</v>
      </c>
      <c r="B1" t="s">
        <v>92</v>
      </c>
    </row>
    <row r="2" spans="1:18" x14ac:dyDescent="0.4">
      <c r="A2" t="s">
        <v>93</v>
      </c>
      <c r="B2" t="s">
        <v>94</v>
      </c>
    </row>
    <row r="3" spans="1:18" x14ac:dyDescent="0.4">
      <c r="A3" t="s">
        <v>95</v>
      </c>
      <c r="B3" t="s">
        <v>119</v>
      </c>
    </row>
    <row r="4" spans="1:18" x14ac:dyDescent="0.4">
      <c r="A4" t="s">
        <v>97</v>
      </c>
      <c r="B4" t="s">
        <v>98</v>
      </c>
    </row>
    <row r="5" spans="1:18" x14ac:dyDescent="0.4">
      <c r="A5" t="s">
        <v>99</v>
      </c>
    </row>
    <row r="6" spans="1:18" x14ac:dyDescent="0.4">
      <c r="A6" t="s">
        <v>100</v>
      </c>
    </row>
    <row r="7" spans="1:18" x14ac:dyDescent="0.4">
      <c r="A7" t="s">
        <v>101</v>
      </c>
    </row>
    <row r="8" spans="1:18" x14ac:dyDescent="0.4">
      <c r="A8" t="s">
        <v>93</v>
      </c>
    </row>
    <row r="9" spans="1:18" x14ac:dyDescent="0.4">
      <c r="A9" t="s">
        <v>102</v>
      </c>
    </row>
    <row r="10" spans="1:18" x14ac:dyDescent="0.4">
      <c r="A10">
        <v>4</v>
      </c>
      <c r="B10" t="s">
        <v>103</v>
      </c>
      <c r="C10" t="s">
        <v>104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105</v>
      </c>
    </row>
    <row r="11" spans="1:18" x14ac:dyDescent="0.4">
      <c r="A11">
        <v>5</v>
      </c>
      <c r="B11" t="s">
        <v>106</v>
      </c>
      <c r="C11" t="s">
        <v>104</v>
      </c>
      <c r="D11">
        <v>62.5</v>
      </c>
      <c r="E11">
        <v>37.5</v>
      </c>
      <c r="F11">
        <v>0</v>
      </c>
      <c r="G11">
        <v>62.483699999999999</v>
      </c>
      <c r="H11">
        <v>37.515900000000002</v>
      </c>
      <c r="I11">
        <v>8.2799999999999999E-2</v>
      </c>
      <c r="J11">
        <v>-1.6299999999999999E-2</v>
      </c>
      <c r="K11">
        <v>1.5900000000000001E-2</v>
      </c>
      <c r="L11">
        <v>8.2799999999999999E-2</v>
      </c>
      <c r="P11">
        <v>0.17180000000000001</v>
      </c>
      <c r="Q11">
        <v>0.05</v>
      </c>
      <c r="R11" t="s">
        <v>107</v>
      </c>
    </row>
    <row r="12" spans="1:18" x14ac:dyDescent="0.4">
      <c r="A12">
        <v>6</v>
      </c>
      <c r="B12" t="s">
        <v>108</v>
      </c>
      <c r="C12" t="s">
        <v>104</v>
      </c>
      <c r="D12">
        <v>-63.5</v>
      </c>
      <c r="E12">
        <v>37.5</v>
      </c>
      <c r="F12">
        <v>0</v>
      </c>
      <c r="G12">
        <v>-63.451500000000003</v>
      </c>
      <c r="H12">
        <v>37.515900000000002</v>
      </c>
      <c r="I12">
        <v>6.8400000000000002E-2</v>
      </c>
      <c r="J12">
        <v>4.8500000000000001E-2</v>
      </c>
      <c r="K12">
        <v>1.5900000000000001E-2</v>
      </c>
      <c r="L12">
        <v>6.8400000000000002E-2</v>
      </c>
      <c r="P12">
        <v>0.1706</v>
      </c>
      <c r="Q12">
        <v>0.05</v>
      </c>
      <c r="R12" t="s">
        <v>107</v>
      </c>
    </row>
    <row r="13" spans="1:18" x14ac:dyDescent="0.4">
      <c r="A13">
        <v>7</v>
      </c>
      <c r="B13" t="s">
        <v>109</v>
      </c>
      <c r="C13" t="s">
        <v>104</v>
      </c>
      <c r="D13">
        <v>-62.5</v>
      </c>
      <c r="E13">
        <v>-36.5</v>
      </c>
      <c r="F13">
        <v>0</v>
      </c>
      <c r="G13">
        <v>-62.478400000000001</v>
      </c>
      <c r="H13">
        <v>-36.461100000000002</v>
      </c>
      <c r="I13">
        <v>8.3000000000000004E-2</v>
      </c>
      <c r="J13">
        <v>2.1600000000000001E-2</v>
      </c>
      <c r="K13">
        <v>3.8899999999999997E-2</v>
      </c>
      <c r="L13">
        <v>8.3000000000000004E-2</v>
      </c>
      <c r="P13">
        <v>0.18840000000000001</v>
      </c>
      <c r="Q13">
        <v>0.05</v>
      </c>
      <c r="R13" t="s">
        <v>107</v>
      </c>
    </row>
    <row r="14" spans="1:18" x14ac:dyDescent="0.4">
      <c r="A14">
        <v>8</v>
      </c>
      <c r="B14" t="s">
        <v>110</v>
      </c>
      <c r="C14" t="s">
        <v>104</v>
      </c>
      <c r="D14">
        <v>61.5</v>
      </c>
      <c r="E14">
        <v>-37.5</v>
      </c>
      <c r="F14">
        <v>0</v>
      </c>
      <c r="G14">
        <v>61.444400000000002</v>
      </c>
      <c r="H14">
        <v>-37.464100000000002</v>
      </c>
      <c r="I14">
        <v>6.88E-2</v>
      </c>
      <c r="J14">
        <v>-5.5599999999999997E-2</v>
      </c>
      <c r="K14">
        <v>3.5900000000000001E-2</v>
      </c>
      <c r="L14">
        <v>6.88E-2</v>
      </c>
      <c r="P14">
        <v>0.19089999999999999</v>
      </c>
      <c r="Q14">
        <v>0.05</v>
      </c>
      <c r="R14" t="s">
        <v>107</v>
      </c>
    </row>
    <row r="15" spans="1:18" x14ac:dyDescent="0.4">
      <c r="A15">
        <v>9</v>
      </c>
      <c r="B15" t="s">
        <v>0</v>
      </c>
      <c r="C15" t="s">
        <v>111</v>
      </c>
      <c r="D15">
        <v>25.4</v>
      </c>
      <c r="G15">
        <v>25.398900000000001</v>
      </c>
      <c r="J15">
        <v>-1.1000000000000001E-3</v>
      </c>
      <c r="M15">
        <v>25.5</v>
      </c>
      <c r="N15">
        <v>25.3</v>
      </c>
      <c r="O15" t="s">
        <v>105</v>
      </c>
      <c r="P15">
        <v>4.8999999999999998E-3</v>
      </c>
      <c r="Q15">
        <v>0.05</v>
      </c>
      <c r="R15" t="s">
        <v>105</v>
      </c>
    </row>
    <row r="16" spans="1:18" x14ac:dyDescent="0.4">
      <c r="A16">
        <v>10</v>
      </c>
      <c r="B16" t="s">
        <v>1</v>
      </c>
      <c r="C16" t="s">
        <v>111</v>
      </c>
      <c r="D16">
        <v>25.4</v>
      </c>
      <c r="G16">
        <v>25.403300000000002</v>
      </c>
      <c r="J16">
        <v>3.3E-3</v>
      </c>
      <c r="M16">
        <v>25.5</v>
      </c>
      <c r="N16">
        <v>25.3</v>
      </c>
      <c r="O16" t="s">
        <v>105</v>
      </c>
      <c r="P16">
        <v>3.7000000000000002E-3</v>
      </c>
      <c r="Q16">
        <v>0.05</v>
      </c>
      <c r="R16" t="s">
        <v>105</v>
      </c>
    </row>
    <row r="17" spans="1:18" x14ac:dyDescent="0.4">
      <c r="A17">
        <v>11</v>
      </c>
      <c r="B17" t="s">
        <v>2</v>
      </c>
      <c r="C17" t="s">
        <v>111</v>
      </c>
      <c r="D17">
        <v>25.4</v>
      </c>
      <c r="G17">
        <v>25.403500000000001</v>
      </c>
      <c r="J17">
        <v>3.5000000000000001E-3</v>
      </c>
      <c r="M17">
        <v>25.5</v>
      </c>
      <c r="N17">
        <v>25.3</v>
      </c>
      <c r="O17" t="s">
        <v>105</v>
      </c>
      <c r="P17">
        <v>5.0000000000000001E-3</v>
      </c>
      <c r="Q17">
        <v>0.05</v>
      </c>
      <c r="R17" t="s">
        <v>105</v>
      </c>
    </row>
    <row r="18" spans="1:18" x14ac:dyDescent="0.4">
      <c r="A18">
        <v>12</v>
      </c>
      <c r="B18" t="s">
        <v>3</v>
      </c>
      <c r="C18" t="s">
        <v>111</v>
      </c>
      <c r="D18">
        <v>25.4</v>
      </c>
      <c r="G18">
        <v>25.404599999999999</v>
      </c>
      <c r="J18">
        <v>4.5999999999999999E-3</v>
      </c>
      <c r="M18">
        <v>25.5</v>
      </c>
      <c r="N18">
        <v>25.3</v>
      </c>
      <c r="O18" t="s">
        <v>105</v>
      </c>
      <c r="P18">
        <v>6.7000000000000002E-3</v>
      </c>
      <c r="Q18">
        <v>0.05</v>
      </c>
      <c r="R18" t="s">
        <v>105</v>
      </c>
    </row>
    <row r="19" spans="1:18" x14ac:dyDescent="0.4">
      <c r="A19">
        <v>13</v>
      </c>
      <c r="B19" t="s">
        <v>4</v>
      </c>
      <c r="C19" t="s">
        <v>111</v>
      </c>
      <c r="D19">
        <v>25.4</v>
      </c>
      <c r="G19">
        <v>25.4026</v>
      </c>
      <c r="J19">
        <v>2.5999999999999999E-3</v>
      </c>
      <c r="M19">
        <v>25.5</v>
      </c>
      <c r="N19">
        <v>25.3</v>
      </c>
      <c r="O19" t="s">
        <v>105</v>
      </c>
      <c r="P19">
        <v>5.1000000000000004E-3</v>
      </c>
      <c r="Q19">
        <v>0.05</v>
      </c>
      <c r="R19" t="s">
        <v>105</v>
      </c>
    </row>
    <row r="20" spans="1:18" x14ac:dyDescent="0.4">
      <c r="A20">
        <v>14</v>
      </c>
      <c r="B20" t="s">
        <v>5</v>
      </c>
      <c r="C20" t="s">
        <v>112</v>
      </c>
      <c r="D20">
        <v>72.887</v>
      </c>
      <c r="G20">
        <v>72.881100000000004</v>
      </c>
      <c r="J20">
        <v>-5.8999999999999999E-3</v>
      </c>
      <c r="M20">
        <v>72.986999999999995</v>
      </c>
      <c r="N20">
        <v>72.787000000000006</v>
      </c>
      <c r="O20" t="s">
        <v>105</v>
      </c>
    </row>
    <row r="21" spans="1:18" x14ac:dyDescent="0.4">
      <c r="A21">
        <v>15</v>
      </c>
      <c r="B21" t="s">
        <v>6</v>
      </c>
      <c r="C21" t="s">
        <v>112</v>
      </c>
      <c r="D21">
        <v>73.745999999999995</v>
      </c>
      <c r="G21">
        <v>73.712500000000006</v>
      </c>
      <c r="J21">
        <v>-3.3500000000000002E-2</v>
      </c>
      <c r="M21">
        <v>73.846000000000004</v>
      </c>
      <c r="N21">
        <v>73.646000000000001</v>
      </c>
      <c r="O21" t="s">
        <v>105</v>
      </c>
    </row>
    <row r="22" spans="1:18" x14ac:dyDescent="0.4">
      <c r="A22">
        <v>16</v>
      </c>
      <c r="B22" t="s">
        <v>7</v>
      </c>
      <c r="C22" t="s">
        <v>112</v>
      </c>
      <c r="D22">
        <v>72.376999999999995</v>
      </c>
      <c r="G22">
        <v>72.339299999999994</v>
      </c>
      <c r="J22">
        <v>-3.7699999999999997E-2</v>
      </c>
      <c r="M22">
        <v>72.477000000000004</v>
      </c>
      <c r="N22">
        <v>72.277000000000001</v>
      </c>
      <c r="O22" t="s">
        <v>105</v>
      </c>
    </row>
    <row r="23" spans="1:18" x14ac:dyDescent="0.4">
      <c r="A23">
        <v>17</v>
      </c>
      <c r="B23" t="s">
        <v>8</v>
      </c>
      <c r="C23" t="s">
        <v>112</v>
      </c>
      <c r="D23">
        <v>72.031000000000006</v>
      </c>
      <c r="G23">
        <v>71.965100000000007</v>
      </c>
      <c r="J23">
        <v>-6.59E-2</v>
      </c>
      <c r="M23">
        <v>72.131</v>
      </c>
      <c r="N23">
        <v>71.930999999999997</v>
      </c>
      <c r="O23" t="s">
        <v>105</v>
      </c>
    </row>
    <row r="24" spans="1:18" x14ac:dyDescent="0.4">
      <c r="A24">
        <v>18</v>
      </c>
      <c r="B24" t="s">
        <v>9</v>
      </c>
      <c r="C24" t="s">
        <v>112</v>
      </c>
      <c r="D24">
        <v>75.007000000000005</v>
      </c>
      <c r="G24">
        <v>74.987200000000001</v>
      </c>
      <c r="J24">
        <v>-1.9800000000000002E-2</v>
      </c>
      <c r="M24">
        <v>75.106999999999999</v>
      </c>
      <c r="N24">
        <v>74.906999999999996</v>
      </c>
      <c r="O24" t="s">
        <v>105</v>
      </c>
    </row>
    <row r="25" spans="1:18" x14ac:dyDescent="0.4">
      <c r="A25">
        <v>19</v>
      </c>
      <c r="B25" t="s">
        <v>10</v>
      </c>
      <c r="C25" t="s">
        <v>112</v>
      </c>
      <c r="D25">
        <v>74.007000000000005</v>
      </c>
      <c r="G25">
        <v>73.983400000000003</v>
      </c>
      <c r="J25">
        <v>-2.3599999999999999E-2</v>
      </c>
      <c r="M25">
        <v>74.106999999999999</v>
      </c>
      <c r="N25">
        <v>73.906999999999996</v>
      </c>
      <c r="O25" t="s">
        <v>105</v>
      </c>
    </row>
    <row r="26" spans="1:18" x14ac:dyDescent="0.4">
      <c r="A26">
        <v>20</v>
      </c>
      <c r="B26" t="s">
        <v>11</v>
      </c>
      <c r="C26" t="s">
        <v>112</v>
      </c>
      <c r="D26">
        <v>126</v>
      </c>
      <c r="G26">
        <v>125.93510000000001</v>
      </c>
      <c r="J26">
        <v>-6.4899999999999999E-2</v>
      </c>
      <c r="M26">
        <v>126.1</v>
      </c>
      <c r="N26">
        <v>125.9</v>
      </c>
      <c r="O26" t="s">
        <v>105</v>
      </c>
    </row>
    <row r="27" spans="1:18" x14ac:dyDescent="0.4">
      <c r="A27">
        <v>21</v>
      </c>
      <c r="B27" t="s">
        <v>12</v>
      </c>
      <c r="C27" t="s">
        <v>112</v>
      </c>
      <c r="D27">
        <v>124.004</v>
      </c>
      <c r="G27">
        <v>123.9269</v>
      </c>
      <c r="J27">
        <v>-7.7100000000000002E-2</v>
      </c>
      <c r="M27">
        <v>124.104</v>
      </c>
      <c r="N27">
        <v>123.904</v>
      </c>
      <c r="O27" t="s">
        <v>105</v>
      </c>
    </row>
    <row r="28" spans="1:18" x14ac:dyDescent="0.4">
      <c r="A28">
        <v>22</v>
      </c>
      <c r="B28" t="s">
        <v>13</v>
      </c>
      <c r="C28" t="s">
        <v>112</v>
      </c>
      <c r="D28">
        <v>145.262</v>
      </c>
      <c r="G28">
        <v>145.2175</v>
      </c>
      <c r="J28">
        <v>-4.4499999999999998E-2</v>
      </c>
      <c r="M28">
        <v>145.36199999999999</v>
      </c>
      <c r="N28">
        <v>145.16200000000001</v>
      </c>
      <c r="O28" t="s">
        <v>105</v>
      </c>
    </row>
    <row r="29" spans="1:18" x14ac:dyDescent="0.4">
      <c r="A29">
        <v>23</v>
      </c>
      <c r="B29" t="s">
        <v>14</v>
      </c>
      <c r="C29" t="s">
        <v>112</v>
      </c>
      <c r="D29">
        <v>145.774</v>
      </c>
      <c r="G29">
        <v>145.67429999999999</v>
      </c>
      <c r="J29">
        <v>-9.9699999999999997E-2</v>
      </c>
      <c r="M29">
        <v>145.874</v>
      </c>
      <c r="N29">
        <v>145.67400000000001</v>
      </c>
      <c r="O29" t="s">
        <v>105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7D028-0C9B-4A12-94B9-2C45F096B6D3}">
  <dimension ref="A1:R29"/>
  <sheetViews>
    <sheetView workbookViewId="0"/>
  </sheetViews>
  <sheetFormatPr defaultRowHeight="14.6" x14ac:dyDescent="0.4"/>
  <cols>
    <col min="1" max="1" width="24.23046875" bestFit="1" customWidth="1"/>
    <col min="2" max="2" width="13.921875" bestFit="1" customWidth="1"/>
    <col min="3" max="3" width="17.53515625" bestFit="1" customWidth="1"/>
    <col min="4" max="4" width="7.84375" bestFit="1" customWidth="1"/>
    <col min="5" max="5" width="5.4609375" bestFit="1" customWidth="1"/>
    <col min="6" max="6" width="1.84375" bestFit="1" customWidth="1"/>
    <col min="7" max="7" width="8.84375" bestFit="1" customWidth="1"/>
    <col min="8" max="8" width="8.4609375" bestFit="1" customWidth="1"/>
    <col min="9" max="9" width="6.84375" bestFit="1" customWidth="1"/>
    <col min="10" max="10" width="7.4609375" bestFit="1" customWidth="1"/>
    <col min="11" max="12" width="6.84375" bestFit="1" customWidth="1"/>
    <col min="13" max="14" width="7.84375" bestFit="1" customWidth="1"/>
    <col min="15" max="15" width="4.84375" bestFit="1" customWidth="1"/>
    <col min="16" max="16" width="6.84375" bestFit="1" customWidth="1"/>
    <col min="17" max="18" width="4.84375" bestFit="1" customWidth="1"/>
  </cols>
  <sheetData>
    <row r="1" spans="1:18" x14ac:dyDescent="0.4">
      <c r="A1" t="s">
        <v>91</v>
      </c>
      <c r="B1" t="s">
        <v>92</v>
      </c>
    </row>
    <row r="2" spans="1:18" x14ac:dyDescent="0.4">
      <c r="A2" t="s">
        <v>93</v>
      </c>
      <c r="B2" t="s">
        <v>94</v>
      </c>
    </row>
    <row r="3" spans="1:18" x14ac:dyDescent="0.4">
      <c r="A3" t="s">
        <v>95</v>
      </c>
      <c r="B3" t="s">
        <v>120</v>
      </c>
    </row>
    <row r="4" spans="1:18" x14ac:dyDescent="0.4">
      <c r="A4" t="s">
        <v>97</v>
      </c>
      <c r="B4" t="s">
        <v>114</v>
      </c>
    </row>
    <row r="5" spans="1:18" x14ac:dyDescent="0.4">
      <c r="A5" t="s">
        <v>99</v>
      </c>
    </row>
    <row r="6" spans="1:18" x14ac:dyDescent="0.4">
      <c r="A6" t="s">
        <v>100</v>
      </c>
    </row>
    <row r="7" spans="1:18" x14ac:dyDescent="0.4">
      <c r="A7" t="s">
        <v>101</v>
      </c>
    </row>
    <row r="8" spans="1:18" x14ac:dyDescent="0.4">
      <c r="A8" t="s">
        <v>93</v>
      </c>
    </row>
    <row r="9" spans="1:18" x14ac:dyDescent="0.4">
      <c r="A9" t="s">
        <v>102</v>
      </c>
    </row>
    <row r="10" spans="1:18" x14ac:dyDescent="0.4">
      <c r="A10">
        <v>4</v>
      </c>
      <c r="B10" t="s">
        <v>103</v>
      </c>
      <c r="C10" t="s">
        <v>104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105</v>
      </c>
    </row>
    <row r="11" spans="1:18" x14ac:dyDescent="0.4">
      <c r="A11">
        <v>5</v>
      </c>
      <c r="B11" t="s">
        <v>106</v>
      </c>
      <c r="C11" t="s">
        <v>104</v>
      </c>
      <c r="D11">
        <v>62.5</v>
      </c>
      <c r="E11">
        <v>37.5</v>
      </c>
      <c r="F11">
        <v>0</v>
      </c>
      <c r="G11">
        <v>62.482700000000001</v>
      </c>
      <c r="H11">
        <v>37.515700000000002</v>
      </c>
      <c r="I11">
        <v>8.2699999999999996E-2</v>
      </c>
      <c r="J11">
        <v>-1.7299999999999999E-2</v>
      </c>
      <c r="K11">
        <v>1.5699999999999999E-2</v>
      </c>
      <c r="L11">
        <v>8.2699999999999996E-2</v>
      </c>
      <c r="P11">
        <v>0.17180000000000001</v>
      </c>
      <c r="Q11">
        <v>0.05</v>
      </c>
      <c r="R11" t="s">
        <v>107</v>
      </c>
    </row>
    <row r="12" spans="1:18" x14ac:dyDescent="0.4">
      <c r="A12">
        <v>6</v>
      </c>
      <c r="B12" t="s">
        <v>108</v>
      </c>
      <c r="C12" t="s">
        <v>104</v>
      </c>
      <c r="D12">
        <v>-63.5</v>
      </c>
      <c r="E12">
        <v>37.5</v>
      </c>
      <c r="F12">
        <v>0</v>
      </c>
      <c r="G12">
        <v>-63.451700000000002</v>
      </c>
      <c r="H12">
        <v>37.515700000000002</v>
      </c>
      <c r="I12">
        <v>6.83E-2</v>
      </c>
      <c r="J12">
        <v>4.8300000000000003E-2</v>
      </c>
      <c r="K12">
        <v>1.5699999999999999E-2</v>
      </c>
      <c r="L12">
        <v>6.83E-2</v>
      </c>
      <c r="P12">
        <v>0.17030000000000001</v>
      </c>
      <c r="Q12">
        <v>0.05</v>
      </c>
      <c r="R12" t="s">
        <v>107</v>
      </c>
    </row>
    <row r="13" spans="1:18" x14ac:dyDescent="0.4">
      <c r="A13">
        <v>7</v>
      </c>
      <c r="B13" t="s">
        <v>109</v>
      </c>
      <c r="C13" t="s">
        <v>104</v>
      </c>
      <c r="D13">
        <v>-62.5</v>
      </c>
      <c r="E13">
        <v>-36.5</v>
      </c>
      <c r="F13">
        <v>0</v>
      </c>
      <c r="G13">
        <v>-62.479399999999998</v>
      </c>
      <c r="H13">
        <v>-36.4621</v>
      </c>
      <c r="I13">
        <v>8.2900000000000001E-2</v>
      </c>
      <c r="J13">
        <v>2.06E-2</v>
      </c>
      <c r="K13">
        <v>3.7900000000000003E-2</v>
      </c>
      <c r="L13">
        <v>8.2900000000000001E-2</v>
      </c>
      <c r="P13">
        <v>0.18679999999999999</v>
      </c>
      <c r="Q13">
        <v>0.05</v>
      </c>
      <c r="R13" t="s">
        <v>107</v>
      </c>
    </row>
    <row r="14" spans="1:18" x14ac:dyDescent="0.4">
      <c r="A14">
        <v>8</v>
      </c>
      <c r="B14" t="s">
        <v>110</v>
      </c>
      <c r="C14" t="s">
        <v>104</v>
      </c>
      <c r="D14">
        <v>61.5</v>
      </c>
      <c r="E14">
        <v>-37.5</v>
      </c>
      <c r="F14">
        <v>0</v>
      </c>
      <c r="G14">
        <v>61.444200000000002</v>
      </c>
      <c r="H14">
        <v>-37.4651</v>
      </c>
      <c r="I14">
        <v>6.88E-2</v>
      </c>
      <c r="J14">
        <v>-5.5800000000000002E-2</v>
      </c>
      <c r="K14">
        <v>3.49E-2</v>
      </c>
      <c r="L14">
        <v>6.88E-2</v>
      </c>
      <c r="P14">
        <v>0.19040000000000001</v>
      </c>
      <c r="Q14">
        <v>0.05</v>
      </c>
      <c r="R14" t="s">
        <v>107</v>
      </c>
    </row>
    <row r="15" spans="1:18" x14ac:dyDescent="0.4">
      <c r="A15">
        <v>9</v>
      </c>
      <c r="B15" t="s">
        <v>0</v>
      </c>
      <c r="C15" t="s">
        <v>111</v>
      </c>
      <c r="D15">
        <v>25.4</v>
      </c>
      <c r="G15">
        <v>25.398499999999999</v>
      </c>
      <c r="J15">
        <v>-1.5E-3</v>
      </c>
      <c r="M15">
        <v>25.5</v>
      </c>
      <c r="N15">
        <v>25.3</v>
      </c>
      <c r="O15" t="s">
        <v>105</v>
      </c>
      <c r="P15">
        <v>5.3E-3</v>
      </c>
      <c r="Q15">
        <v>0.05</v>
      </c>
      <c r="R15" t="s">
        <v>105</v>
      </c>
    </row>
    <row r="16" spans="1:18" x14ac:dyDescent="0.4">
      <c r="A16">
        <v>10</v>
      </c>
      <c r="B16" t="s">
        <v>1</v>
      </c>
      <c r="C16" t="s">
        <v>111</v>
      </c>
      <c r="D16">
        <v>25.4</v>
      </c>
      <c r="G16">
        <v>25.403400000000001</v>
      </c>
      <c r="J16">
        <v>3.3999999999999998E-3</v>
      </c>
      <c r="M16">
        <v>25.5</v>
      </c>
      <c r="N16">
        <v>25.3</v>
      </c>
      <c r="O16" t="s">
        <v>105</v>
      </c>
      <c r="P16">
        <v>7.1999999999999998E-3</v>
      </c>
      <c r="Q16">
        <v>0.05</v>
      </c>
      <c r="R16" t="s">
        <v>105</v>
      </c>
    </row>
    <row r="17" spans="1:18" x14ac:dyDescent="0.4">
      <c r="A17">
        <v>11</v>
      </c>
      <c r="B17" t="s">
        <v>2</v>
      </c>
      <c r="C17" t="s">
        <v>111</v>
      </c>
      <c r="D17">
        <v>25.4</v>
      </c>
      <c r="G17">
        <v>25.402999999999999</v>
      </c>
      <c r="J17">
        <v>3.0000000000000001E-3</v>
      </c>
      <c r="M17">
        <v>25.5</v>
      </c>
      <c r="N17">
        <v>25.3</v>
      </c>
      <c r="O17" t="s">
        <v>105</v>
      </c>
      <c r="P17">
        <v>5.8999999999999999E-3</v>
      </c>
      <c r="Q17">
        <v>0.05</v>
      </c>
      <c r="R17" t="s">
        <v>105</v>
      </c>
    </row>
    <row r="18" spans="1:18" x14ac:dyDescent="0.4">
      <c r="A18">
        <v>12</v>
      </c>
      <c r="B18" t="s">
        <v>3</v>
      </c>
      <c r="C18" t="s">
        <v>111</v>
      </c>
      <c r="D18">
        <v>25.4</v>
      </c>
      <c r="G18">
        <v>25.404800000000002</v>
      </c>
      <c r="J18">
        <v>4.7999999999999996E-3</v>
      </c>
      <c r="M18">
        <v>25.5</v>
      </c>
      <c r="N18">
        <v>25.3</v>
      </c>
      <c r="O18" t="s">
        <v>105</v>
      </c>
      <c r="P18">
        <v>7.7000000000000002E-3</v>
      </c>
      <c r="Q18">
        <v>0.05</v>
      </c>
      <c r="R18" t="s">
        <v>105</v>
      </c>
    </row>
    <row r="19" spans="1:18" x14ac:dyDescent="0.4">
      <c r="A19">
        <v>13</v>
      </c>
      <c r="B19" t="s">
        <v>4</v>
      </c>
      <c r="C19" t="s">
        <v>111</v>
      </c>
      <c r="D19">
        <v>25.4</v>
      </c>
      <c r="G19">
        <v>25.4023</v>
      </c>
      <c r="J19">
        <v>2.3E-3</v>
      </c>
      <c r="M19">
        <v>25.5</v>
      </c>
      <c r="N19">
        <v>25.3</v>
      </c>
      <c r="O19" t="s">
        <v>105</v>
      </c>
      <c r="P19">
        <v>5.1000000000000004E-3</v>
      </c>
      <c r="Q19">
        <v>0.05</v>
      </c>
      <c r="R19" t="s">
        <v>105</v>
      </c>
    </row>
    <row r="20" spans="1:18" x14ac:dyDescent="0.4">
      <c r="A20">
        <v>14</v>
      </c>
      <c r="B20" t="s">
        <v>5</v>
      </c>
      <c r="C20" t="s">
        <v>112</v>
      </c>
      <c r="D20">
        <v>72.887</v>
      </c>
      <c r="G20">
        <v>72.880200000000002</v>
      </c>
      <c r="J20">
        <v>-6.7999999999999996E-3</v>
      </c>
      <c r="M20">
        <v>72.986999999999995</v>
      </c>
      <c r="N20">
        <v>72.787000000000006</v>
      </c>
      <c r="O20" t="s">
        <v>105</v>
      </c>
    </row>
    <row r="21" spans="1:18" x14ac:dyDescent="0.4">
      <c r="A21">
        <v>15</v>
      </c>
      <c r="B21" t="s">
        <v>6</v>
      </c>
      <c r="C21" t="s">
        <v>112</v>
      </c>
      <c r="D21">
        <v>73.745999999999995</v>
      </c>
      <c r="G21">
        <v>73.712599999999995</v>
      </c>
      <c r="J21">
        <v>-3.3399999999999999E-2</v>
      </c>
      <c r="M21">
        <v>73.846000000000004</v>
      </c>
      <c r="N21">
        <v>73.646000000000001</v>
      </c>
      <c r="O21" t="s">
        <v>105</v>
      </c>
    </row>
    <row r="22" spans="1:18" x14ac:dyDescent="0.4">
      <c r="A22">
        <v>16</v>
      </c>
      <c r="B22" t="s">
        <v>7</v>
      </c>
      <c r="C22" t="s">
        <v>112</v>
      </c>
      <c r="D22">
        <v>72.376999999999995</v>
      </c>
      <c r="G22">
        <v>72.340599999999995</v>
      </c>
      <c r="J22">
        <v>-3.6400000000000002E-2</v>
      </c>
      <c r="M22">
        <v>72.477000000000004</v>
      </c>
      <c r="N22">
        <v>72.277000000000001</v>
      </c>
      <c r="O22" t="s">
        <v>105</v>
      </c>
    </row>
    <row r="23" spans="1:18" x14ac:dyDescent="0.4">
      <c r="A23">
        <v>17</v>
      </c>
      <c r="B23" t="s">
        <v>8</v>
      </c>
      <c r="C23" t="s">
        <v>112</v>
      </c>
      <c r="D23">
        <v>72.031000000000006</v>
      </c>
      <c r="G23">
        <v>71.965400000000002</v>
      </c>
      <c r="J23">
        <v>-6.5600000000000006E-2</v>
      </c>
      <c r="M23">
        <v>72.131</v>
      </c>
      <c r="N23">
        <v>71.930999999999997</v>
      </c>
      <c r="O23" t="s">
        <v>105</v>
      </c>
    </row>
    <row r="24" spans="1:18" x14ac:dyDescent="0.4">
      <c r="A24">
        <v>18</v>
      </c>
      <c r="B24" t="s">
        <v>9</v>
      </c>
      <c r="C24" t="s">
        <v>112</v>
      </c>
      <c r="D24">
        <v>75.007000000000005</v>
      </c>
      <c r="G24">
        <v>74.987899999999996</v>
      </c>
      <c r="J24">
        <v>-1.9099999999999999E-2</v>
      </c>
      <c r="M24">
        <v>75.106999999999999</v>
      </c>
      <c r="N24">
        <v>74.906999999999996</v>
      </c>
      <c r="O24" t="s">
        <v>105</v>
      </c>
    </row>
    <row r="25" spans="1:18" x14ac:dyDescent="0.4">
      <c r="A25">
        <v>19</v>
      </c>
      <c r="B25" t="s">
        <v>10</v>
      </c>
      <c r="C25" t="s">
        <v>112</v>
      </c>
      <c r="D25">
        <v>74.007000000000005</v>
      </c>
      <c r="G25">
        <v>73.984200000000001</v>
      </c>
      <c r="J25">
        <v>-2.2800000000000001E-2</v>
      </c>
      <c r="M25">
        <v>74.106999999999999</v>
      </c>
      <c r="N25">
        <v>73.906999999999996</v>
      </c>
      <c r="O25" t="s">
        <v>105</v>
      </c>
    </row>
    <row r="26" spans="1:18" x14ac:dyDescent="0.4">
      <c r="A26">
        <v>20</v>
      </c>
      <c r="B26" t="s">
        <v>11</v>
      </c>
      <c r="C26" t="s">
        <v>112</v>
      </c>
      <c r="D26">
        <v>126</v>
      </c>
      <c r="G26">
        <v>125.9344</v>
      </c>
      <c r="J26">
        <v>-6.5600000000000006E-2</v>
      </c>
      <c r="M26">
        <v>126.1</v>
      </c>
      <c r="N26">
        <v>125.9</v>
      </c>
      <c r="O26" t="s">
        <v>105</v>
      </c>
    </row>
    <row r="27" spans="1:18" x14ac:dyDescent="0.4">
      <c r="A27">
        <v>21</v>
      </c>
      <c r="B27" t="s">
        <v>12</v>
      </c>
      <c r="C27" t="s">
        <v>112</v>
      </c>
      <c r="D27">
        <v>124.004</v>
      </c>
      <c r="G27">
        <v>123.9277</v>
      </c>
      <c r="J27">
        <v>-7.6300000000000007E-2</v>
      </c>
      <c r="M27">
        <v>124.104</v>
      </c>
      <c r="N27">
        <v>123.904</v>
      </c>
      <c r="O27" t="s">
        <v>105</v>
      </c>
    </row>
    <row r="28" spans="1:18" x14ac:dyDescent="0.4">
      <c r="A28">
        <v>22</v>
      </c>
      <c r="B28" t="s">
        <v>13</v>
      </c>
      <c r="C28" t="s">
        <v>112</v>
      </c>
      <c r="D28">
        <v>145.262</v>
      </c>
      <c r="G28">
        <v>145.21789999999999</v>
      </c>
      <c r="J28">
        <v>-4.41E-2</v>
      </c>
      <c r="M28">
        <v>145.36199999999999</v>
      </c>
      <c r="N28">
        <v>145.16200000000001</v>
      </c>
      <c r="O28" t="s">
        <v>105</v>
      </c>
    </row>
    <row r="29" spans="1:18" x14ac:dyDescent="0.4">
      <c r="A29">
        <v>23</v>
      </c>
      <c r="B29" t="s">
        <v>14</v>
      </c>
      <c r="C29" t="s">
        <v>112</v>
      </c>
      <c r="D29">
        <v>145.774</v>
      </c>
      <c r="G29">
        <v>145.6746</v>
      </c>
      <c r="J29">
        <v>-9.9400000000000002E-2</v>
      </c>
      <c r="M29">
        <v>145.874</v>
      </c>
      <c r="N29">
        <v>145.67400000000001</v>
      </c>
      <c r="O29" t="s">
        <v>105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1E460-E64E-4181-86B8-769105B978EE}">
  <dimension ref="A1:R29"/>
  <sheetViews>
    <sheetView workbookViewId="0"/>
  </sheetViews>
  <sheetFormatPr defaultRowHeight="14.6" x14ac:dyDescent="0.4"/>
  <cols>
    <col min="1" max="1" width="24.23046875" bestFit="1" customWidth="1"/>
    <col min="2" max="2" width="13.921875" bestFit="1" customWidth="1"/>
    <col min="3" max="3" width="17.53515625" bestFit="1" customWidth="1"/>
    <col min="4" max="4" width="7.84375" bestFit="1" customWidth="1"/>
    <col min="5" max="5" width="5.4609375" bestFit="1" customWidth="1"/>
    <col min="6" max="6" width="1.84375" bestFit="1" customWidth="1"/>
    <col min="7" max="7" width="8.84375" bestFit="1" customWidth="1"/>
    <col min="8" max="8" width="8.4609375" bestFit="1" customWidth="1"/>
    <col min="9" max="9" width="6.84375" bestFit="1" customWidth="1"/>
    <col min="10" max="10" width="7.4609375" bestFit="1" customWidth="1"/>
    <col min="11" max="12" width="6.84375" bestFit="1" customWidth="1"/>
    <col min="13" max="14" width="7.84375" bestFit="1" customWidth="1"/>
    <col min="15" max="15" width="4.84375" bestFit="1" customWidth="1"/>
    <col min="16" max="16" width="6.84375" bestFit="1" customWidth="1"/>
    <col min="17" max="18" width="4.84375" bestFit="1" customWidth="1"/>
  </cols>
  <sheetData>
    <row r="1" spans="1:18" x14ac:dyDescent="0.4">
      <c r="A1" t="s">
        <v>91</v>
      </c>
      <c r="B1" t="s">
        <v>92</v>
      </c>
    </row>
    <row r="2" spans="1:18" x14ac:dyDescent="0.4">
      <c r="A2" t="s">
        <v>93</v>
      </c>
      <c r="B2" t="s">
        <v>94</v>
      </c>
    </row>
    <row r="3" spans="1:18" x14ac:dyDescent="0.4">
      <c r="A3" t="s">
        <v>95</v>
      </c>
      <c r="B3" t="s">
        <v>121</v>
      </c>
    </row>
    <row r="4" spans="1:18" x14ac:dyDescent="0.4">
      <c r="A4" t="s">
        <v>97</v>
      </c>
      <c r="B4" t="s">
        <v>114</v>
      </c>
    </row>
    <row r="5" spans="1:18" x14ac:dyDescent="0.4">
      <c r="A5" t="s">
        <v>99</v>
      </c>
    </row>
    <row r="6" spans="1:18" x14ac:dyDescent="0.4">
      <c r="A6" t="s">
        <v>100</v>
      </c>
    </row>
    <row r="7" spans="1:18" x14ac:dyDescent="0.4">
      <c r="A7" t="s">
        <v>101</v>
      </c>
    </row>
    <row r="8" spans="1:18" x14ac:dyDescent="0.4">
      <c r="A8" t="s">
        <v>93</v>
      </c>
    </row>
    <row r="9" spans="1:18" x14ac:dyDescent="0.4">
      <c r="A9" t="s">
        <v>102</v>
      </c>
    </row>
    <row r="10" spans="1:18" x14ac:dyDescent="0.4">
      <c r="A10">
        <v>4</v>
      </c>
      <c r="B10" t="s">
        <v>103</v>
      </c>
      <c r="C10" t="s">
        <v>104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105</v>
      </c>
    </row>
    <row r="11" spans="1:18" x14ac:dyDescent="0.4">
      <c r="A11">
        <v>5</v>
      </c>
      <c r="B11" t="s">
        <v>106</v>
      </c>
      <c r="C11" t="s">
        <v>104</v>
      </c>
      <c r="D11">
        <v>62.5</v>
      </c>
      <c r="E11">
        <v>37.5</v>
      </c>
      <c r="F11">
        <v>0</v>
      </c>
      <c r="G11">
        <v>62.483400000000003</v>
      </c>
      <c r="H11">
        <v>37.515500000000003</v>
      </c>
      <c r="I11">
        <v>8.2600000000000007E-2</v>
      </c>
      <c r="J11">
        <v>-1.66E-2</v>
      </c>
      <c r="K11">
        <v>1.55E-2</v>
      </c>
      <c r="L11">
        <v>8.2600000000000007E-2</v>
      </c>
      <c r="P11">
        <v>0.17119999999999999</v>
      </c>
      <c r="Q11">
        <v>0.05</v>
      </c>
      <c r="R11" t="s">
        <v>107</v>
      </c>
    </row>
    <row r="12" spans="1:18" x14ac:dyDescent="0.4">
      <c r="A12">
        <v>6</v>
      </c>
      <c r="B12" t="s">
        <v>108</v>
      </c>
      <c r="C12" t="s">
        <v>104</v>
      </c>
      <c r="D12">
        <v>-63.5</v>
      </c>
      <c r="E12">
        <v>37.5</v>
      </c>
      <c r="F12">
        <v>0</v>
      </c>
      <c r="G12">
        <v>-63.451300000000003</v>
      </c>
      <c r="H12">
        <v>37.515500000000003</v>
      </c>
      <c r="I12">
        <v>6.83E-2</v>
      </c>
      <c r="J12">
        <v>4.87E-2</v>
      </c>
      <c r="K12">
        <v>1.55E-2</v>
      </c>
      <c r="L12">
        <v>6.83E-2</v>
      </c>
      <c r="P12">
        <v>0.1706</v>
      </c>
      <c r="Q12">
        <v>0.05</v>
      </c>
      <c r="R12" t="s">
        <v>107</v>
      </c>
    </row>
    <row r="13" spans="1:18" x14ac:dyDescent="0.4">
      <c r="A13">
        <v>7</v>
      </c>
      <c r="B13" t="s">
        <v>109</v>
      </c>
      <c r="C13" t="s">
        <v>104</v>
      </c>
      <c r="D13">
        <v>-62.5</v>
      </c>
      <c r="E13">
        <v>-36.5</v>
      </c>
      <c r="F13">
        <v>0</v>
      </c>
      <c r="G13">
        <v>-62.4786</v>
      </c>
      <c r="H13">
        <v>-36.4621</v>
      </c>
      <c r="I13">
        <v>8.2799999999999999E-2</v>
      </c>
      <c r="J13">
        <v>2.1399999999999999E-2</v>
      </c>
      <c r="K13">
        <v>3.7900000000000003E-2</v>
      </c>
      <c r="L13">
        <v>8.2799999999999999E-2</v>
      </c>
      <c r="P13">
        <v>0.187</v>
      </c>
      <c r="Q13">
        <v>0.05</v>
      </c>
      <c r="R13" t="s">
        <v>107</v>
      </c>
    </row>
    <row r="14" spans="1:18" x14ac:dyDescent="0.4">
      <c r="A14">
        <v>8</v>
      </c>
      <c r="B14" t="s">
        <v>110</v>
      </c>
      <c r="C14" t="s">
        <v>104</v>
      </c>
      <c r="D14">
        <v>61.5</v>
      </c>
      <c r="E14">
        <v>-37.5</v>
      </c>
      <c r="F14">
        <v>0</v>
      </c>
      <c r="G14">
        <v>61.444600000000001</v>
      </c>
      <c r="H14">
        <v>-37.464300000000001</v>
      </c>
      <c r="I14">
        <v>6.8699999999999997E-2</v>
      </c>
      <c r="J14">
        <v>-5.5399999999999998E-2</v>
      </c>
      <c r="K14">
        <v>3.5700000000000003E-2</v>
      </c>
      <c r="L14">
        <v>6.8699999999999997E-2</v>
      </c>
      <c r="P14">
        <v>0.1905</v>
      </c>
      <c r="Q14">
        <v>0.05</v>
      </c>
      <c r="R14" t="s">
        <v>107</v>
      </c>
    </row>
    <row r="15" spans="1:18" x14ac:dyDescent="0.4">
      <c r="A15">
        <v>9</v>
      </c>
      <c r="B15" t="s">
        <v>0</v>
      </c>
      <c r="C15" t="s">
        <v>111</v>
      </c>
      <c r="D15">
        <v>25.4</v>
      </c>
      <c r="G15">
        <v>25.399100000000001</v>
      </c>
      <c r="J15">
        <v>-8.9999999999999998E-4</v>
      </c>
      <c r="M15">
        <v>25.5</v>
      </c>
      <c r="N15">
        <v>25.3</v>
      </c>
      <c r="O15" t="s">
        <v>105</v>
      </c>
      <c r="P15">
        <v>6.1000000000000004E-3</v>
      </c>
      <c r="Q15">
        <v>0.05</v>
      </c>
      <c r="R15" t="s">
        <v>105</v>
      </c>
    </row>
    <row r="16" spans="1:18" x14ac:dyDescent="0.4">
      <c r="A16">
        <v>10</v>
      </c>
      <c r="B16" t="s">
        <v>1</v>
      </c>
      <c r="C16" t="s">
        <v>111</v>
      </c>
      <c r="D16">
        <v>25.4</v>
      </c>
      <c r="G16">
        <v>25.402999999999999</v>
      </c>
      <c r="J16">
        <v>3.0000000000000001E-3</v>
      </c>
      <c r="M16">
        <v>25.5</v>
      </c>
      <c r="N16">
        <v>25.3</v>
      </c>
      <c r="O16" t="s">
        <v>105</v>
      </c>
      <c r="P16">
        <v>7.1999999999999998E-3</v>
      </c>
      <c r="Q16">
        <v>0.05</v>
      </c>
      <c r="R16" t="s">
        <v>105</v>
      </c>
    </row>
    <row r="17" spans="1:18" x14ac:dyDescent="0.4">
      <c r="A17">
        <v>11</v>
      </c>
      <c r="B17" t="s">
        <v>2</v>
      </c>
      <c r="C17" t="s">
        <v>111</v>
      </c>
      <c r="D17">
        <v>25.4</v>
      </c>
      <c r="G17">
        <v>25.403300000000002</v>
      </c>
      <c r="J17">
        <v>3.3E-3</v>
      </c>
      <c r="M17">
        <v>25.5</v>
      </c>
      <c r="N17">
        <v>25.3</v>
      </c>
      <c r="O17" t="s">
        <v>105</v>
      </c>
      <c r="P17">
        <v>7.3000000000000001E-3</v>
      </c>
      <c r="Q17">
        <v>0.05</v>
      </c>
      <c r="R17" t="s">
        <v>105</v>
      </c>
    </row>
    <row r="18" spans="1:18" x14ac:dyDescent="0.4">
      <c r="A18">
        <v>12</v>
      </c>
      <c r="B18" t="s">
        <v>3</v>
      </c>
      <c r="C18" t="s">
        <v>111</v>
      </c>
      <c r="D18">
        <v>25.4</v>
      </c>
      <c r="G18">
        <v>25.4054</v>
      </c>
      <c r="J18">
        <v>5.4000000000000003E-3</v>
      </c>
      <c r="M18">
        <v>25.5</v>
      </c>
      <c r="N18">
        <v>25.3</v>
      </c>
      <c r="O18" t="s">
        <v>105</v>
      </c>
      <c r="P18">
        <v>9.7000000000000003E-3</v>
      </c>
      <c r="Q18">
        <v>0.05</v>
      </c>
      <c r="R18" t="s">
        <v>105</v>
      </c>
    </row>
    <row r="19" spans="1:18" x14ac:dyDescent="0.4">
      <c r="A19">
        <v>13</v>
      </c>
      <c r="B19" t="s">
        <v>4</v>
      </c>
      <c r="C19" t="s">
        <v>111</v>
      </c>
      <c r="D19">
        <v>25.4</v>
      </c>
      <c r="G19">
        <v>25.402699999999999</v>
      </c>
      <c r="J19">
        <v>2.7000000000000001E-3</v>
      </c>
      <c r="M19">
        <v>25.5</v>
      </c>
      <c r="N19">
        <v>25.3</v>
      </c>
      <c r="O19" t="s">
        <v>105</v>
      </c>
      <c r="P19">
        <v>5.4000000000000003E-3</v>
      </c>
      <c r="Q19">
        <v>0.05</v>
      </c>
      <c r="R19" t="s">
        <v>105</v>
      </c>
    </row>
    <row r="20" spans="1:18" x14ac:dyDescent="0.4">
      <c r="A20">
        <v>14</v>
      </c>
      <c r="B20" t="s">
        <v>5</v>
      </c>
      <c r="C20" t="s">
        <v>112</v>
      </c>
      <c r="D20">
        <v>72.887</v>
      </c>
      <c r="G20">
        <v>72.880700000000004</v>
      </c>
      <c r="J20">
        <v>-6.3E-3</v>
      </c>
      <c r="M20">
        <v>72.986999999999995</v>
      </c>
      <c r="N20">
        <v>72.787000000000006</v>
      </c>
      <c r="O20" t="s">
        <v>105</v>
      </c>
    </row>
    <row r="21" spans="1:18" x14ac:dyDescent="0.4">
      <c r="A21">
        <v>15</v>
      </c>
      <c r="B21" t="s">
        <v>6</v>
      </c>
      <c r="C21" t="s">
        <v>112</v>
      </c>
      <c r="D21">
        <v>73.745999999999995</v>
      </c>
      <c r="G21">
        <v>73.712100000000007</v>
      </c>
      <c r="J21">
        <v>-3.39E-2</v>
      </c>
      <c r="M21">
        <v>73.846000000000004</v>
      </c>
      <c r="N21">
        <v>73.646000000000001</v>
      </c>
      <c r="O21" t="s">
        <v>105</v>
      </c>
    </row>
    <row r="22" spans="1:18" x14ac:dyDescent="0.4">
      <c r="A22">
        <v>16</v>
      </c>
      <c r="B22" t="s">
        <v>7</v>
      </c>
      <c r="C22" t="s">
        <v>112</v>
      </c>
      <c r="D22">
        <v>72.376999999999995</v>
      </c>
      <c r="G22">
        <v>72.3399</v>
      </c>
      <c r="J22">
        <v>-3.7100000000000001E-2</v>
      </c>
      <c r="M22">
        <v>72.477000000000004</v>
      </c>
      <c r="N22">
        <v>72.277000000000001</v>
      </c>
      <c r="O22" t="s">
        <v>105</v>
      </c>
    </row>
    <row r="23" spans="1:18" x14ac:dyDescent="0.4">
      <c r="A23">
        <v>17</v>
      </c>
      <c r="B23" t="s">
        <v>8</v>
      </c>
      <c r="C23" t="s">
        <v>112</v>
      </c>
      <c r="D23">
        <v>72.031000000000006</v>
      </c>
      <c r="G23">
        <v>71.965299999999999</v>
      </c>
      <c r="J23">
        <v>-6.5699999999999995E-2</v>
      </c>
      <c r="M23">
        <v>72.131</v>
      </c>
      <c r="N23">
        <v>71.930999999999997</v>
      </c>
      <c r="O23" t="s">
        <v>105</v>
      </c>
    </row>
    <row r="24" spans="1:18" x14ac:dyDescent="0.4">
      <c r="A24">
        <v>18</v>
      </c>
      <c r="B24" t="s">
        <v>9</v>
      </c>
      <c r="C24" t="s">
        <v>112</v>
      </c>
      <c r="D24">
        <v>75.007000000000005</v>
      </c>
      <c r="G24">
        <v>74.986900000000006</v>
      </c>
      <c r="J24">
        <v>-2.01E-2</v>
      </c>
      <c r="M24">
        <v>75.106999999999999</v>
      </c>
      <c r="N24">
        <v>74.906999999999996</v>
      </c>
      <c r="O24" t="s">
        <v>105</v>
      </c>
    </row>
    <row r="25" spans="1:18" x14ac:dyDescent="0.4">
      <c r="A25">
        <v>19</v>
      </c>
      <c r="B25" t="s">
        <v>10</v>
      </c>
      <c r="C25" t="s">
        <v>112</v>
      </c>
      <c r="D25">
        <v>74.007000000000005</v>
      </c>
      <c r="G25">
        <v>73.983900000000006</v>
      </c>
      <c r="J25">
        <v>-2.3099999999999999E-2</v>
      </c>
      <c r="M25">
        <v>74.106999999999999</v>
      </c>
      <c r="N25">
        <v>73.906999999999996</v>
      </c>
      <c r="O25" t="s">
        <v>105</v>
      </c>
    </row>
    <row r="26" spans="1:18" x14ac:dyDescent="0.4">
      <c r="A26">
        <v>20</v>
      </c>
      <c r="B26" t="s">
        <v>11</v>
      </c>
      <c r="C26" t="s">
        <v>112</v>
      </c>
      <c r="D26">
        <v>126</v>
      </c>
      <c r="G26">
        <v>125.93470000000001</v>
      </c>
      <c r="J26">
        <v>-6.5299999999999997E-2</v>
      </c>
      <c r="M26">
        <v>126.1</v>
      </c>
      <c r="N26">
        <v>125.9</v>
      </c>
      <c r="O26" t="s">
        <v>105</v>
      </c>
    </row>
    <row r="27" spans="1:18" x14ac:dyDescent="0.4">
      <c r="A27">
        <v>21</v>
      </c>
      <c r="B27" t="s">
        <v>12</v>
      </c>
      <c r="C27" t="s">
        <v>112</v>
      </c>
      <c r="D27">
        <v>124.004</v>
      </c>
      <c r="G27">
        <v>123.9272</v>
      </c>
      <c r="J27">
        <v>-7.6799999999999993E-2</v>
      </c>
      <c r="M27">
        <v>124.104</v>
      </c>
      <c r="N27">
        <v>123.904</v>
      </c>
      <c r="O27" t="s">
        <v>105</v>
      </c>
    </row>
    <row r="28" spans="1:18" x14ac:dyDescent="0.4">
      <c r="A28">
        <v>22</v>
      </c>
      <c r="B28" t="s">
        <v>13</v>
      </c>
      <c r="C28" t="s">
        <v>112</v>
      </c>
      <c r="D28">
        <v>145.262</v>
      </c>
      <c r="G28">
        <v>145.21770000000001</v>
      </c>
      <c r="J28">
        <v>-4.4299999999999999E-2</v>
      </c>
      <c r="M28">
        <v>145.36199999999999</v>
      </c>
      <c r="N28">
        <v>145.16200000000001</v>
      </c>
      <c r="O28" t="s">
        <v>105</v>
      </c>
    </row>
    <row r="29" spans="1:18" x14ac:dyDescent="0.4">
      <c r="A29">
        <v>23</v>
      </c>
      <c r="B29" t="s">
        <v>14</v>
      </c>
      <c r="C29" t="s">
        <v>112</v>
      </c>
      <c r="D29">
        <v>145.774</v>
      </c>
      <c r="G29">
        <v>145.67410000000001</v>
      </c>
      <c r="J29">
        <v>-9.9900000000000003E-2</v>
      </c>
      <c r="M29">
        <v>145.874</v>
      </c>
      <c r="N29">
        <v>145.67400000000001</v>
      </c>
      <c r="O29" t="s">
        <v>105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7416F-36F7-43C1-B0F7-241F41B6996B}">
  <dimension ref="A1:R29"/>
  <sheetViews>
    <sheetView workbookViewId="0"/>
  </sheetViews>
  <sheetFormatPr defaultRowHeight="14.6" x14ac:dyDescent="0.4"/>
  <cols>
    <col min="1" max="1" width="24.23046875" bestFit="1" customWidth="1"/>
    <col min="2" max="2" width="13.921875" bestFit="1" customWidth="1"/>
    <col min="3" max="3" width="17.53515625" bestFit="1" customWidth="1"/>
    <col min="4" max="4" width="7.84375" bestFit="1" customWidth="1"/>
    <col min="5" max="5" width="5.4609375" bestFit="1" customWidth="1"/>
    <col min="6" max="6" width="1.84375" bestFit="1" customWidth="1"/>
    <col min="7" max="7" width="8.84375" bestFit="1" customWidth="1"/>
    <col min="8" max="8" width="8.4609375" bestFit="1" customWidth="1"/>
    <col min="9" max="9" width="6.84375" bestFit="1" customWidth="1"/>
    <col min="10" max="10" width="7.4609375" bestFit="1" customWidth="1"/>
    <col min="11" max="12" width="6.84375" bestFit="1" customWidth="1"/>
    <col min="13" max="14" width="7.84375" bestFit="1" customWidth="1"/>
    <col min="15" max="15" width="4.84375" bestFit="1" customWidth="1"/>
    <col min="16" max="16" width="6.84375" bestFit="1" customWidth="1"/>
    <col min="17" max="18" width="4.84375" bestFit="1" customWidth="1"/>
  </cols>
  <sheetData>
    <row r="1" spans="1:18" x14ac:dyDescent="0.4">
      <c r="A1" t="s">
        <v>91</v>
      </c>
      <c r="B1" t="s">
        <v>92</v>
      </c>
    </row>
    <row r="2" spans="1:18" x14ac:dyDescent="0.4">
      <c r="A2" t="s">
        <v>93</v>
      </c>
      <c r="B2" t="s">
        <v>94</v>
      </c>
    </row>
    <row r="3" spans="1:18" x14ac:dyDescent="0.4">
      <c r="A3" t="s">
        <v>95</v>
      </c>
      <c r="B3" t="s">
        <v>122</v>
      </c>
    </row>
    <row r="4" spans="1:18" x14ac:dyDescent="0.4">
      <c r="A4" t="s">
        <v>97</v>
      </c>
      <c r="B4" t="s">
        <v>98</v>
      </c>
    </row>
    <row r="5" spans="1:18" x14ac:dyDescent="0.4">
      <c r="A5" t="s">
        <v>99</v>
      </c>
    </row>
    <row r="6" spans="1:18" x14ac:dyDescent="0.4">
      <c r="A6" t="s">
        <v>100</v>
      </c>
    </row>
    <row r="7" spans="1:18" x14ac:dyDescent="0.4">
      <c r="A7" t="s">
        <v>101</v>
      </c>
    </row>
    <row r="8" spans="1:18" x14ac:dyDescent="0.4">
      <c r="A8" t="s">
        <v>93</v>
      </c>
    </row>
    <row r="9" spans="1:18" x14ac:dyDescent="0.4">
      <c r="A9" t="s">
        <v>102</v>
      </c>
    </row>
    <row r="10" spans="1:18" x14ac:dyDescent="0.4">
      <c r="A10">
        <v>4</v>
      </c>
      <c r="B10" t="s">
        <v>103</v>
      </c>
      <c r="C10" t="s">
        <v>104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105</v>
      </c>
    </row>
    <row r="11" spans="1:18" x14ac:dyDescent="0.4">
      <c r="A11">
        <v>5</v>
      </c>
      <c r="B11" t="s">
        <v>106</v>
      </c>
      <c r="C11" t="s">
        <v>104</v>
      </c>
      <c r="D11">
        <v>62.5</v>
      </c>
      <c r="E11">
        <v>37.5</v>
      </c>
      <c r="F11">
        <v>0</v>
      </c>
      <c r="G11">
        <v>62.483499999999999</v>
      </c>
      <c r="H11">
        <v>37.515599999999999</v>
      </c>
      <c r="I11">
        <v>8.3599999999999994E-2</v>
      </c>
      <c r="J11">
        <v>-1.6500000000000001E-2</v>
      </c>
      <c r="K11">
        <v>1.5599999999999999E-2</v>
      </c>
      <c r="L11">
        <v>8.3599999999999994E-2</v>
      </c>
      <c r="P11">
        <v>0.17330000000000001</v>
      </c>
      <c r="Q11">
        <v>0.05</v>
      </c>
      <c r="R11" t="s">
        <v>107</v>
      </c>
    </row>
    <row r="12" spans="1:18" x14ac:dyDescent="0.4">
      <c r="A12">
        <v>6</v>
      </c>
      <c r="B12" t="s">
        <v>108</v>
      </c>
      <c r="C12" t="s">
        <v>104</v>
      </c>
      <c r="D12">
        <v>-63.5</v>
      </c>
      <c r="E12">
        <v>37.5</v>
      </c>
      <c r="F12">
        <v>0</v>
      </c>
      <c r="G12">
        <v>-63.4512</v>
      </c>
      <c r="H12">
        <v>37.515599999999999</v>
      </c>
      <c r="I12">
        <v>6.9800000000000001E-2</v>
      </c>
      <c r="J12">
        <v>4.8800000000000003E-2</v>
      </c>
      <c r="K12">
        <v>1.5599999999999999E-2</v>
      </c>
      <c r="L12">
        <v>6.9800000000000001E-2</v>
      </c>
      <c r="P12">
        <v>0.1731</v>
      </c>
      <c r="Q12">
        <v>0.05</v>
      </c>
      <c r="R12" t="s">
        <v>107</v>
      </c>
    </row>
    <row r="13" spans="1:18" x14ac:dyDescent="0.4">
      <c r="A13">
        <v>7</v>
      </c>
      <c r="B13" t="s">
        <v>109</v>
      </c>
      <c r="C13" t="s">
        <v>104</v>
      </c>
      <c r="D13">
        <v>-62.5</v>
      </c>
      <c r="E13">
        <v>-36.5</v>
      </c>
      <c r="F13">
        <v>0</v>
      </c>
      <c r="G13">
        <v>-62.478000000000002</v>
      </c>
      <c r="H13">
        <v>-36.461799999999997</v>
      </c>
      <c r="I13">
        <v>8.3799999999999999E-2</v>
      </c>
      <c r="J13">
        <v>2.1999999999999999E-2</v>
      </c>
      <c r="K13">
        <v>3.8199999999999998E-2</v>
      </c>
      <c r="L13">
        <v>8.3799999999999999E-2</v>
      </c>
      <c r="P13">
        <v>0.1893</v>
      </c>
      <c r="Q13">
        <v>0.05</v>
      </c>
      <c r="R13" t="s">
        <v>107</v>
      </c>
    </row>
    <row r="14" spans="1:18" x14ac:dyDescent="0.4">
      <c r="A14">
        <v>8</v>
      </c>
      <c r="B14" t="s">
        <v>110</v>
      </c>
      <c r="C14" t="s">
        <v>104</v>
      </c>
      <c r="D14">
        <v>61.5</v>
      </c>
      <c r="E14">
        <v>-37.5</v>
      </c>
      <c r="F14">
        <v>0</v>
      </c>
      <c r="G14">
        <v>61.444699999999997</v>
      </c>
      <c r="H14">
        <v>-37.464199999999998</v>
      </c>
      <c r="I14">
        <v>7.0199999999999999E-2</v>
      </c>
      <c r="J14">
        <v>-5.5300000000000002E-2</v>
      </c>
      <c r="K14">
        <v>3.5799999999999998E-2</v>
      </c>
      <c r="L14">
        <v>7.0199999999999999E-2</v>
      </c>
      <c r="P14">
        <v>0.19259999999999999</v>
      </c>
      <c r="Q14">
        <v>0.05</v>
      </c>
      <c r="R14" t="s">
        <v>107</v>
      </c>
    </row>
    <row r="15" spans="1:18" x14ac:dyDescent="0.4">
      <c r="A15">
        <v>9</v>
      </c>
      <c r="B15" t="s">
        <v>0</v>
      </c>
      <c r="C15" t="s">
        <v>111</v>
      </c>
      <c r="D15">
        <v>25.4</v>
      </c>
      <c r="G15">
        <v>25.3992</v>
      </c>
      <c r="J15">
        <v>-8.0000000000000004E-4</v>
      </c>
      <c r="M15">
        <v>25.5</v>
      </c>
      <c r="N15">
        <v>25.3</v>
      </c>
      <c r="O15" t="s">
        <v>105</v>
      </c>
      <c r="P15">
        <v>6.3E-3</v>
      </c>
      <c r="Q15">
        <v>0.05</v>
      </c>
      <c r="R15" t="s">
        <v>105</v>
      </c>
    </row>
    <row r="16" spans="1:18" x14ac:dyDescent="0.4">
      <c r="A16">
        <v>10</v>
      </c>
      <c r="B16" t="s">
        <v>1</v>
      </c>
      <c r="C16" t="s">
        <v>111</v>
      </c>
      <c r="D16">
        <v>25.4</v>
      </c>
      <c r="G16">
        <v>25.402799999999999</v>
      </c>
      <c r="J16">
        <v>2.8E-3</v>
      </c>
      <c r="M16">
        <v>25.5</v>
      </c>
      <c r="N16">
        <v>25.3</v>
      </c>
      <c r="O16" t="s">
        <v>105</v>
      </c>
      <c r="P16">
        <v>4.4999999999999997E-3</v>
      </c>
      <c r="Q16">
        <v>0.05</v>
      </c>
      <c r="R16" t="s">
        <v>105</v>
      </c>
    </row>
    <row r="17" spans="1:18" x14ac:dyDescent="0.4">
      <c r="A17">
        <v>11</v>
      </c>
      <c r="B17" t="s">
        <v>2</v>
      </c>
      <c r="C17" t="s">
        <v>111</v>
      </c>
      <c r="D17">
        <v>25.4</v>
      </c>
      <c r="G17">
        <v>25.401900000000001</v>
      </c>
      <c r="J17">
        <v>1.9E-3</v>
      </c>
      <c r="M17">
        <v>25.5</v>
      </c>
      <c r="N17">
        <v>25.3</v>
      </c>
      <c r="O17" t="s">
        <v>105</v>
      </c>
      <c r="P17">
        <v>6.1000000000000004E-3</v>
      </c>
      <c r="Q17">
        <v>0.05</v>
      </c>
      <c r="R17" t="s">
        <v>105</v>
      </c>
    </row>
    <row r="18" spans="1:18" x14ac:dyDescent="0.4">
      <c r="A18">
        <v>12</v>
      </c>
      <c r="B18" t="s">
        <v>3</v>
      </c>
      <c r="C18" t="s">
        <v>111</v>
      </c>
      <c r="D18">
        <v>25.4</v>
      </c>
      <c r="G18">
        <v>25.404499999999999</v>
      </c>
      <c r="J18">
        <v>4.4999999999999997E-3</v>
      </c>
      <c r="M18">
        <v>25.5</v>
      </c>
      <c r="N18">
        <v>25.3</v>
      </c>
      <c r="O18" t="s">
        <v>105</v>
      </c>
      <c r="P18">
        <v>5.5999999999999999E-3</v>
      </c>
      <c r="Q18">
        <v>0.05</v>
      </c>
      <c r="R18" t="s">
        <v>105</v>
      </c>
    </row>
    <row r="19" spans="1:18" x14ac:dyDescent="0.4">
      <c r="A19">
        <v>13</v>
      </c>
      <c r="B19" t="s">
        <v>4</v>
      </c>
      <c r="C19" t="s">
        <v>111</v>
      </c>
      <c r="D19">
        <v>25.4</v>
      </c>
      <c r="G19">
        <v>25.4024</v>
      </c>
      <c r="J19">
        <v>2.3999999999999998E-3</v>
      </c>
      <c r="M19">
        <v>25.5</v>
      </c>
      <c r="N19">
        <v>25.3</v>
      </c>
      <c r="O19" t="s">
        <v>105</v>
      </c>
      <c r="P19">
        <v>5.4000000000000003E-3</v>
      </c>
      <c r="Q19">
        <v>0.05</v>
      </c>
      <c r="R19" t="s">
        <v>105</v>
      </c>
    </row>
    <row r="20" spans="1:18" x14ac:dyDescent="0.4">
      <c r="A20">
        <v>14</v>
      </c>
      <c r="B20" t="s">
        <v>5</v>
      </c>
      <c r="C20" t="s">
        <v>112</v>
      </c>
      <c r="D20">
        <v>72.887</v>
      </c>
      <c r="G20">
        <v>72.880799999999994</v>
      </c>
      <c r="J20">
        <v>-6.1999999999999998E-3</v>
      </c>
      <c r="M20">
        <v>72.986999999999995</v>
      </c>
      <c r="N20">
        <v>72.787000000000006</v>
      </c>
      <c r="O20" t="s">
        <v>105</v>
      </c>
    </row>
    <row r="21" spans="1:18" x14ac:dyDescent="0.4">
      <c r="A21">
        <v>15</v>
      </c>
      <c r="B21" t="s">
        <v>6</v>
      </c>
      <c r="C21" t="s">
        <v>112</v>
      </c>
      <c r="D21">
        <v>73.745999999999995</v>
      </c>
      <c r="G21">
        <v>73.712100000000007</v>
      </c>
      <c r="J21">
        <v>-3.39E-2</v>
      </c>
      <c r="M21">
        <v>73.846000000000004</v>
      </c>
      <c r="N21">
        <v>73.646000000000001</v>
      </c>
      <c r="O21" t="s">
        <v>105</v>
      </c>
    </row>
    <row r="22" spans="1:18" x14ac:dyDescent="0.4">
      <c r="A22">
        <v>16</v>
      </c>
      <c r="B22" t="s">
        <v>7</v>
      </c>
      <c r="C22" t="s">
        <v>112</v>
      </c>
      <c r="D22">
        <v>72.376999999999995</v>
      </c>
      <c r="G22">
        <v>72.339299999999994</v>
      </c>
      <c r="J22">
        <v>-3.7699999999999997E-2</v>
      </c>
      <c r="M22">
        <v>72.477000000000004</v>
      </c>
      <c r="N22">
        <v>72.277000000000001</v>
      </c>
      <c r="O22" t="s">
        <v>105</v>
      </c>
    </row>
    <row r="23" spans="1:18" x14ac:dyDescent="0.4">
      <c r="A23">
        <v>17</v>
      </c>
      <c r="B23" t="s">
        <v>8</v>
      </c>
      <c r="C23" t="s">
        <v>112</v>
      </c>
      <c r="D23">
        <v>72.031000000000006</v>
      </c>
      <c r="G23">
        <v>71.965400000000002</v>
      </c>
      <c r="J23">
        <v>-6.5600000000000006E-2</v>
      </c>
      <c r="M23">
        <v>72.131</v>
      </c>
      <c r="N23">
        <v>71.930999999999997</v>
      </c>
      <c r="O23" t="s">
        <v>105</v>
      </c>
    </row>
    <row r="24" spans="1:18" x14ac:dyDescent="0.4">
      <c r="A24">
        <v>18</v>
      </c>
      <c r="B24" t="s">
        <v>9</v>
      </c>
      <c r="C24" t="s">
        <v>112</v>
      </c>
      <c r="D24">
        <v>75.007000000000005</v>
      </c>
      <c r="G24">
        <v>74.986999999999995</v>
      </c>
      <c r="J24">
        <v>-0.02</v>
      </c>
      <c r="M24">
        <v>75.106999999999999</v>
      </c>
      <c r="N24">
        <v>74.906999999999996</v>
      </c>
      <c r="O24" t="s">
        <v>105</v>
      </c>
    </row>
    <row r="25" spans="1:18" x14ac:dyDescent="0.4">
      <c r="A25">
        <v>19</v>
      </c>
      <c r="B25" t="s">
        <v>10</v>
      </c>
      <c r="C25" t="s">
        <v>112</v>
      </c>
      <c r="D25">
        <v>74.007000000000005</v>
      </c>
      <c r="G25">
        <v>73.983800000000002</v>
      </c>
      <c r="J25">
        <v>-2.3199999999999998E-2</v>
      </c>
      <c r="M25">
        <v>74.106999999999999</v>
      </c>
      <c r="N25">
        <v>73.906999999999996</v>
      </c>
      <c r="O25" t="s">
        <v>105</v>
      </c>
    </row>
    <row r="26" spans="1:18" x14ac:dyDescent="0.4">
      <c r="A26">
        <v>20</v>
      </c>
      <c r="B26" t="s">
        <v>11</v>
      </c>
      <c r="C26" t="s">
        <v>112</v>
      </c>
      <c r="D26">
        <v>126</v>
      </c>
      <c r="G26">
        <v>125.93470000000001</v>
      </c>
      <c r="J26">
        <v>-6.5299999999999997E-2</v>
      </c>
      <c r="M26">
        <v>126.1</v>
      </c>
      <c r="N26">
        <v>125.9</v>
      </c>
      <c r="O26" t="s">
        <v>105</v>
      </c>
    </row>
    <row r="27" spans="1:18" x14ac:dyDescent="0.4">
      <c r="A27">
        <v>21</v>
      </c>
      <c r="B27" t="s">
        <v>12</v>
      </c>
      <c r="C27" t="s">
        <v>112</v>
      </c>
      <c r="D27">
        <v>124.004</v>
      </c>
      <c r="G27">
        <v>123.9268</v>
      </c>
      <c r="J27">
        <v>-7.7200000000000005E-2</v>
      </c>
      <c r="M27">
        <v>124.104</v>
      </c>
      <c r="N27">
        <v>123.904</v>
      </c>
      <c r="O27" t="s">
        <v>105</v>
      </c>
    </row>
    <row r="28" spans="1:18" x14ac:dyDescent="0.4">
      <c r="A28">
        <v>22</v>
      </c>
      <c r="B28" t="s">
        <v>13</v>
      </c>
      <c r="C28" t="s">
        <v>112</v>
      </c>
      <c r="D28">
        <v>145.262</v>
      </c>
      <c r="G28">
        <v>145.21719999999999</v>
      </c>
      <c r="J28">
        <v>-4.48E-2</v>
      </c>
      <c r="M28">
        <v>145.36199999999999</v>
      </c>
      <c r="N28">
        <v>145.16200000000001</v>
      </c>
      <c r="O28" t="s">
        <v>105</v>
      </c>
    </row>
    <row r="29" spans="1:18" x14ac:dyDescent="0.4">
      <c r="A29">
        <v>23</v>
      </c>
      <c r="B29" t="s">
        <v>14</v>
      </c>
      <c r="C29" t="s">
        <v>112</v>
      </c>
      <c r="D29">
        <v>145.774</v>
      </c>
      <c r="G29">
        <v>145.67410000000001</v>
      </c>
      <c r="J29">
        <v>-9.9900000000000003E-2</v>
      </c>
      <c r="M29">
        <v>145.874</v>
      </c>
      <c r="N29">
        <v>145.67400000000001</v>
      </c>
      <c r="O29" t="s">
        <v>105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88E0A-7216-4299-B1C1-689CF4AE79E2}">
  <dimension ref="A1:R29"/>
  <sheetViews>
    <sheetView workbookViewId="0"/>
  </sheetViews>
  <sheetFormatPr defaultRowHeight="14.6" x14ac:dyDescent="0.4"/>
  <cols>
    <col min="1" max="1" width="24.23046875" bestFit="1" customWidth="1"/>
    <col min="2" max="2" width="13.921875" bestFit="1" customWidth="1"/>
    <col min="3" max="3" width="17.53515625" bestFit="1" customWidth="1"/>
    <col min="4" max="4" width="7.84375" bestFit="1" customWidth="1"/>
    <col min="5" max="5" width="5.4609375" bestFit="1" customWidth="1"/>
    <col min="6" max="6" width="1.84375" bestFit="1" customWidth="1"/>
    <col min="7" max="7" width="8.84375" bestFit="1" customWidth="1"/>
    <col min="8" max="8" width="8.4609375" bestFit="1" customWidth="1"/>
    <col min="9" max="9" width="6.84375" bestFit="1" customWidth="1"/>
    <col min="10" max="10" width="7.4609375" bestFit="1" customWidth="1"/>
    <col min="11" max="12" width="6.84375" bestFit="1" customWidth="1"/>
    <col min="13" max="14" width="7.84375" bestFit="1" customWidth="1"/>
    <col min="15" max="15" width="4.84375" bestFit="1" customWidth="1"/>
    <col min="16" max="16" width="6.84375" bestFit="1" customWidth="1"/>
    <col min="17" max="18" width="4.84375" bestFit="1" customWidth="1"/>
  </cols>
  <sheetData>
    <row r="1" spans="1:18" x14ac:dyDescent="0.4">
      <c r="A1" t="s">
        <v>91</v>
      </c>
      <c r="B1" t="s">
        <v>92</v>
      </c>
    </row>
    <row r="2" spans="1:18" x14ac:dyDescent="0.4">
      <c r="A2" t="s">
        <v>93</v>
      </c>
      <c r="B2" t="s">
        <v>94</v>
      </c>
    </row>
    <row r="3" spans="1:18" x14ac:dyDescent="0.4">
      <c r="A3" t="s">
        <v>95</v>
      </c>
      <c r="B3" t="s">
        <v>123</v>
      </c>
    </row>
    <row r="4" spans="1:18" x14ac:dyDescent="0.4">
      <c r="A4" t="s">
        <v>97</v>
      </c>
      <c r="B4" t="s">
        <v>114</v>
      </c>
    </row>
    <row r="5" spans="1:18" x14ac:dyDescent="0.4">
      <c r="A5" t="s">
        <v>99</v>
      </c>
    </row>
    <row r="6" spans="1:18" x14ac:dyDescent="0.4">
      <c r="A6" t="s">
        <v>100</v>
      </c>
    </row>
    <row r="7" spans="1:18" x14ac:dyDescent="0.4">
      <c r="A7" t="s">
        <v>101</v>
      </c>
    </row>
    <row r="8" spans="1:18" x14ac:dyDescent="0.4">
      <c r="A8" t="s">
        <v>93</v>
      </c>
    </row>
    <row r="9" spans="1:18" x14ac:dyDescent="0.4">
      <c r="A9" t="s">
        <v>102</v>
      </c>
    </row>
    <row r="10" spans="1:18" x14ac:dyDescent="0.4">
      <c r="A10">
        <v>4</v>
      </c>
      <c r="B10" t="s">
        <v>103</v>
      </c>
      <c r="C10" t="s">
        <v>104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105</v>
      </c>
    </row>
    <row r="11" spans="1:18" x14ac:dyDescent="0.4">
      <c r="A11">
        <v>5</v>
      </c>
      <c r="B11" t="s">
        <v>106</v>
      </c>
      <c r="C11" t="s">
        <v>104</v>
      </c>
      <c r="D11">
        <v>62.5</v>
      </c>
      <c r="E11">
        <v>37.5</v>
      </c>
      <c r="F11">
        <v>0</v>
      </c>
      <c r="G11">
        <v>62.483199999999997</v>
      </c>
      <c r="H11">
        <v>37.516100000000002</v>
      </c>
      <c r="I11">
        <v>8.2299999999999998E-2</v>
      </c>
      <c r="J11">
        <v>-1.6799999999999999E-2</v>
      </c>
      <c r="K11">
        <v>1.61E-2</v>
      </c>
      <c r="L11">
        <v>8.2299999999999998E-2</v>
      </c>
      <c r="P11">
        <v>0.1711</v>
      </c>
      <c r="Q11">
        <v>0.05</v>
      </c>
      <c r="R11" t="s">
        <v>107</v>
      </c>
    </row>
    <row r="12" spans="1:18" x14ac:dyDescent="0.4">
      <c r="A12">
        <v>6</v>
      </c>
      <c r="B12" t="s">
        <v>108</v>
      </c>
      <c r="C12" t="s">
        <v>104</v>
      </c>
      <c r="D12">
        <v>-63.5</v>
      </c>
      <c r="E12">
        <v>37.5</v>
      </c>
      <c r="F12">
        <v>0</v>
      </c>
      <c r="G12">
        <v>-63.4514</v>
      </c>
      <c r="H12">
        <v>37.516100000000002</v>
      </c>
      <c r="I12">
        <v>6.7900000000000002E-2</v>
      </c>
      <c r="J12">
        <v>4.8599999999999997E-2</v>
      </c>
      <c r="K12">
        <v>1.61E-2</v>
      </c>
      <c r="L12">
        <v>6.7900000000000002E-2</v>
      </c>
      <c r="P12">
        <v>0.1701</v>
      </c>
      <c r="Q12">
        <v>0.05</v>
      </c>
      <c r="R12" t="s">
        <v>107</v>
      </c>
    </row>
    <row r="13" spans="1:18" x14ac:dyDescent="0.4">
      <c r="A13">
        <v>7</v>
      </c>
      <c r="B13" t="s">
        <v>109</v>
      </c>
      <c r="C13" t="s">
        <v>104</v>
      </c>
      <c r="D13">
        <v>-62.5</v>
      </c>
      <c r="E13">
        <v>-36.5</v>
      </c>
      <c r="F13">
        <v>0</v>
      </c>
      <c r="G13">
        <v>-62.4786</v>
      </c>
      <c r="H13">
        <v>-36.461500000000001</v>
      </c>
      <c r="I13">
        <v>8.2500000000000004E-2</v>
      </c>
      <c r="J13">
        <v>2.1399999999999999E-2</v>
      </c>
      <c r="K13">
        <v>3.85E-2</v>
      </c>
      <c r="L13">
        <v>8.2500000000000004E-2</v>
      </c>
      <c r="P13">
        <v>0.18709999999999999</v>
      </c>
      <c r="Q13">
        <v>0.05</v>
      </c>
      <c r="R13" t="s">
        <v>107</v>
      </c>
    </row>
    <row r="14" spans="1:18" x14ac:dyDescent="0.4">
      <c r="A14">
        <v>8</v>
      </c>
      <c r="B14" t="s">
        <v>110</v>
      </c>
      <c r="C14" t="s">
        <v>104</v>
      </c>
      <c r="D14">
        <v>61.5</v>
      </c>
      <c r="E14">
        <v>-37.5</v>
      </c>
      <c r="F14">
        <v>0</v>
      </c>
      <c r="G14">
        <v>61.444299999999998</v>
      </c>
      <c r="H14">
        <v>-37.464599999999997</v>
      </c>
      <c r="I14">
        <v>6.8400000000000002E-2</v>
      </c>
      <c r="J14">
        <v>-5.57E-2</v>
      </c>
      <c r="K14">
        <v>3.5400000000000001E-2</v>
      </c>
      <c r="L14">
        <v>6.8400000000000002E-2</v>
      </c>
      <c r="P14">
        <v>0.19</v>
      </c>
      <c r="Q14">
        <v>0.05</v>
      </c>
      <c r="R14" t="s">
        <v>107</v>
      </c>
    </row>
    <row r="15" spans="1:18" x14ac:dyDescent="0.4">
      <c r="A15">
        <v>9</v>
      </c>
      <c r="B15" t="s">
        <v>0</v>
      </c>
      <c r="C15" t="s">
        <v>111</v>
      </c>
      <c r="D15">
        <v>25.4</v>
      </c>
      <c r="G15">
        <v>25.398199999999999</v>
      </c>
      <c r="J15">
        <v>-1.8E-3</v>
      </c>
      <c r="M15">
        <v>25.5</v>
      </c>
      <c r="N15">
        <v>25.3</v>
      </c>
      <c r="O15" t="s">
        <v>105</v>
      </c>
      <c r="P15">
        <v>5.3E-3</v>
      </c>
      <c r="Q15">
        <v>0.05</v>
      </c>
      <c r="R15" t="s">
        <v>105</v>
      </c>
    </row>
    <row r="16" spans="1:18" x14ac:dyDescent="0.4">
      <c r="A16">
        <v>10</v>
      </c>
      <c r="B16" t="s">
        <v>1</v>
      </c>
      <c r="C16" t="s">
        <v>111</v>
      </c>
      <c r="D16">
        <v>25.4</v>
      </c>
      <c r="G16">
        <v>25.4026</v>
      </c>
      <c r="J16">
        <v>2.5999999999999999E-3</v>
      </c>
      <c r="M16">
        <v>25.5</v>
      </c>
      <c r="N16">
        <v>25.3</v>
      </c>
      <c r="O16" t="s">
        <v>105</v>
      </c>
      <c r="P16">
        <v>7.7000000000000002E-3</v>
      </c>
      <c r="Q16">
        <v>0.05</v>
      </c>
      <c r="R16" t="s">
        <v>105</v>
      </c>
    </row>
    <row r="17" spans="1:18" x14ac:dyDescent="0.4">
      <c r="A17">
        <v>11</v>
      </c>
      <c r="B17" t="s">
        <v>2</v>
      </c>
      <c r="C17" t="s">
        <v>111</v>
      </c>
      <c r="D17">
        <v>25.4</v>
      </c>
      <c r="G17">
        <v>25.403099999999998</v>
      </c>
      <c r="J17">
        <v>3.0999999999999999E-3</v>
      </c>
      <c r="M17">
        <v>25.5</v>
      </c>
      <c r="N17">
        <v>25.3</v>
      </c>
      <c r="O17" t="s">
        <v>105</v>
      </c>
      <c r="P17">
        <v>5.4999999999999997E-3</v>
      </c>
      <c r="Q17">
        <v>0.05</v>
      </c>
      <c r="R17" t="s">
        <v>105</v>
      </c>
    </row>
    <row r="18" spans="1:18" x14ac:dyDescent="0.4">
      <c r="A18">
        <v>12</v>
      </c>
      <c r="B18" t="s">
        <v>3</v>
      </c>
      <c r="C18" t="s">
        <v>111</v>
      </c>
      <c r="D18">
        <v>25.4</v>
      </c>
      <c r="G18">
        <v>25.405200000000001</v>
      </c>
      <c r="J18">
        <v>5.1999999999999998E-3</v>
      </c>
      <c r="M18">
        <v>25.5</v>
      </c>
      <c r="N18">
        <v>25.3</v>
      </c>
      <c r="O18" t="s">
        <v>105</v>
      </c>
      <c r="P18">
        <v>5.5999999999999999E-3</v>
      </c>
      <c r="Q18">
        <v>0.05</v>
      </c>
      <c r="R18" t="s">
        <v>105</v>
      </c>
    </row>
    <row r="19" spans="1:18" x14ac:dyDescent="0.4">
      <c r="A19">
        <v>13</v>
      </c>
      <c r="B19" t="s">
        <v>4</v>
      </c>
      <c r="C19" t="s">
        <v>111</v>
      </c>
      <c r="D19">
        <v>25.4</v>
      </c>
      <c r="G19">
        <v>25.403300000000002</v>
      </c>
      <c r="J19">
        <v>3.3E-3</v>
      </c>
      <c r="M19">
        <v>25.5</v>
      </c>
      <c r="N19">
        <v>25.3</v>
      </c>
      <c r="O19" t="s">
        <v>105</v>
      </c>
      <c r="P19">
        <v>3.3E-3</v>
      </c>
      <c r="Q19">
        <v>0.05</v>
      </c>
      <c r="R19" t="s">
        <v>105</v>
      </c>
    </row>
    <row r="20" spans="1:18" x14ac:dyDescent="0.4">
      <c r="A20">
        <v>14</v>
      </c>
      <c r="B20" t="s">
        <v>5</v>
      </c>
      <c r="C20" t="s">
        <v>112</v>
      </c>
      <c r="D20">
        <v>72.887</v>
      </c>
      <c r="G20">
        <v>72.880799999999994</v>
      </c>
      <c r="J20">
        <v>-6.1999999999999998E-3</v>
      </c>
      <c r="M20">
        <v>72.986999999999995</v>
      </c>
      <c r="N20">
        <v>72.787000000000006</v>
      </c>
      <c r="O20" t="s">
        <v>105</v>
      </c>
    </row>
    <row r="21" spans="1:18" x14ac:dyDescent="0.4">
      <c r="A21">
        <v>15</v>
      </c>
      <c r="B21" t="s">
        <v>6</v>
      </c>
      <c r="C21" t="s">
        <v>112</v>
      </c>
      <c r="D21">
        <v>73.745999999999995</v>
      </c>
      <c r="G21">
        <v>73.712599999999995</v>
      </c>
      <c r="J21">
        <v>-3.3399999999999999E-2</v>
      </c>
      <c r="M21">
        <v>73.846000000000004</v>
      </c>
      <c r="N21">
        <v>73.646000000000001</v>
      </c>
      <c r="O21" t="s">
        <v>105</v>
      </c>
    </row>
    <row r="22" spans="1:18" x14ac:dyDescent="0.4">
      <c r="A22">
        <v>16</v>
      </c>
      <c r="B22" t="s">
        <v>7</v>
      </c>
      <c r="C22" t="s">
        <v>112</v>
      </c>
      <c r="D22">
        <v>72.376999999999995</v>
      </c>
      <c r="G22">
        <v>72.339699999999993</v>
      </c>
      <c r="J22">
        <v>-3.73E-2</v>
      </c>
      <c r="M22">
        <v>72.477000000000004</v>
      </c>
      <c r="N22">
        <v>72.277000000000001</v>
      </c>
      <c r="O22" t="s">
        <v>105</v>
      </c>
    </row>
    <row r="23" spans="1:18" x14ac:dyDescent="0.4">
      <c r="A23">
        <v>17</v>
      </c>
      <c r="B23" t="s">
        <v>8</v>
      </c>
      <c r="C23" t="s">
        <v>112</v>
      </c>
      <c r="D23">
        <v>72.031000000000006</v>
      </c>
      <c r="G23">
        <v>71.965299999999999</v>
      </c>
      <c r="J23">
        <v>-6.5699999999999995E-2</v>
      </c>
      <c r="M23">
        <v>72.131</v>
      </c>
      <c r="N23">
        <v>71.930999999999997</v>
      </c>
      <c r="O23" t="s">
        <v>105</v>
      </c>
    </row>
    <row r="24" spans="1:18" x14ac:dyDescent="0.4">
      <c r="A24">
        <v>18</v>
      </c>
      <c r="B24" t="s">
        <v>9</v>
      </c>
      <c r="C24" t="s">
        <v>112</v>
      </c>
      <c r="D24">
        <v>75.007000000000005</v>
      </c>
      <c r="G24">
        <v>74.987899999999996</v>
      </c>
      <c r="J24">
        <v>-1.9099999999999999E-2</v>
      </c>
      <c r="M24">
        <v>75.106999999999999</v>
      </c>
      <c r="N24">
        <v>74.906999999999996</v>
      </c>
      <c r="O24" t="s">
        <v>105</v>
      </c>
    </row>
    <row r="25" spans="1:18" x14ac:dyDescent="0.4">
      <c r="A25">
        <v>19</v>
      </c>
      <c r="B25" t="s">
        <v>10</v>
      </c>
      <c r="C25" t="s">
        <v>112</v>
      </c>
      <c r="D25">
        <v>74.007000000000005</v>
      </c>
      <c r="G25">
        <v>73.983999999999995</v>
      </c>
      <c r="J25">
        <v>-2.3E-2</v>
      </c>
      <c r="M25">
        <v>74.106999999999999</v>
      </c>
      <c r="N25">
        <v>73.906999999999996</v>
      </c>
      <c r="O25" t="s">
        <v>105</v>
      </c>
    </row>
    <row r="26" spans="1:18" x14ac:dyDescent="0.4">
      <c r="A26">
        <v>20</v>
      </c>
      <c r="B26" t="s">
        <v>11</v>
      </c>
      <c r="C26" t="s">
        <v>112</v>
      </c>
      <c r="D26">
        <v>126</v>
      </c>
      <c r="G26">
        <v>125.9346</v>
      </c>
      <c r="J26">
        <v>-6.54E-2</v>
      </c>
      <c r="M26">
        <v>126.1</v>
      </c>
      <c r="N26">
        <v>125.9</v>
      </c>
      <c r="O26" t="s">
        <v>105</v>
      </c>
    </row>
    <row r="27" spans="1:18" x14ac:dyDescent="0.4">
      <c r="A27">
        <v>21</v>
      </c>
      <c r="B27" t="s">
        <v>12</v>
      </c>
      <c r="C27" t="s">
        <v>112</v>
      </c>
      <c r="D27">
        <v>124.004</v>
      </c>
      <c r="G27">
        <v>123.92700000000001</v>
      </c>
      <c r="J27">
        <v>-7.6999999999999999E-2</v>
      </c>
      <c r="M27">
        <v>124.104</v>
      </c>
      <c r="N27">
        <v>123.904</v>
      </c>
      <c r="O27" t="s">
        <v>105</v>
      </c>
    </row>
    <row r="28" spans="1:18" x14ac:dyDescent="0.4">
      <c r="A28">
        <v>22</v>
      </c>
      <c r="B28" t="s">
        <v>13</v>
      </c>
      <c r="C28" t="s">
        <v>112</v>
      </c>
      <c r="D28">
        <v>145.262</v>
      </c>
      <c r="G28">
        <v>145.2176</v>
      </c>
      <c r="J28">
        <v>-4.4400000000000002E-2</v>
      </c>
      <c r="M28">
        <v>145.36199999999999</v>
      </c>
      <c r="N28">
        <v>145.16200000000001</v>
      </c>
      <c r="O28" t="s">
        <v>105</v>
      </c>
    </row>
    <row r="29" spans="1:18" x14ac:dyDescent="0.4">
      <c r="A29">
        <v>23</v>
      </c>
      <c r="B29" t="s">
        <v>14</v>
      </c>
      <c r="C29" t="s">
        <v>112</v>
      </c>
      <c r="D29">
        <v>145.774</v>
      </c>
      <c r="G29">
        <v>145.67449999999999</v>
      </c>
      <c r="J29">
        <v>-9.9500000000000005E-2</v>
      </c>
      <c r="M29">
        <v>145.874</v>
      </c>
      <c r="N29">
        <v>145.67400000000001</v>
      </c>
      <c r="O29" t="s">
        <v>105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E8D0C-9FFB-4873-AF42-64ED951A2003}">
  <dimension ref="A1:R29"/>
  <sheetViews>
    <sheetView workbookViewId="0"/>
  </sheetViews>
  <sheetFormatPr defaultRowHeight="14.6" x14ac:dyDescent="0.4"/>
  <cols>
    <col min="1" max="1" width="24.23046875" bestFit="1" customWidth="1"/>
    <col min="2" max="2" width="13.921875" bestFit="1" customWidth="1"/>
    <col min="3" max="3" width="17.53515625" bestFit="1" customWidth="1"/>
    <col min="4" max="4" width="7.84375" bestFit="1" customWidth="1"/>
    <col min="5" max="5" width="5.4609375" bestFit="1" customWidth="1"/>
    <col min="6" max="6" width="1.84375" bestFit="1" customWidth="1"/>
    <col min="7" max="7" width="8.84375" bestFit="1" customWidth="1"/>
    <col min="8" max="8" width="8.4609375" bestFit="1" customWidth="1"/>
    <col min="9" max="9" width="6.84375" bestFit="1" customWidth="1"/>
    <col min="10" max="10" width="7.4609375" bestFit="1" customWidth="1"/>
    <col min="11" max="12" width="6.84375" bestFit="1" customWidth="1"/>
    <col min="13" max="14" width="7.84375" bestFit="1" customWidth="1"/>
    <col min="15" max="15" width="4.84375" bestFit="1" customWidth="1"/>
    <col min="16" max="16" width="6.84375" bestFit="1" customWidth="1"/>
    <col min="17" max="18" width="4.84375" bestFit="1" customWidth="1"/>
  </cols>
  <sheetData>
    <row r="1" spans="1:18" x14ac:dyDescent="0.4">
      <c r="A1" t="s">
        <v>91</v>
      </c>
      <c r="B1" t="s">
        <v>92</v>
      </c>
    </row>
    <row r="2" spans="1:18" x14ac:dyDescent="0.4">
      <c r="A2" t="s">
        <v>93</v>
      </c>
      <c r="B2" t="s">
        <v>94</v>
      </c>
    </row>
    <row r="3" spans="1:18" x14ac:dyDescent="0.4">
      <c r="A3" t="s">
        <v>95</v>
      </c>
      <c r="B3" t="s">
        <v>124</v>
      </c>
    </row>
    <row r="4" spans="1:18" x14ac:dyDescent="0.4">
      <c r="A4" t="s">
        <v>97</v>
      </c>
      <c r="B4" t="s">
        <v>114</v>
      </c>
    </row>
    <row r="5" spans="1:18" x14ac:dyDescent="0.4">
      <c r="A5" t="s">
        <v>99</v>
      </c>
    </row>
    <row r="6" spans="1:18" x14ac:dyDescent="0.4">
      <c r="A6" t="s">
        <v>100</v>
      </c>
    </row>
    <row r="7" spans="1:18" x14ac:dyDescent="0.4">
      <c r="A7" t="s">
        <v>101</v>
      </c>
    </row>
    <row r="8" spans="1:18" x14ac:dyDescent="0.4">
      <c r="A8" t="s">
        <v>93</v>
      </c>
    </row>
    <row r="9" spans="1:18" x14ac:dyDescent="0.4">
      <c r="A9" t="s">
        <v>102</v>
      </c>
    </row>
    <row r="10" spans="1:18" x14ac:dyDescent="0.4">
      <c r="A10">
        <v>4</v>
      </c>
      <c r="B10" t="s">
        <v>103</v>
      </c>
      <c r="C10" t="s">
        <v>104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105</v>
      </c>
    </row>
    <row r="11" spans="1:18" x14ac:dyDescent="0.4">
      <c r="A11">
        <v>5</v>
      </c>
      <c r="B11" t="s">
        <v>106</v>
      </c>
      <c r="C11" t="s">
        <v>104</v>
      </c>
      <c r="D11">
        <v>62.5</v>
      </c>
      <c r="E11">
        <v>37.5</v>
      </c>
      <c r="F11">
        <v>0</v>
      </c>
      <c r="G11">
        <v>62.484099999999998</v>
      </c>
      <c r="H11">
        <v>37.515099999999997</v>
      </c>
      <c r="I11">
        <v>8.2799999999999999E-2</v>
      </c>
      <c r="J11">
        <v>-1.5900000000000001E-2</v>
      </c>
      <c r="K11">
        <v>1.5100000000000001E-2</v>
      </c>
      <c r="L11">
        <v>8.2799999999999999E-2</v>
      </c>
      <c r="P11">
        <v>0.17130000000000001</v>
      </c>
      <c r="Q11">
        <v>0.05</v>
      </c>
      <c r="R11" t="s">
        <v>107</v>
      </c>
    </row>
    <row r="12" spans="1:18" x14ac:dyDescent="0.4">
      <c r="A12">
        <v>6</v>
      </c>
      <c r="B12" t="s">
        <v>108</v>
      </c>
      <c r="C12" t="s">
        <v>104</v>
      </c>
      <c r="D12">
        <v>-63.5</v>
      </c>
      <c r="E12">
        <v>37.5</v>
      </c>
      <c r="F12">
        <v>0</v>
      </c>
      <c r="G12">
        <v>-63.450800000000001</v>
      </c>
      <c r="H12">
        <v>37.515099999999997</v>
      </c>
      <c r="I12">
        <v>6.88E-2</v>
      </c>
      <c r="J12">
        <v>4.9200000000000001E-2</v>
      </c>
      <c r="K12">
        <v>1.5100000000000001E-2</v>
      </c>
      <c r="L12">
        <v>6.88E-2</v>
      </c>
      <c r="P12">
        <v>0.1719</v>
      </c>
      <c r="Q12">
        <v>0.05</v>
      </c>
      <c r="R12" t="s">
        <v>107</v>
      </c>
    </row>
    <row r="13" spans="1:18" x14ac:dyDescent="0.4">
      <c r="A13">
        <v>7</v>
      </c>
      <c r="B13" t="s">
        <v>109</v>
      </c>
      <c r="C13" t="s">
        <v>104</v>
      </c>
      <c r="D13">
        <v>-62.5</v>
      </c>
      <c r="E13">
        <v>-36.5</v>
      </c>
      <c r="F13">
        <v>0</v>
      </c>
      <c r="G13">
        <v>-62.478900000000003</v>
      </c>
      <c r="H13">
        <v>-36.461799999999997</v>
      </c>
      <c r="I13">
        <v>8.3000000000000004E-2</v>
      </c>
      <c r="J13">
        <v>2.1100000000000001E-2</v>
      </c>
      <c r="K13">
        <v>3.8199999999999998E-2</v>
      </c>
      <c r="L13">
        <v>8.3000000000000004E-2</v>
      </c>
      <c r="P13">
        <v>0.18759999999999999</v>
      </c>
      <c r="Q13">
        <v>0.05</v>
      </c>
      <c r="R13" t="s">
        <v>107</v>
      </c>
    </row>
    <row r="14" spans="1:18" x14ac:dyDescent="0.4">
      <c r="A14">
        <v>8</v>
      </c>
      <c r="B14" t="s">
        <v>110</v>
      </c>
      <c r="C14" t="s">
        <v>104</v>
      </c>
      <c r="D14">
        <v>61.5</v>
      </c>
      <c r="E14">
        <v>-37.5</v>
      </c>
      <c r="F14">
        <v>0</v>
      </c>
      <c r="G14">
        <v>61.444000000000003</v>
      </c>
      <c r="H14">
        <v>-37.464799999999997</v>
      </c>
      <c r="I14">
        <v>6.93E-2</v>
      </c>
      <c r="J14">
        <v>-5.6000000000000001E-2</v>
      </c>
      <c r="K14">
        <v>3.5200000000000002E-2</v>
      </c>
      <c r="L14">
        <v>6.93E-2</v>
      </c>
      <c r="P14">
        <v>0.19159999999999999</v>
      </c>
      <c r="Q14">
        <v>0.05</v>
      </c>
      <c r="R14" t="s">
        <v>107</v>
      </c>
    </row>
    <row r="15" spans="1:18" x14ac:dyDescent="0.4">
      <c r="A15">
        <v>9</v>
      </c>
      <c r="B15" t="s">
        <v>0</v>
      </c>
      <c r="C15" t="s">
        <v>111</v>
      </c>
      <c r="D15">
        <v>25.4</v>
      </c>
      <c r="G15">
        <v>25.399000000000001</v>
      </c>
      <c r="J15">
        <v>-1E-3</v>
      </c>
      <c r="M15">
        <v>25.5</v>
      </c>
      <c r="N15">
        <v>25.3</v>
      </c>
      <c r="O15" t="s">
        <v>105</v>
      </c>
      <c r="P15">
        <v>6.0000000000000001E-3</v>
      </c>
      <c r="Q15">
        <v>0.05</v>
      </c>
      <c r="R15" t="s">
        <v>105</v>
      </c>
    </row>
    <row r="16" spans="1:18" x14ac:dyDescent="0.4">
      <c r="A16">
        <v>10</v>
      </c>
      <c r="B16" t="s">
        <v>1</v>
      </c>
      <c r="C16" t="s">
        <v>111</v>
      </c>
      <c r="D16">
        <v>25.4</v>
      </c>
      <c r="G16">
        <v>25.402799999999999</v>
      </c>
      <c r="J16">
        <v>2.8E-3</v>
      </c>
      <c r="M16">
        <v>25.5</v>
      </c>
      <c r="N16">
        <v>25.3</v>
      </c>
      <c r="O16" t="s">
        <v>105</v>
      </c>
      <c r="P16">
        <v>6.7000000000000002E-3</v>
      </c>
      <c r="Q16">
        <v>0.05</v>
      </c>
      <c r="R16" t="s">
        <v>105</v>
      </c>
    </row>
    <row r="17" spans="1:18" x14ac:dyDescent="0.4">
      <c r="A17">
        <v>11</v>
      </c>
      <c r="B17" t="s">
        <v>2</v>
      </c>
      <c r="C17" t="s">
        <v>111</v>
      </c>
      <c r="D17">
        <v>25.4</v>
      </c>
      <c r="G17">
        <v>25.403199999999998</v>
      </c>
      <c r="J17">
        <v>3.2000000000000002E-3</v>
      </c>
      <c r="M17">
        <v>25.5</v>
      </c>
      <c r="N17">
        <v>25.3</v>
      </c>
      <c r="O17" t="s">
        <v>105</v>
      </c>
      <c r="P17">
        <v>6.1999999999999998E-3</v>
      </c>
      <c r="Q17">
        <v>0.05</v>
      </c>
      <c r="R17" t="s">
        <v>105</v>
      </c>
    </row>
    <row r="18" spans="1:18" x14ac:dyDescent="0.4">
      <c r="A18">
        <v>12</v>
      </c>
      <c r="B18" t="s">
        <v>3</v>
      </c>
      <c r="C18" t="s">
        <v>111</v>
      </c>
      <c r="D18">
        <v>25.4</v>
      </c>
      <c r="G18">
        <v>25.404900000000001</v>
      </c>
      <c r="J18">
        <v>4.8999999999999998E-3</v>
      </c>
      <c r="M18">
        <v>25.5</v>
      </c>
      <c r="N18">
        <v>25.3</v>
      </c>
      <c r="O18" t="s">
        <v>105</v>
      </c>
      <c r="P18">
        <v>8.8999999999999999E-3</v>
      </c>
      <c r="Q18">
        <v>0.05</v>
      </c>
      <c r="R18" t="s">
        <v>105</v>
      </c>
    </row>
    <row r="19" spans="1:18" x14ac:dyDescent="0.4">
      <c r="A19">
        <v>13</v>
      </c>
      <c r="B19" t="s">
        <v>4</v>
      </c>
      <c r="C19" t="s">
        <v>111</v>
      </c>
      <c r="D19">
        <v>25.4</v>
      </c>
      <c r="G19">
        <v>25.402200000000001</v>
      </c>
      <c r="J19">
        <v>2.2000000000000001E-3</v>
      </c>
      <c r="M19">
        <v>25.5</v>
      </c>
      <c r="N19">
        <v>25.3</v>
      </c>
      <c r="O19" t="s">
        <v>105</v>
      </c>
      <c r="P19">
        <v>4.5999999999999999E-3</v>
      </c>
      <c r="Q19">
        <v>0.05</v>
      </c>
      <c r="R19" t="s">
        <v>105</v>
      </c>
    </row>
    <row r="20" spans="1:18" x14ac:dyDescent="0.4">
      <c r="A20">
        <v>14</v>
      </c>
      <c r="B20" t="s">
        <v>5</v>
      </c>
      <c r="C20" t="s">
        <v>112</v>
      </c>
      <c r="D20">
        <v>72.887</v>
      </c>
      <c r="G20">
        <v>72.881100000000004</v>
      </c>
      <c r="J20">
        <v>-5.8999999999999999E-3</v>
      </c>
      <c r="M20">
        <v>72.986999999999995</v>
      </c>
      <c r="N20">
        <v>72.787000000000006</v>
      </c>
      <c r="O20" t="s">
        <v>105</v>
      </c>
    </row>
    <row r="21" spans="1:18" x14ac:dyDescent="0.4">
      <c r="A21">
        <v>15</v>
      </c>
      <c r="B21" t="s">
        <v>6</v>
      </c>
      <c r="C21" t="s">
        <v>112</v>
      </c>
      <c r="D21">
        <v>73.745999999999995</v>
      </c>
      <c r="G21">
        <v>73.711500000000001</v>
      </c>
      <c r="J21">
        <v>-3.4500000000000003E-2</v>
      </c>
      <c r="M21">
        <v>73.846000000000004</v>
      </c>
      <c r="N21">
        <v>73.646000000000001</v>
      </c>
      <c r="O21" t="s">
        <v>105</v>
      </c>
    </row>
    <row r="22" spans="1:18" x14ac:dyDescent="0.4">
      <c r="A22">
        <v>16</v>
      </c>
      <c r="B22" t="s">
        <v>7</v>
      </c>
      <c r="C22" t="s">
        <v>112</v>
      </c>
      <c r="D22">
        <v>72.376999999999995</v>
      </c>
      <c r="G22">
        <v>72.34</v>
      </c>
      <c r="J22">
        <v>-3.6999999999999998E-2</v>
      </c>
      <c r="M22">
        <v>72.477000000000004</v>
      </c>
      <c r="N22">
        <v>72.277000000000001</v>
      </c>
      <c r="O22" t="s">
        <v>105</v>
      </c>
    </row>
    <row r="23" spans="1:18" x14ac:dyDescent="0.4">
      <c r="A23">
        <v>17</v>
      </c>
      <c r="B23" t="s">
        <v>8</v>
      </c>
      <c r="C23" t="s">
        <v>112</v>
      </c>
      <c r="D23">
        <v>72.031000000000006</v>
      </c>
      <c r="G23">
        <v>71.965100000000007</v>
      </c>
      <c r="J23">
        <v>-6.59E-2</v>
      </c>
      <c r="M23">
        <v>72.131</v>
      </c>
      <c r="N23">
        <v>71.930999999999997</v>
      </c>
      <c r="O23" t="s">
        <v>105</v>
      </c>
    </row>
    <row r="24" spans="1:18" x14ac:dyDescent="0.4">
      <c r="A24">
        <v>18</v>
      </c>
      <c r="B24" t="s">
        <v>9</v>
      </c>
      <c r="C24" t="s">
        <v>112</v>
      </c>
      <c r="D24">
        <v>75.007000000000005</v>
      </c>
      <c r="G24">
        <v>74.987099999999998</v>
      </c>
      <c r="J24">
        <v>-1.9900000000000001E-2</v>
      </c>
      <c r="M24">
        <v>75.106999999999999</v>
      </c>
      <c r="N24">
        <v>74.906999999999996</v>
      </c>
      <c r="O24" t="s">
        <v>105</v>
      </c>
    </row>
    <row r="25" spans="1:18" x14ac:dyDescent="0.4">
      <c r="A25">
        <v>19</v>
      </c>
      <c r="B25" t="s">
        <v>10</v>
      </c>
      <c r="C25" t="s">
        <v>112</v>
      </c>
      <c r="D25">
        <v>74.007000000000005</v>
      </c>
      <c r="G25">
        <v>73.983199999999997</v>
      </c>
      <c r="J25">
        <v>-2.3800000000000002E-2</v>
      </c>
      <c r="M25">
        <v>74.106999999999999</v>
      </c>
      <c r="N25">
        <v>73.906999999999996</v>
      </c>
      <c r="O25" t="s">
        <v>105</v>
      </c>
    </row>
    <row r="26" spans="1:18" x14ac:dyDescent="0.4">
      <c r="A26">
        <v>20</v>
      </c>
      <c r="B26" t="s">
        <v>11</v>
      </c>
      <c r="C26" t="s">
        <v>112</v>
      </c>
      <c r="D26">
        <v>126</v>
      </c>
      <c r="G26">
        <v>125.9349</v>
      </c>
      <c r="J26">
        <v>-6.5100000000000005E-2</v>
      </c>
      <c r="M26">
        <v>126.1</v>
      </c>
      <c r="N26">
        <v>125.9</v>
      </c>
      <c r="O26" t="s">
        <v>105</v>
      </c>
    </row>
    <row r="27" spans="1:18" x14ac:dyDescent="0.4">
      <c r="A27">
        <v>21</v>
      </c>
      <c r="B27" t="s">
        <v>12</v>
      </c>
      <c r="C27" t="s">
        <v>112</v>
      </c>
      <c r="D27">
        <v>124.004</v>
      </c>
      <c r="G27">
        <v>123.9269</v>
      </c>
      <c r="J27">
        <v>-7.7100000000000002E-2</v>
      </c>
      <c r="M27">
        <v>124.104</v>
      </c>
      <c r="N27">
        <v>123.904</v>
      </c>
      <c r="O27" t="s">
        <v>105</v>
      </c>
    </row>
    <row r="28" spans="1:18" x14ac:dyDescent="0.4">
      <c r="A28">
        <v>22</v>
      </c>
      <c r="B28" t="s">
        <v>13</v>
      </c>
      <c r="C28" t="s">
        <v>112</v>
      </c>
      <c r="D28">
        <v>145.262</v>
      </c>
      <c r="G28">
        <v>145.2182</v>
      </c>
      <c r="J28">
        <v>-4.3799999999999999E-2</v>
      </c>
      <c r="M28">
        <v>145.36199999999999</v>
      </c>
      <c r="N28">
        <v>145.16200000000001</v>
      </c>
      <c r="O28" t="s">
        <v>105</v>
      </c>
    </row>
    <row r="29" spans="1:18" x14ac:dyDescent="0.4">
      <c r="A29">
        <v>23</v>
      </c>
      <c r="B29" t="s">
        <v>14</v>
      </c>
      <c r="C29" t="s">
        <v>112</v>
      </c>
      <c r="D29">
        <v>145.774</v>
      </c>
      <c r="G29">
        <v>145.67320000000001</v>
      </c>
      <c r="J29">
        <v>-0.1008</v>
      </c>
      <c r="M29">
        <v>145.874</v>
      </c>
      <c r="N29">
        <v>145.67400000000001</v>
      </c>
      <c r="O29" t="s">
        <v>107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2C049-C7B5-4C6B-B284-C0B4E6AC9459}">
  <dimension ref="A1:R29"/>
  <sheetViews>
    <sheetView workbookViewId="0"/>
  </sheetViews>
  <sheetFormatPr defaultRowHeight="14.6" x14ac:dyDescent="0.4"/>
  <cols>
    <col min="1" max="1" width="24.23046875" bestFit="1" customWidth="1"/>
    <col min="2" max="2" width="13.921875" bestFit="1" customWidth="1"/>
    <col min="3" max="3" width="17.53515625" bestFit="1" customWidth="1"/>
    <col min="4" max="4" width="7.84375" bestFit="1" customWidth="1"/>
    <col min="5" max="5" width="5.4609375" bestFit="1" customWidth="1"/>
    <col min="6" max="6" width="1.84375" bestFit="1" customWidth="1"/>
    <col min="7" max="7" width="8.84375" bestFit="1" customWidth="1"/>
    <col min="8" max="8" width="8.4609375" bestFit="1" customWidth="1"/>
    <col min="9" max="9" width="6.84375" bestFit="1" customWidth="1"/>
    <col min="10" max="10" width="7.4609375" bestFit="1" customWidth="1"/>
    <col min="11" max="12" width="6.84375" bestFit="1" customWidth="1"/>
    <col min="13" max="14" width="7.84375" bestFit="1" customWidth="1"/>
    <col min="15" max="15" width="4.84375" bestFit="1" customWidth="1"/>
    <col min="16" max="16" width="6.84375" bestFit="1" customWidth="1"/>
    <col min="17" max="18" width="4.84375" bestFit="1" customWidth="1"/>
  </cols>
  <sheetData>
    <row r="1" spans="1:18" x14ac:dyDescent="0.4">
      <c r="A1" t="s">
        <v>91</v>
      </c>
      <c r="B1" t="s">
        <v>92</v>
      </c>
    </row>
    <row r="2" spans="1:18" x14ac:dyDescent="0.4">
      <c r="A2" t="s">
        <v>93</v>
      </c>
      <c r="B2" t="s">
        <v>94</v>
      </c>
    </row>
    <row r="3" spans="1:18" x14ac:dyDescent="0.4">
      <c r="A3" t="s">
        <v>95</v>
      </c>
      <c r="B3" t="s">
        <v>125</v>
      </c>
    </row>
    <row r="4" spans="1:18" x14ac:dyDescent="0.4">
      <c r="A4" t="s">
        <v>97</v>
      </c>
      <c r="B4" t="s">
        <v>98</v>
      </c>
    </row>
    <row r="5" spans="1:18" x14ac:dyDescent="0.4">
      <c r="A5" t="s">
        <v>99</v>
      </c>
    </row>
    <row r="6" spans="1:18" x14ac:dyDescent="0.4">
      <c r="A6" t="s">
        <v>100</v>
      </c>
    </row>
    <row r="7" spans="1:18" x14ac:dyDescent="0.4">
      <c r="A7" t="s">
        <v>101</v>
      </c>
    </row>
    <row r="8" spans="1:18" x14ac:dyDescent="0.4">
      <c r="A8" t="s">
        <v>93</v>
      </c>
    </row>
    <row r="9" spans="1:18" x14ac:dyDescent="0.4">
      <c r="A9" t="s">
        <v>102</v>
      </c>
    </row>
    <row r="10" spans="1:18" x14ac:dyDescent="0.4">
      <c r="A10">
        <v>4</v>
      </c>
      <c r="B10" t="s">
        <v>103</v>
      </c>
      <c r="C10" t="s">
        <v>104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105</v>
      </c>
    </row>
    <row r="11" spans="1:18" x14ac:dyDescent="0.4">
      <c r="A11">
        <v>5</v>
      </c>
      <c r="B11" t="s">
        <v>106</v>
      </c>
      <c r="C11" t="s">
        <v>104</v>
      </c>
      <c r="D11">
        <v>62.5</v>
      </c>
      <c r="E11">
        <v>37.5</v>
      </c>
      <c r="F11">
        <v>0</v>
      </c>
      <c r="G11">
        <v>62.483199999999997</v>
      </c>
      <c r="H11">
        <v>37.515500000000003</v>
      </c>
      <c r="I11">
        <v>8.3099999999999993E-2</v>
      </c>
      <c r="J11">
        <v>-1.6799999999999999E-2</v>
      </c>
      <c r="K11">
        <v>1.55E-2</v>
      </c>
      <c r="L11">
        <v>8.3099999999999993E-2</v>
      </c>
      <c r="P11">
        <v>0.1724</v>
      </c>
      <c r="Q11">
        <v>0.05</v>
      </c>
      <c r="R11" t="s">
        <v>107</v>
      </c>
    </row>
    <row r="12" spans="1:18" x14ac:dyDescent="0.4">
      <c r="A12">
        <v>6</v>
      </c>
      <c r="B12" t="s">
        <v>108</v>
      </c>
      <c r="C12" t="s">
        <v>104</v>
      </c>
      <c r="D12">
        <v>-63.5</v>
      </c>
      <c r="E12">
        <v>37.5</v>
      </c>
      <c r="F12">
        <v>0</v>
      </c>
      <c r="G12">
        <v>-63.452100000000002</v>
      </c>
      <c r="H12">
        <v>37.515500000000003</v>
      </c>
      <c r="I12">
        <v>6.8500000000000005E-2</v>
      </c>
      <c r="J12">
        <v>4.7899999999999998E-2</v>
      </c>
      <c r="K12">
        <v>1.55E-2</v>
      </c>
      <c r="L12">
        <v>6.8500000000000005E-2</v>
      </c>
      <c r="P12">
        <v>0.17</v>
      </c>
      <c r="Q12">
        <v>0.05</v>
      </c>
      <c r="R12" t="s">
        <v>107</v>
      </c>
    </row>
    <row r="13" spans="1:18" x14ac:dyDescent="0.4">
      <c r="A13">
        <v>7</v>
      </c>
      <c r="B13" t="s">
        <v>109</v>
      </c>
      <c r="C13" t="s">
        <v>104</v>
      </c>
      <c r="D13">
        <v>-62.5</v>
      </c>
      <c r="E13">
        <v>-36.5</v>
      </c>
      <c r="F13">
        <v>0</v>
      </c>
      <c r="G13">
        <v>-62.478900000000003</v>
      </c>
      <c r="H13">
        <v>-36.4617</v>
      </c>
      <c r="I13">
        <v>8.3299999999999999E-2</v>
      </c>
      <c r="J13">
        <v>2.1100000000000001E-2</v>
      </c>
      <c r="K13">
        <v>3.8300000000000001E-2</v>
      </c>
      <c r="L13">
        <v>8.3299999999999999E-2</v>
      </c>
      <c r="P13">
        <v>0.18809999999999999</v>
      </c>
      <c r="Q13">
        <v>0.05</v>
      </c>
      <c r="R13" t="s">
        <v>107</v>
      </c>
    </row>
    <row r="14" spans="1:18" x14ac:dyDescent="0.4">
      <c r="A14">
        <v>8</v>
      </c>
      <c r="B14" t="s">
        <v>110</v>
      </c>
      <c r="C14" t="s">
        <v>104</v>
      </c>
      <c r="D14">
        <v>61.5</v>
      </c>
      <c r="E14">
        <v>-37.5</v>
      </c>
      <c r="F14">
        <v>0</v>
      </c>
      <c r="G14">
        <v>61.444400000000002</v>
      </c>
      <c r="H14">
        <v>-37.464599999999997</v>
      </c>
      <c r="I14">
        <v>6.8900000000000003E-2</v>
      </c>
      <c r="J14">
        <v>-5.5599999999999997E-2</v>
      </c>
      <c r="K14">
        <v>3.5400000000000001E-2</v>
      </c>
      <c r="L14">
        <v>6.8900000000000003E-2</v>
      </c>
      <c r="P14">
        <v>0.1908</v>
      </c>
      <c r="Q14">
        <v>0.05</v>
      </c>
      <c r="R14" t="s">
        <v>107</v>
      </c>
    </row>
    <row r="15" spans="1:18" x14ac:dyDescent="0.4">
      <c r="A15">
        <v>9</v>
      </c>
      <c r="B15" t="s">
        <v>0</v>
      </c>
      <c r="C15" t="s">
        <v>111</v>
      </c>
      <c r="D15">
        <v>25.4</v>
      </c>
      <c r="G15">
        <v>25.398900000000001</v>
      </c>
      <c r="J15">
        <v>-1.1000000000000001E-3</v>
      </c>
      <c r="M15">
        <v>25.5</v>
      </c>
      <c r="N15">
        <v>25.3</v>
      </c>
      <c r="O15" t="s">
        <v>105</v>
      </c>
      <c r="P15">
        <v>4.3E-3</v>
      </c>
      <c r="Q15">
        <v>0.05</v>
      </c>
      <c r="R15" t="s">
        <v>105</v>
      </c>
    </row>
    <row r="16" spans="1:18" x14ac:dyDescent="0.4">
      <c r="A16">
        <v>10</v>
      </c>
      <c r="B16" t="s">
        <v>1</v>
      </c>
      <c r="C16" t="s">
        <v>111</v>
      </c>
      <c r="D16">
        <v>25.4</v>
      </c>
      <c r="G16">
        <v>25.402200000000001</v>
      </c>
      <c r="J16">
        <v>2.2000000000000001E-3</v>
      </c>
      <c r="M16">
        <v>25.5</v>
      </c>
      <c r="N16">
        <v>25.3</v>
      </c>
      <c r="O16" t="s">
        <v>105</v>
      </c>
      <c r="P16">
        <v>6.3E-3</v>
      </c>
      <c r="Q16">
        <v>0.05</v>
      </c>
      <c r="R16" t="s">
        <v>105</v>
      </c>
    </row>
    <row r="17" spans="1:18" x14ac:dyDescent="0.4">
      <c r="A17">
        <v>11</v>
      </c>
      <c r="B17" t="s">
        <v>2</v>
      </c>
      <c r="C17" t="s">
        <v>111</v>
      </c>
      <c r="D17">
        <v>25.4</v>
      </c>
      <c r="G17">
        <v>25.402999999999999</v>
      </c>
      <c r="J17">
        <v>3.0000000000000001E-3</v>
      </c>
      <c r="M17">
        <v>25.5</v>
      </c>
      <c r="N17">
        <v>25.3</v>
      </c>
      <c r="O17" t="s">
        <v>105</v>
      </c>
      <c r="P17">
        <v>5.3E-3</v>
      </c>
      <c r="Q17">
        <v>0.05</v>
      </c>
      <c r="R17" t="s">
        <v>105</v>
      </c>
    </row>
    <row r="18" spans="1:18" x14ac:dyDescent="0.4">
      <c r="A18">
        <v>12</v>
      </c>
      <c r="B18" t="s">
        <v>3</v>
      </c>
      <c r="C18" t="s">
        <v>111</v>
      </c>
      <c r="D18">
        <v>25.4</v>
      </c>
      <c r="G18">
        <v>25.404399999999999</v>
      </c>
      <c r="J18">
        <v>4.4000000000000003E-3</v>
      </c>
      <c r="M18">
        <v>25.5</v>
      </c>
      <c r="N18">
        <v>25.3</v>
      </c>
      <c r="O18" t="s">
        <v>105</v>
      </c>
      <c r="P18">
        <v>6.3E-3</v>
      </c>
      <c r="Q18">
        <v>0.05</v>
      </c>
      <c r="R18" t="s">
        <v>105</v>
      </c>
    </row>
    <row r="19" spans="1:18" x14ac:dyDescent="0.4">
      <c r="A19">
        <v>13</v>
      </c>
      <c r="B19" t="s">
        <v>4</v>
      </c>
      <c r="C19" t="s">
        <v>111</v>
      </c>
      <c r="D19">
        <v>25.4</v>
      </c>
      <c r="G19">
        <v>25.402100000000001</v>
      </c>
      <c r="J19">
        <v>2.0999999999999999E-3</v>
      </c>
      <c r="M19">
        <v>25.5</v>
      </c>
      <c r="N19">
        <v>25.3</v>
      </c>
      <c r="O19" t="s">
        <v>105</v>
      </c>
      <c r="P19">
        <v>3.0999999999999999E-3</v>
      </c>
      <c r="Q19">
        <v>0.05</v>
      </c>
      <c r="R19" t="s">
        <v>105</v>
      </c>
    </row>
    <row r="20" spans="1:18" x14ac:dyDescent="0.4">
      <c r="A20">
        <v>14</v>
      </c>
      <c r="B20" t="s">
        <v>5</v>
      </c>
      <c r="C20" t="s">
        <v>112</v>
      </c>
      <c r="D20">
        <v>72.887</v>
      </c>
      <c r="G20">
        <v>72.880499999999998</v>
      </c>
      <c r="J20">
        <v>-6.4999999999999997E-3</v>
      </c>
      <c r="M20">
        <v>72.986999999999995</v>
      </c>
      <c r="N20">
        <v>72.787000000000006</v>
      </c>
      <c r="O20" t="s">
        <v>105</v>
      </c>
    </row>
    <row r="21" spans="1:18" x14ac:dyDescent="0.4">
      <c r="A21">
        <v>15</v>
      </c>
      <c r="B21" t="s">
        <v>6</v>
      </c>
      <c r="C21" t="s">
        <v>112</v>
      </c>
      <c r="D21">
        <v>73.745999999999995</v>
      </c>
      <c r="G21">
        <v>73.712900000000005</v>
      </c>
      <c r="J21">
        <v>-3.3099999999999997E-2</v>
      </c>
      <c r="M21">
        <v>73.846000000000004</v>
      </c>
      <c r="N21">
        <v>73.646000000000001</v>
      </c>
      <c r="O21" t="s">
        <v>105</v>
      </c>
    </row>
    <row r="22" spans="1:18" x14ac:dyDescent="0.4">
      <c r="A22">
        <v>16</v>
      </c>
      <c r="B22" t="s">
        <v>7</v>
      </c>
      <c r="C22" t="s">
        <v>112</v>
      </c>
      <c r="D22">
        <v>72.376999999999995</v>
      </c>
      <c r="G22">
        <v>72.34</v>
      </c>
      <c r="J22">
        <v>-3.6999999999999998E-2</v>
      </c>
      <c r="M22">
        <v>72.477000000000004</v>
      </c>
      <c r="N22">
        <v>72.277000000000001</v>
      </c>
      <c r="O22" t="s">
        <v>105</v>
      </c>
    </row>
    <row r="23" spans="1:18" x14ac:dyDescent="0.4">
      <c r="A23">
        <v>17</v>
      </c>
      <c r="B23" t="s">
        <v>8</v>
      </c>
      <c r="C23" t="s">
        <v>112</v>
      </c>
      <c r="D23">
        <v>72.031000000000006</v>
      </c>
      <c r="G23">
        <v>71.965400000000002</v>
      </c>
      <c r="J23">
        <v>-6.5600000000000006E-2</v>
      </c>
      <c r="M23">
        <v>72.131</v>
      </c>
      <c r="N23">
        <v>71.930999999999997</v>
      </c>
      <c r="O23" t="s">
        <v>105</v>
      </c>
    </row>
    <row r="24" spans="1:18" x14ac:dyDescent="0.4">
      <c r="A24">
        <v>18</v>
      </c>
      <c r="B24" t="s">
        <v>9</v>
      </c>
      <c r="C24" t="s">
        <v>112</v>
      </c>
      <c r="D24">
        <v>75.007000000000005</v>
      </c>
      <c r="G24">
        <v>74.987300000000005</v>
      </c>
      <c r="J24">
        <v>-1.9699999999999999E-2</v>
      </c>
      <c r="M24">
        <v>75.106999999999999</v>
      </c>
      <c r="N24">
        <v>74.906999999999996</v>
      </c>
      <c r="O24" t="s">
        <v>105</v>
      </c>
    </row>
    <row r="25" spans="1:18" x14ac:dyDescent="0.4">
      <c r="A25">
        <v>19</v>
      </c>
      <c r="B25" t="s">
        <v>10</v>
      </c>
      <c r="C25" t="s">
        <v>112</v>
      </c>
      <c r="D25">
        <v>74.007000000000005</v>
      </c>
      <c r="G25">
        <v>73.983699999999999</v>
      </c>
      <c r="J25">
        <v>-2.3300000000000001E-2</v>
      </c>
      <c r="M25">
        <v>74.106999999999999</v>
      </c>
      <c r="N25">
        <v>73.906999999999996</v>
      </c>
      <c r="O25" t="s">
        <v>105</v>
      </c>
    </row>
    <row r="26" spans="1:18" x14ac:dyDescent="0.4">
      <c r="A26">
        <v>20</v>
      </c>
      <c r="B26" t="s">
        <v>11</v>
      </c>
      <c r="C26" t="s">
        <v>112</v>
      </c>
      <c r="D26">
        <v>126</v>
      </c>
      <c r="G26">
        <v>125.9353</v>
      </c>
      <c r="J26">
        <v>-6.4699999999999994E-2</v>
      </c>
      <c r="M26">
        <v>126.1</v>
      </c>
      <c r="N26">
        <v>125.9</v>
      </c>
      <c r="O26" t="s">
        <v>105</v>
      </c>
    </row>
    <row r="27" spans="1:18" x14ac:dyDescent="0.4">
      <c r="A27">
        <v>21</v>
      </c>
      <c r="B27" t="s">
        <v>12</v>
      </c>
      <c r="C27" t="s">
        <v>112</v>
      </c>
      <c r="D27">
        <v>124.004</v>
      </c>
      <c r="G27">
        <v>123.92740000000001</v>
      </c>
      <c r="J27">
        <v>-7.6600000000000001E-2</v>
      </c>
      <c r="M27">
        <v>124.104</v>
      </c>
      <c r="N27">
        <v>123.904</v>
      </c>
      <c r="O27" t="s">
        <v>105</v>
      </c>
    </row>
    <row r="28" spans="1:18" x14ac:dyDescent="0.4">
      <c r="A28">
        <v>22</v>
      </c>
      <c r="B28" t="s">
        <v>13</v>
      </c>
      <c r="C28" t="s">
        <v>112</v>
      </c>
      <c r="D28">
        <v>145.262</v>
      </c>
      <c r="G28">
        <v>145.2176</v>
      </c>
      <c r="J28">
        <v>-4.4400000000000002E-2</v>
      </c>
      <c r="M28">
        <v>145.36199999999999</v>
      </c>
      <c r="N28">
        <v>145.16200000000001</v>
      </c>
      <c r="O28" t="s">
        <v>105</v>
      </c>
    </row>
    <row r="29" spans="1:18" x14ac:dyDescent="0.4">
      <c r="A29">
        <v>23</v>
      </c>
      <c r="B29" t="s">
        <v>14</v>
      </c>
      <c r="C29" t="s">
        <v>112</v>
      </c>
      <c r="D29">
        <v>145.774</v>
      </c>
      <c r="G29">
        <v>145.6748</v>
      </c>
      <c r="J29">
        <v>-9.9199999999999997E-2</v>
      </c>
      <c r="M29">
        <v>145.874</v>
      </c>
      <c r="N29">
        <v>145.67400000000001</v>
      </c>
      <c r="O29" t="s">
        <v>105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937BD-DE76-4C12-80C8-C61F3A2042FA}">
  <dimension ref="A1:R29"/>
  <sheetViews>
    <sheetView workbookViewId="0"/>
  </sheetViews>
  <sheetFormatPr defaultRowHeight="14.6" x14ac:dyDescent="0.4"/>
  <cols>
    <col min="1" max="1" width="24.23046875" bestFit="1" customWidth="1"/>
    <col min="2" max="2" width="13.921875" bestFit="1" customWidth="1"/>
    <col min="3" max="3" width="17.53515625" bestFit="1" customWidth="1"/>
    <col min="4" max="4" width="7.84375" bestFit="1" customWidth="1"/>
    <col min="5" max="5" width="5.4609375" bestFit="1" customWidth="1"/>
    <col min="6" max="6" width="1.84375" bestFit="1" customWidth="1"/>
    <col min="7" max="7" width="8.84375" bestFit="1" customWidth="1"/>
    <col min="8" max="8" width="8.4609375" bestFit="1" customWidth="1"/>
    <col min="9" max="9" width="6.84375" bestFit="1" customWidth="1"/>
    <col min="10" max="10" width="7.4609375" bestFit="1" customWidth="1"/>
    <col min="11" max="12" width="6.84375" bestFit="1" customWidth="1"/>
    <col min="13" max="14" width="7.84375" bestFit="1" customWidth="1"/>
    <col min="15" max="15" width="4.84375" bestFit="1" customWidth="1"/>
    <col min="16" max="16" width="6.84375" bestFit="1" customWidth="1"/>
    <col min="17" max="18" width="4.84375" bestFit="1" customWidth="1"/>
  </cols>
  <sheetData>
    <row r="1" spans="1:18" x14ac:dyDescent="0.4">
      <c r="A1" t="s">
        <v>91</v>
      </c>
      <c r="B1" t="s">
        <v>92</v>
      </c>
    </row>
    <row r="2" spans="1:18" x14ac:dyDescent="0.4">
      <c r="A2" t="s">
        <v>93</v>
      </c>
      <c r="B2" t="s">
        <v>94</v>
      </c>
    </row>
    <row r="3" spans="1:18" x14ac:dyDescent="0.4">
      <c r="A3" t="s">
        <v>95</v>
      </c>
      <c r="B3" t="s">
        <v>126</v>
      </c>
    </row>
    <row r="4" spans="1:18" x14ac:dyDescent="0.4">
      <c r="A4" t="s">
        <v>97</v>
      </c>
      <c r="B4" t="s">
        <v>114</v>
      </c>
    </row>
    <row r="5" spans="1:18" x14ac:dyDescent="0.4">
      <c r="A5" t="s">
        <v>99</v>
      </c>
    </row>
    <row r="6" spans="1:18" x14ac:dyDescent="0.4">
      <c r="A6" t="s">
        <v>100</v>
      </c>
    </row>
    <row r="7" spans="1:18" x14ac:dyDescent="0.4">
      <c r="A7" t="s">
        <v>101</v>
      </c>
    </row>
    <row r="8" spans="1:18" x14ac:dyDescent="0.4">
      <c r="A8" t="s">
        <v>93</v>
      </c>
    </row>
    <row r="9" spans="1:18" x14ac:dyDescent="0.4">
      <c r="A9" t="s">
        <v>102</v>
      </c>
    </row>
    <row r="10" spans="1:18" x14ac:dyDescent="0.4">
      <c r="A10">
        <v>4</v>
      </c>
      <c r="B10" t="s">
        <v>103</v>
      </c>
      <c r="C10" t="s">
        <v>104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105</v>
      </c>
    </row>
    <row r="11" spans="1:18" x14ac:dyDescent="0.4">
      <c r="A11">
        <v>5</v>
      </c>
      <c r="B11" t="s">
        <v>106</v>
      </c>
      <c r="C11" t="s">
        <v>104</v>
      </c>
      <c r="D11">
        <v>62.5</v>
      </c>
      <c r="E11">
        <v>37.5</v>
      </c>
      <c r="F11">
        <v>0</v>
      </c>
      <c r="G11">
        <v>62.483899999999998</v>
      </c>
      <c r="H11">
        <v>37.515700000000002</v>
      </c>
      <c r="I11">
        <v>8.2900000000000001E-2</v>
      </c>
      <c r="J11">
        <v>-1.61E-2</v>
      </c>
      <c r="K11">
        <v>1.5699999999999999E-2</v>
      </c>
      <c r="L11">
        <v>8.2900000000000001E-2</v>
      </c>
      <c r="P11">
        <v>0.17180000000000001</v>
      </c>
      <c r="Q11">
        <v>0.05</v>
      </c>
      <c r="R11" t="s">
        <v>107</v>
      </c>
    </row>
    <row r="12" spans="1:18" x14ac:dyDescent="0.4">
      <c r="A12">
        <v>6</v>
      </c>
      <c r="B12" t="s">
        <v>108</v>
      </c>
      <c r="C12" t="s">
        <v>104</v>
      </c>
      <c r="D12">
        <v>-63.5</v>
      </c>
      <c r="E12">
        <v>37.5</v>
      </c>
      <c r="F12">
        <v>0</v>
      </c>
      <c r="G12">
        <v>-63.4514</v>
      </c>
      <c r="H12">
        <v>37.515700000000002</v>
      </c>
      <c r="I12">
        <v>6.8699999999999997E-2</v>
      </c>
      <c r="J12">
        <v>4.8599999999999997E-2</v>
      </c>
      <c r="K12">
        <v>1.5699999999999999E-2</v>
      </c>
      <c r="L12">
        <v>6.8699999999999997E-2</v>
      </c>
      <c r="P12">
        <v>0.17130000000000001</v>
      </c>
      <c r="Q12">
        <v>0.05</v>
      </c>
      <c r="R12" t="s">
        <v>107</v>
      </c>
    </row>
    <row r="13" spans="1:18" x14ac:dyDescent="0.4">
      <c r="A13">
        <v>7</v>
      </c>
      <c r="B13" t="s">
        <v>109</v>
      </c>
      <c r="C13" t="s">
        <v>104</v>
      </c>
      <c r="D13">
        <v>-62.5</v>
      </c>
      <c r="E13">
        <v>-36.5</v>
      </c>
      <c r="F13">
        <v>0</v>
      </c>
      <c r="G13">
        <v>-62.478299999999997</v>
      </c>
      <c r="H13">
        <v>-36.4619</v>
      </c>
      <c r="I13">
        <v>8.3099999999999993E-2</v>
      </c>
      <c r="J13">
        <v>2.1700000000000001E-2</v>
      </c>
      <c r="K13">
        <v>3.8100000000000002E-2</v>
      </c>
      <c r="L13">
        <v>8.3099999999999993E-2</v>
      </c>
      <c r="P13">
        <v>0.18790000000000001</v>
      </c>
      <c r="Q13">
        <v>0.05</v>
      </c>
      <c r="R13" t="s">
        <v>107</v>
      </c>
    </row>
    <row r="14" spans="1:18" x14ac:dyDescent="0.4">
      <c r="A14">
        <v>8</v>
      </c>
      <c r="B14" t="s">
        <v>110</v>
      </c>
      <c r="C14" t="s">
        <v>104</v>
      </c>
      <c r="D14">
        <v>61.5</v>
      </c>
      <c r="E14">
        <v>-37.5</v>
      </c>
      <c r="F14">
        <v>0</v>
      </c>
      <c r="G14">
        <v>61.444600000000001</v>
      </c>
      <c r="H14">
        <v>-37.463500000000003</v>
      </c>
      <c r="I14">
        <v>6.9199999999999998E-2</v>
      </c>
      <c r="J14">
        <v>-5.5399999999999998E-2</v>
      </c>
      <c r="K14">
        <v>3.6499999999999998E-2</v>
      </c>
      <c r="L14">
        <v>6.9199999999999998E-2</v>
      </c>
      <c r="P14">
        <v>0.19170000000000001</v>
      </c>
      <c r="Q14">
        <v>0.05</v>
      </c>
      <c r="R14" t="s">
        <v>107</v>
      </c>
    </row>
    <row r="15" spans="1:18" x14ac:dyDescent="0.4">
      <c r="A15">
        <v>9</v>
      </c>
      <c r="B15" t="s">
        <v>0</v>
      </c>
      <c r="C15" t="s">
        <v>111</v>
      </c>
      <c r="D15">
        <v>25.4</v>
      </c>
      <c r="G15">
        <v>25.399000000000001</v>
      </c>
      <c r="J15">
        <v>-1E-3</v>
      </c>
      <c r="M15">
        <v>25.5</v>
      </c>
      <c r="N15">
        <v>25.3</v>
      </c>
      <c r="O15" t="s">
        <v>105</v>
      </c>
      <c r="P15">
        <v>5.1000000000000004E-3</v>
      </c>
      <c r="Q15">
        <v>0.05</v>
      </c>
      <c r="R15" t="s">
        <v>105</v>
      </c>
    </row>
    <row r="16" spans="1:18" x14ac:dyDescent="0.4">
      <c r="A16">
        <v>10</v>
      </c>
      <c r="B16" t="s">
        <v>1</v>
      </c>
      <c r="C16" t="s">
        <v>111</v>
      </c>
      <c r="D16">
        <v>25.4</v>
      </c>
      <c r="G16">
        <v>25.403500000000001</v>
      </c>
      <c r="J16">
        <v>3.5000000000000001E-3</v>
      </c>
      <c r="M16">
        <v>25.5</v>
      </c>
      <c r="N16">
        <v>25.3</v>
      </c>
      <c r="O16" t="s">
        <v>105</v>
      </c>
      <c r="P16">
        <v>9.7000000000000003E-3</v>
      </c>
      <c r="Q16">
        <v>0.05</v>
      </c>
      <c r="R16" t="s">
        <v>105</v>
      </c>
    </row>
    <row r="17" spans="1:18" x14ac:dyDescent="0.4">
      <c r="A17">
        <v>11</v>
      </c>
      <c r="B17" t="s">
        <v>2</v>
      </c>
      <c r="C17" t="s">
        <v>111</v>
      </c>
      <c r="D17">
        <v>25.4</v>
      </c>
      <c r="G17">
        <v>25.403700000000001</v>
      </c>
      <c r="J17">
        <v>3.7000000000000002E-3</v>
      </c>
      <c r="M17">
        <v>25.5</v>
      </c>
      <c r="N17">
        <v>25.3</v>
      </c>
      <c r="O17" t="s">
        <v>105</v>
      </c>
      <c r="P17">
        <v>5.4999999999999997E-3</v>
      </c>
      <c r="Q17">
        <v>0.05</v>
      </c>
      <c r="R17" t="s">
        <v>105</v>
      </c>
    </row>
    <row r="18" spans="1:18" x14ac:dyDescent="0.4">
      <c r="A18">
        <v>12</v>
      </c>
      <c r="B18" t="s">
        <v>3</v>
      </c>
      <c r="C18" t="s">
        <v>111</v>
      </c>
      <c r="D18">
        <v>25.4</v>
      </c>
      <c r="G18">
        <v>25.405100000000001</v>
      </c>
      <c r="J18">
        <v>5.1000000000000004E-3</v>
      </c>
      <c r="M18">
        <v>25.5</v>
      </c>
      <c r="N18">
        <v>25.3</v>
      </c>
      <c r="O18" t="s">
        <v>105</v>
      </c>
      <c r="P18">
        <v>5.0000000000000001E-3</v>
      </c>
      <c r="Q18">
        <v>0.05</v>
      </c>
      <c r="R18" t="s">
        <v>105</v>
      </c>
    </row>
    <row r="19" spans="1:18" x14ac:dyDescent="0.4">
      <c r="A19">
        <v>13</v>
      </c>
      <c r="B19" t="s">
        <v>4</v>
      </c>
      <c r="C19" t="s">
        <v>111</v>
      </c>
      <c r="D19">
        <v>25.4</v>
      </c>
      <c r="G19">
        <v>25.402899999999999</v>
      </c>
      <c r="J19">
        <v>2.8999999999999998E-3</v>
      </c>
      <c r="M19">
        <v>25.5</v>
      </c>
      <c r="N19">
        <v>25.3</v>
      </c>
      <c r="O19" t="s">
        <v>105</v>
      </c>
      <c r="P19">
        <v>4.7000000000000002E-3</v>
      </c>
      <c r="Q19">
        <v>0.05</v>
      </c>
      <c r="R19" t="s">
        <v>105</v>
      </c>
    </row>
    <row r="20" spans="1:18" x14ac:dyDescent="0.4">
      <c r="A20">
        <v>14</v>
      </c>
      <c r="B20" t="s">
        <v>5</v>
      </c>
      <c r="C20" t="s">
        <v>112</v>
      </c>
      <c r="D20">
        <v>72.887</v>
      </c>
      <c r="G20">
        <v>72.881200000000007</v>
      </c>
      <c r="J20">
        <v>-5.7999999999999996E-3</v>
      </c>
      <c r="M20">
        <v>72.986999999999995</v>
      </c>
      <c r="N20">
        <v>72.787000000000006</v>
      </c>
      <c r="O20" t="s">
        <v>105</v>
      </c>
    </row>
    <row r="21" spans="1:18" x14ac:dyDescent="0.4">
      <c r="A21">
        <v>15</v>
      </c>
      <c r="B21" t="s">
        <v>6</v>
      </c>
      <c r="C21" t="s">
        <v>112</v>
      </c>
      <c r="D21">
        <v>73.745999999999995</v>
      </c>
      <c r="G21">
        <v>73.712299999999999</v>
      </c>
      <c r="J21">
        <v>-3.3700000000000001E-2</v>
      </c>
      <c r="M21">
        <v>73.846000000000004</v>
      </c>
      <c r="N21">
        <v>73.646000000000001</v>
      </c>
      <c r="O21" t="s">
        <v>105</v>
      </c>
    </row>
    <row r="22" spans="1:18" x14ac:dyDescent="0.4">
      <c r="A22">
        <v>16</v>
      </c>
      <c r="B22" t="s">
        <v>7</v>
      </c>
      <c r="C22" t="s">
        <v>112</v>
      </c>
      <c r="D22">
        <v>72.376999999999995</v>
      </c>
      <c r="G22">
        <v>72.339600000000004</v>
      </c>
      <c r="J22">
        <v>-3.7400000000000003E-2</v>
      </c>
      <c r="M22">
        <v>72.477000000000004</v>
      </c>
      <c r="N22">
        <v>72.277000000000001</v>
      </c>
      <c r="O22" t="s">
        <v>105</v>
      </c>
    </row>
    <row r="23" spans="1:18" x14ac:dyDescent="0.4">
      <c r="A23">
        <v>17</v>
      </c>
      <c r="B23" t="s">
        <v>8</v>
      </c>
      <c r="C23" t="s">
        <v>112</v>
      </c>
      <c r="D23">
        <v>72.031000000000006</v>
      </c>
      <c r="G23">
        <v>71.965000000000003</v>
      </c>
      <c r="J23">
        <v>-6.6000000000000003E-2</v>
      </c>
      <c r="M23">
        <v>72.131</v>
      </c>
      <c r="N23">
        <v>71.930999999999997</v>
      </c>
      <c r="O23" t="s">
        <v>105</v>
      </c>
    </row>
    <row r="24" spans="1:18" x14ac:dyDescent="0.4">
      <c r="A24">
        <v>18</v>
      </c>
      <c r="B24" t="s">
        <v>9</v>
      </c>
      <c r="C24" t="s">
        <v>112</v>
      </c>
      <c r="D24">
        <v>75.007000000000005</v>
      </c>
      <c r="G24">
        <v>74.986400000000003</v>
      </c>
      <c r="J24">
        <v>-2.06E-2</v>
      </c>
      <c r="M24">
        <v>75.106999999999999</v>
      </c>
      <c r="N24">
        <v>74.906999999999996</v>
      </c>
      <c r="O24" t="s">
        <v>105</v>
      </c>
    </row>
    <row r="25" spans="1:18" x14ac:dyDescent="0.4">
      <c r="A25">
        <v>19</v>
      </c>
      <c r="B25" t="s">
        <v>10</v>
      </c>
      <c r="C25" t="s">
        <v>112</v>
      </c>
      <c r="D25">
        <v>74.007000000000005</v>
      </c>
      <c r="G25">
        <v>73.983999999999995</v>
      </c>
      <c r="J25">
        <v>-2.3E-2</v>
      </c>
      <c r="M25">
        <v>74.106999999999999</v>
      </c>
      <c r="N25">
        <v>73.906999999999996</v>
      </c>
      <c r="O25" t="s">
        <v>105</v>
      </c>
    </row>
    <row r="26" spans="1:18" x14ac:dyDescent="0.4">
      <c r="A26">
        <v>20</v>
      </c>
      <c r="B26" t="s">
        <v>11</v>
      </c>
      <c r="C26" t="s">
        <v>112</v>
      </c>
      <c r="D26">
        <v>126</v>
      </c>
      <c r="G26">
        <v>125.93519999999999</v>
      </c>
      <c r="J26">
        <v>-6.4799999999999996E-2</v>
      </c>
      <c r="M26">
        <v>126.1</v>
      </c>
      <c r="N26">
        <v>125.9</v>
      </c>
      <c r="O26" t="s">
        <v>105</v>
      </c>
    </row>
    <row r="27" spans="1:18" x14ac:dyDescent="0.4">
      <c r="A27">
        <v>21</v>
      </c>
      <c r="B27" t="s">
        <v>12</v>
      </c>
      <c r="C27" t="s">
        <v>112</v>
      </c>
      <c r="D27">
        <v>124.004</v>
      </c>
      <c r="G27">
        <v>123.92700000000001</v>
      </c>
      <c r="J27">
        <v>-7.6999999999999999E-2</v>
      </c>
      <c r="M27">
        <v>124.104</v>
      </c>
      <c r="N27">
        <v>123.904</v>
      </c>
      <c r="O27" t="s">
        <v>105</v>
      </c>
    </row>
    <row r="28" spans="1:18" x14ac:dyDescent="0.4">
      <c r="A28">
        <v>22</v>
      </c>
      <c r="B28" t="s">
        <v>13</v>
      </c>
      <c r="C28" t="s">
        <v>112</v>
      </c>
      <c r="D28">
        <v>145.262</v>
      </c>
      <c r="G28">
        <v>145.21789999999999</v>
      </c>
      <c r="J28">
        <v>-4.41E-2</v>
      </c>
      <c r="M28">
        <v>145.36199999999999</v>
      </c>
      <c r="N28">
        <v>145.16200000000001</v>
      </c>
      <c r="O28" t="s">
        <v>105</v>
      </c>
    </row>
    <row r="29" spans="1:18" x14ac:dyDescent="0.4">
      <c r="A29">
        <v>23</v>
      </c>
      <c r="B29" t="s">
        <v>14</v>
      </c>
      <c r="C29" t="s">
        <v>112</v>
      </c>
      <c r="D29">
        <v>145.774</v>
      </c>
      <c r="G29">
        <v>145.6739</v>
      </c>
      <c r="J29">
        <v>-0.10009999999999999</v>
      </c>
      <c r="M29">
        <v>145.874</v>
      </c>
      <c r="N29">
        <v>145.67400000000001</v>
      </c>
      <c r="O29" t="s">
        <v>107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CC689-6E42-4E58-8BF4-ACFDEC8D0734}">
  <dimension ref="A1:R29"/>
  <sheetViews>
    <sheetView workbookViewId="0"/>
  </sheetViews>
  <sheetFormatPr defaultRowHeight="14.6" x14ac:dyDescent="0.4"/>
  <cols>
    <col min="1" max="1" width="24.23046875" bestFit="1" customWidth="1"/>
    <col min="2" max="2" width="13.921875" bestFit="1" customWidth="1"/>
    <col min="3" max="3" width="17.53515625" bestFit="1" customWidth="1"/>
    <col min="4" max="4" width="7.84375" bestFit="1" customWidth="1"/>
    <col min="5" max="5" width="5.4609375" bestFit="1" customWidth="1"/>
    <col min="6" max="6" width="1.84375" bestFit="1" customWidth="1"/>
    <col min="7" max="7" width="8.84375" bestFit="1" customWidth="1"/>
    <col min="8" max="8" width="8.4609375" bestFit="1" customWidth="1"/>
    <col min="9" max="9" width="6.84375" bestFit="1" customWidth="1"/>
    <col min="10" max="10" width="7.4609375" bestFit="1" customWidth="1"/>
    <col min="11" max="12" width="6.84375" bestFit="1" customWidth="1"/>
    <col min="13" max="14" width="7.84375" bestFit="1" customWidth="1"/>
    <col min="15" max="15" width="4.84375" bestFit="1" customWidth="1"/>
    <col min="16" max="16" width="6.84375" bestFit="1" customWidth="1"/>
    <col min="17" max="18" width="4.84375" bestFit="1" customWidth="1"/>
  </cols>
  <sheetData>
    <row r="1" spans="1:18" x14ac:dyDescent="0.4">
      <c r="A1" t="s">
        <v>91</v>
      </c>
      <c r="B1" t="s">
        <v>92</v>
      </c>
    </row>
    <row r="2" spans="1:18" x14ac:dyDescent="0.4">
      <c r="A2" t="s">
        <v>93</v>
      </c>
      <c r="B2" t="s">
        <v>94</v>
      </c>
    </row>
    <row r="3" spans="1:18" x14ac:dyDescent="0.4">
      <c r="A3" t="s">
        <v>95</v>
      </c>
      <c r="B3" t="s">
        <v>127</v>
      </c>
    </row>
    <row r="4" spans="1:18" x14ac:dyDescent="0.4">
      <c r="A4" t="s">
        <v>97</v>
      </c>
      <c r="B4" t="s">
        <v>114</v>
      </c>
    </row>
    <row r="5" spans="1:18" x14ac:dyDescent="0.4">
      <c r="A5" t="s">
        <v>99</v>
      </c>
    </row>
    <row r="6" spans="1:18" x14ac:dyDescent="0.4">
      <c r="A6" t="s">
        <v>100</v>
      </c>
    </row>
    <row r="7" spans="1:18" x14ac:dyDescent="0.4">
      <c r="A7" t="s">
        <v>101</v>
      </c>
    </row>
    <row r="8" spans="1:18" x14ac:dyDescent="0.4">
      <c r="A8" t="s">
        <v>93</v>
      </c>
    </row>
    <row r="9" spans="1:18" x14ac:dyDescent="0.4">
      <c r="A9" t="s">
        <v>102</v>
      </c>
    </row>
    <row r="10" spans="1:18" x14ac:dyDescent="0.4">
      <c r="A10">
        <v>4</v>
      </c>
      <c r="B10" t="s">
        <v>103</v>
      </c>
      <c r="C10" t="s">
        <v>104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105</v>
      </c>
    </row>
    <row r="11" spans="1:18" x14ac:dyDescent="0.4">
      <c r="A11">
        <v>5</v>
      </c>
      <c r="B11" t="s">
        <v>106</v>
      </c>
      <c r="C11" t="s">
        <v>104</v>
      </c>
      <c r="D11">
        <v>62.5</v>
      </c>
      <c r="E11">
        <v>37.5</v>
      </c>
      <c r="F11">
        <v>0</v>
      </c>
      <c r="G11">
        <v>62.483600000000003</v>
      </c>
      <c r="H11">
        <v>37.515500000000003</v>
      </c>
      <c r="I11">
        <v>8.2900000000000001E-2</v>
      </c>
      <c r="J11">
        <v>-1.6400000000000001E-2</v>
      </c>
      <c r="K11">
        <v>1.55E-2</v>
      </c>
      <c r="L11">
        <v>8.2900000000000001E-2</v>
      </c>
      <c r="P11">
        <v>0.17180000000000001</v>
      </c>
      <c r="Q11">
        <v>0.05</v>
      </c>
      <c r="R11" t="s">
        <v>107</v>
      </c>
    </row>
    <row r="12" spans="1:18" x14ac:dyDescent="0.4">
      <c r="A12">
        <v>6</v>
      </c>
      <c r="B12" t="s">
        <v>108</v>
      </c>
      <c r="C12" t="s">
        <v>104</v>
      </c>
      <c r="D12">
        <v>-63.5</v>
      </c>
      <c r="E12">
        <v>37.5</v>
      </c>
      <c r="F12">
        <v>0</v>
      </c>
      <c r="G12">
        <v>-63.450800000000001</v>
      </c>
      <c r="H12">
        <v>37.515500000000003</v>
      </c>
      <c r="I12">
        <v>6.8500000000000005E-2</v>
      </c>
      <c r="J12">
        <v>4.9200000000000001E-2</v>
      </c>
      <c r="K12">
        <v>1.55E-2</v>
      </c>
      <c r="L12">
        <v>6.8500000000000005E-2</v>
      </c>
      <c r="P12">
        <v>0.1716</v>
      </c>
      <c r="Q12">
        <v>0.05</v>
      </c>
      <c r="R12" t="s">
        <v>107</v>
      </c>
    </row>
    <row r="13" spans="1:18" x14ac:dyDescent="0.4">
      <c r="A13">
        <v>7</v>
      </c>
      <c r="B13" t="s">
        <v>109</v>
      </c>
      <c r="C13" t="s">
        <v>104</v>
      </c>
      <c r="D13">
        <v>-62.5</v>
      </c>
      <c r="E13">
        <v>-36.5</v>
      </c>
      <c r="F13">
        <v>0</v>
      </c>
      <c r="G13">
        <v>-62.478999999999999</v>
      </c>
      <c r="H13">
        <v>-36.4619</v>
      </c>
      <c r="I13">
        <v>8.3099999999999993E-2</v>
      </c>
      <c r="J13">
        <v>2.1000000000000001E-2</v>
      </c>
      <c r="K13">
        <v>3.8100000000000002E-2</v>
      </c>
      <c r="L13">
        <v>8.3099999999999993E-2</v>
      </c>
      <c r="P13">
        <v>0.18759999999999999</v>
      </c>
      <c r="Q13">
        <v>0.05</v>
      </c>
      <c r="R13" t="s">
        <v>107</v>
      </c>
    </row>
    <row r="14" spans="1:18" x14ac:dyDescent="0.4">
      <c r="A14">
        <v>8</v>
      </c>
      <c r="B14" t="s">
        <v>110</v>
      </c>
      <c r="C14" t="s">
        <v>104</v>
      </c>
      <c r="D14">
        <v>61.5</v>
      </c>
      <c r="E14">
        <v>-37.5</v>
      </c>
      <c r="F14">
        <v>0</v>
      </c>
      <c r="G14">
        <v>61.444499999999998</v>
      </c>
      <c r="H14">
        <v>-37.465000000000003</v>
      </c>
      <c r="I14">
        <v>6.9000000000000006E-2</v>
      </c>
      <c r="J14">
        <v>-5.5500000000000001E-2</v>
      </c>
      <c r="K14">
        <v>3.5000000000000003E-2</v>
      </c>
      <c r="L14">
        <v>6.9000000000000006E-2</v>
      </c>
      <c r="P14">
        <v>0.19040000000000001</v>
      </c>
      <c r="Q14">
        <v>0.05</v>
      </c>
      <c r="R14" t="s">
        <v>107</v>
      </c>
    </row>
    <row r="15" spans="1:18" x14ac:dyDescent="0.4">
      <c r="A15">
        <v>9</v>
      </c>
      <c r="B15" t="s">
        <v>0</v>
      </c>
      <c r="C15" t="s">
        <v>111</v>
      </c>
      <c r="D15">
        <v>25.4</v>
      </c>
      <c r="G15">
        <v>25.3992</v>
      </c>
      <c r="J15">
        <v>-8.0000000000000004E-4</v>
      </c>
      <c r="M15">
        <v>25.5</v>
      </c>
      <c r="N15">
        <v>25.3</v>
      </c>
      <c r="O15" t="s">
        <v>105</v>
      </c>
      <c r="P15">
        <v>5.1000000000000004E-3</v>
      </c>
      <c r="Q15">
        <v>0.05</v>
      </c>
      <c r="R15" t="s">
        <v>105</v>
      </c>
    </row>
    <row r="16" spans="1:18" x14ac:dyDescent="0.4">
      <c r="A16">
        <v>10</v>
      </c>
      <c r="B16" t="s">
        <v>1</v>
      </c>
      <c r="C16" t="s">
        <v>111</v>
      </c>
      <c r="D16">
        <v>25.4</v>
      </c>
      <c r="G16">
        <v>25.403199999999998</v>
      </c>
      <c r="J16">
        <v>3.2000000000000002E-3</v>
      </c>
      <c r="M16">
        <v>25.5</v>
      </c>
      <c r="N16">
        <v>25.3</v>
      </c>
      <c r="O16" t="s">
        <v>105</v>
      </c>
      <c r="P16">
        <v>7.4000000000000003E-3</v>
      </c>
      <c r="Q16">
        <v>0.05</v>
      </c>
      <c r="R16" t="s">
        <v>105</v>
      </c>
    </row>
    <row r="17" spans="1:18" x14ac:dyDescent="0.4">
      <c r="A17">
        <v>11</v>
      </c>
      <c r="B17" t="s">
        <v>2</v>
      </c>
      <c r="C17" t="s">
        <v>111</v>
      </c>
      <c r="D17">
        <v>25.4</v>
      </c>
      <c r="G17">
        <v>25.402699999999999</v>
      </c>
      <c r="J17">
        <v>2.7000000000000001E-3</v>
      </c>
      <c r="M17">
        <v>25.5</v>
      </c>
      <c r="N17">
        <v>25.3</v>
      </c>
      <c r="O17" t="s">
        <v>105</v>
      </c>
      <c r="P17">
        <v>6.0000000000000001E-3</v>
      </c>
      <c r="Q17">
        <v>0.05</v>
      </c>
      <c r="R17" t="s">
        <v>105</v>
      </c>
    </row>
    <row r="18" spans="1:18" x14ac:dyDescent="0.4">
      <c r="A18">
        <v>12</v>
      </c>
      <c r="B18" t="s">
        <v>3</v>
      </c>
      <c r="C18" t="s">
        <v>111</v>
      </c>
      <c r="D18">
        <v>25.4</v>
      </c>
      <c r="G18">
        <v>25.404299999999999</v>
      </c>
      <c r="J18">
        <v>4.3E-3</v>
      </c>
      <c r="M18">
        <v>25.5</v>
      </c>
      <c r="N18">
        <v>25.3</v>
      </c>
      <c r="O18" t="s">
        <v>105</v>
      </c>
      <c r="P18">
        <v>8.9999999999999993E-3</v>
      </c>
      <c r="Q18">
        <v>0.05</v>
      </c>
      <c r="R18" t="s">
        <v>105</v>
      </c>
    </row>
    <row r="19" spans="1:18" x14ac:dyDescent="0.4">
      <c r="A19">
        <v>13</v>
      </c>
      <c r="B19" t="s">
        <v>4</v>
      </c>
      <c r="C19" t="s">
        <v>111</v>
      </c>
      <c r="D19">
        <v>25.4</v>
      </c>
      <c r="G19">
        <v>25.4024</v>
      </c>
      <c r="J19">
        <v>2.3999999999999998E-3</v>
      </c>
      <c r="M19">
        <v>25.5</v>
      </c>
      <c r="N19">
        <v>25.3</v>
      </c>
      <c r="O19" t="s">
        <v>105</v>
      </c>
      <c r="P19">
        <v>4.1000000000000003E-3</v>
      </c>
      <c r="Q19">
        <v>0.05</v>
      </c>
      <c r="R19" t="s">
        <v>105</v>
      </c>
    </row>
    <row r="20" spans="1:18" x14ac:dyDescent="0.4">
      <c r="A20">
        <v>14</v>
      </c>
      <c r="B20" t="s">
        <v>5</v>
      </c>
      <c r="C20" t="s">
        <v>112</v>
      </c>
      <c r="D20">
        <v>72.887</v>
      </c>
      <c r="G20">
        <v>72.880899999999997</v>
      </c>
      <c r="J20">
        <v>-6.1000000000000004E-3</v>
      </c>
      <c r="M20">
        <v>72.986999999999995</v>
      </c>
      <c r="N20">
        <v>72.787000000000006</v>
      </c>
      <c r="O20" t="s">
        <v>105</v>
      </c>
    </row>
    <row r="21" spans="1:18" x14ac:dyDescent="0.4">
      <c r="A21">
        <v>15</v>
      </c>
      <c r="B21" t="s">
        <v>6</v>
      </c>
      <c r="C21" t="s">
        <v>112</v>
      </c>
      <c r="D21">
        <v>73.745999999999995</v>
      </c>
      <c r="G21">
        <v>73.711799999999997</v>
      </c>
      <c r="J21">
        <v>-3.4200000000000001E-2</v>
      </c>
      <c r="M21">
        <v>73.846000000000004</v>
      </c>
      <c r="N21">
        <v>73.646000000000001</v>
      </c>
      <c r="O21" t="s">
        <v>105</v>
      </c>
    </row>
    <row r="22" spans="1:18" x14ac:dyDescent="0.4">
      <c r="A22">
        <v>16</v>
      </c>
      <c r="B22" t="s">
        <v>7</v>
      </c>
      <c r="C22" t="s">
        <v>112</v>
      </c>
      <c r="D22">
        <v>72.376999999999995</v>
      </c>
      <c r="G22">
        <v>72.340199999999996</v>
      </c>
      <c r="J22">
        <v>-3.6799999999999999E-2</v>
      </c>
      <c r="M22">
        <v>72.477000000000004</v>
      </c>
      <c r="N22">
        <v>72.277000000000001</v>
      </c>
      <c r="O22" t="s">
        <v>105</v>
      </c>
    </row>
    <row r="23" spans="1:18" x14ac:dyDescent="0.4">
      <c r="A23">
        <v>17</v>
      </c>
      <c r="B23" t="s">
        <v>8</v>
      </c>
      <c r="C23" t="s">
        <v>112</v>
      </c>
      <c r="D23">
        <v>72.031000000000006</v>
      </c>
      <c r="G23">
        <v>71.965699999999998</v>
      </c>
      <c r="J23">
        <v>-6.5299999999999997E-2</v>
      </c>
      <c r="M23">
        <v>72.131</v>
      </c>
      <c r="N23">
        <v>71.930999999999997</v>
      </c>
      <c r="O23" t="s">
        <v>105</v>
      </c>
    </row>
    <row r="24" spans="1:18" x14ac:dyDescent="0.4">
      <c r="A24">
        <v>18</v>
      </c>
      <c r="B24" t="s">
        <v>9</v>
      </c>
      <c r="C24" t="s">
        <v>112</v>
      </c>
      <c r="D24">
        <v>75.007000000000005</v>
      </c>
      <c r="G24">
        <v>74.987700000000004</v>
      </c>
      <c r="J24">
        <v>-1.9300000000000001E-2</v>
      </c>
      <c r="M24">
        <v>75.106999999999999</v>
      </c>
      <c r="N24">
        <v>74.906999999999996</v>
      </c>
      <c r="O24" t="s">
        <v>105</v>
      </c>
    </row>
    <row r="25" spans="1:18" x14ac:dyDescent="0.4">
      <c r="A25">
        <v>19</v>
      </c>
      <c r="B25" t="s">
        <v>10</v>
      </c>
      <c r="C25" t="s">
        <v>112</v>
      </c>
      <c r="D25">
        <v>74.007000000000005</v>
      </c>
      <c r="G25">
        <v>73.983800000000002</v>
      </c>
      <c r="J25">
        <v>-2.3199999999999998E-2</v>
      </c>
      <c r="M25">
        <v>74.106999999999999</v>
      </c>
      <c r="N25">
        <v>73.906999999999996</v>
      </c>
      <c r="O25" t="s">
        <v>105</v>
      </c>
    </row>
    <row r="26" spans="1:18" x14ac:dyDescent="0.4">
      <c r="A26">
        <v>20</v>
      </c>
      <c r="B26" t="s">
        <v>11</v>
      </c>
      <c r="C26" t="s">
        <v>112</v>
      </c>
      <c r="D26">
        <v>126</v>
      </c>
      <c r="G26">
        <v>125.9344</v>
      </c>
      <c r="J26">
        <v>-6.5600000000000006E-2</v>
      </c>
      <c r="M26">
        <v>126.1</v>
      </c>
      <c r="N26">
        <v>125.9</v>
      </c>
      <c r="O26" t="s">
        <v>105</v>
      </c>
    </row>
    <row r="27" spans="1:18" x14ac:dyDescent="0.4">
      <c r="A27">
        <v>21</v>
      </c>
      <c r="B27" t="s">
        <v>12</v>
      </c>
      <c r="C27" t="s">
        <v>112</v>
      </c>
      <c r="D27">
        <v>124.004</v>
      </c>
      <c r="G27">
        <v>123.9276</v>
      </c>
      <c r="J27">
        <v>-7.6399999999999996E-2</v>
      </c>
      <c r="M27">
        <v>124.104</v>
      </c>
      <c r="N27">
        <v>123.904</v>
      </c>
      <c r="O27" t="s">
        <v>105</v>
      </c>
    </row>
    <row r="28" spans="1:18" x14ac:dyDescent="0.4">
      <c r="A28">
        <v>22</v>
      </c>
      <c r="B28" t="s">
        <v>13</v>
      </c>
      <c r="C28" t="s">
        <v>112</v>
      </c>
      <c r="D28">
        <v>145.262</v>
      </c>
      <c r="G28">
        <v>145.2182</v>
      </c>
      <c r="J28">
        <v>-4.3799999999999999E-2</v>
      </c>
      <c r="M28">
        <v>145.36199999999999</v>
      </c>
      <c r="N28">
        <v>145.16200000000001</v>
      </c>
      <c r="O28" t="s">
        <v>105</v>
      </c>
    </row>
    <row r="29" spans="1:18" x14ac:dyDescent="0.4">
      <c r="A29">
        <v>23</v>
      </c>
      <c r="B29" t="s">
        <v>14</v>
      </c>
      <c r="C29" t="s">
        <v>112</v>
      </c>
      <c r="D29">
        <v>145.774</v>
      </c>
      <c r="G29">
        <v>145.67400000000001</v>
      </c>
      <c r="J29">
        <v>-0.1</v>
      </c>
      <c r="M29">
        <v>145.874</v>
      </c>
      <c r="N29">
        <v>145.67400000000001</v>
      </c>
      <c r="O29" t="s">
        <v>105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5AFF08-A95B-4220-9A92-83BC105F1159}">
  <dimension ref="A1:R29"/>
  <sheetViews>
    <sheetView workbookViewId="0"/>
  </sheetViews>
  <sheetFormatPr defaultRowHeight="14.6" x14ac:dyDescent="0.4"/>
  <cols>
    <col min="1" max="1" width="24.23046875" bestFit="1" customWidth="1"/>
    <col min="2" max="2" width="13.921875" bestFit="1" customWidth="1"/>
    <col min="3" max="3" width="17.53515625" bestFit="1" customWidth="1"/>
    <col min="4" max="4" width="7.84375" bestFit="1" customWidth="1"/>
    <col min="5" max="5" width="5.4609375" bestFit="1" customWidth="1"/>
    <col min="6" max="6" width="1.84375" bestFit="1" customWidth="1"/>
    <col min="7" max="7" width="8.84375" bestFit="1" customWidth="1"/>
    <col min="8" max="8" width="8.4609375" bestFit="1" customWidth="1"/>
    <col min="9" max="9" width="6.84375" bestFit="1" customWidth="1"/>
    <col min="10" max="10" width="7.4609375" bestFit="1" customWidth="1"/>
    <col min="11" max="12" width="6.84375" bestFit="1" customWidth="1"/>
    <col min="13" max="14" width="7.84375" bestFit="1" customWidth="1"/>
    <col min="15" max="15" width="4.84375" bestFit="1" customWidth="1"/>
    <col min="16" max="16" width="6.84375" bestFit="1" customWidth="1"/>
    <col min="17" max="18" width="4.84375" bestFit="1" customWidth="1"/>
  </cols>
  <sheetData>
    <row r="1" spans="1:18" x14ac:dyDescent="0.4">
      <c r="A1" t="s">
        <v>91</v>
      </c>
      <c r="B1" t="s">
        <v>92</v>
      </c>
    </row>
    <row r="2" spans="1:18" x14ac:dyDescent="0.4">
      <c r="A2" t="s">
        <v>93</v>
      </c>
      <c r="B2" t="s">
        <v>94</v>
      </c>
    </row>
    <row r="3" spans="1:18" x14ac:dyDescent="0.4">
      <c r="A3" t="s">
        <v>95</v>
      </c>
      <c r="B3" t="s">
        <v>128</v>
      </c>
    </row>
    <row r="4" spans="1:18" x14ac:dyDescent="0.4">
      <c r="A4" t="s">
        <v>97</v>
      </c>
      <c r="B4" t="s">
        <v>98</v>
      </c>
    </row>
    <row r="5" spans="1:18" x14ac:dyDescent="0.4">
      <c r="A5" t="s">
        <v>99</v>
      </c>
    </row>
    <row r="6" spans="1:18" x14ac:dyDescent="0.4">
      <c r="A6" t="s">
        <v>100</v>
      </c>
    </row>
    <row r="7" spans="1:18" x14ac:dyDescent="0.4">
      <c r="A7" t="s">
        <v>101</v>
      </c>
    </row>
    <row r="8" spans="1:18" x14ac:dyDescent="0.4">
      <c r="A8" t="s">
        <v>93</v>
      </c>
    </row>
    <row r="9" spans="1:18" x14ac:dyDescent="0.4">
      <c r="A9" t="s">
        <v>102</v>
      </c>
    </row>
    <row r="10" spans="1:18" x14ac:dyDescent="0.4">
      <c r="A10">
        <v>4</v>
      </c>
      <c r="B10" t="s">
        <v>103</v>
      </c>
      <c r="C10" t="s">
        <v>104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105</v>
      </c>
    </row>
    <row r="11" spans="1:18" x14ac:dyDescent="0.4">
      <c r="A11">
        <v>5</v>
      </c>
      <c r="B11" t="s">
        <v>106</v>
      </c>
      <c r="C11" t="s">
        <v>104</v>
      </c>
      <c r="D11">
        <v>62.5</v>
      </c>
      <c r="E11">
        <v>37.5</v>
      </c>
      <c r="F11">
        <v>0</v>
      </c>
      <c r="G11">
        <v>62.482900000000001</v>
      </c>
      <c r="H11">
        <v>37.515799999999999</v>
      </c>
      <c r="I11">
        <v>8.2900000000000001E-2</v>
      </c>
      <c r="J11">
        <v>-1.7100000000000001E-2</v>
      </c>
      <c r="K11">
        <v>1.5800000000000002E-2</v>
      </c>
      <c r="L11">
        <v>8.2900000000000001E-2</v>
      </c>
      <c r="P11">
        <v>0.17219999999999999</v>
      </c>
      <c r="Q11">
        <v>0.05</v>
      </c>
      <c r="R11" t="s">
        <v>107</v>
      </c>
    </row>
    <row r="12" spans="1:18" x14ac:dyDescent="0.4">
      <c r="A12">
        <v>6</v>
      </c>
      <c r="B12" t="s">
        <v>108</v>
      </c>
      <c r="C12" t="s">
        <v>104</v>
      </c>
      <c r="D12">
        <v>-63.5</v>
      </c>
      <c r="E12">
        <v>37.5</v>
      </c>
      <c r="F12">
        <v>0</v>
      </c>
      <c r="G12">
        <v>-63.452399999999997</v>
      </c>
      <c r="H12">
        <v>37.515799999999999</v>
      </c>
      <c r="I12">
        <v>6.8500000000000005E-2</v>
      </c>
      <c r="J12">
        <v>4.7600000000000003E-2</v>
      </c>
      <c r="K12">
        <v>1.5800000000000002E-2</v>
      </c>
      <c r="L12">
        <v>6.8500000000000005E-2</v>
      </c>
      <c r="P12">
        <v>0.16980000000000001</v>
      </c>
      <c r="Q12">
        <v>0.05</v>
      </c>
      <c r="R12" t="s">
        <v>107</v>
      </c>
    </row>
    <row r="13" spans="1:18" x14ac:dyDescent="0.4">
      <c r="A13">
        <v>7</v>
      </c>
      <c r="B13" t="s">
        <v>109</v>
      </c>
      <c r="C13" t="s">
        <v>104</v>
      </c>
      <c r="D13">
        <v>-62.5</v>
      </c>
      <c r="E13">
        <v>-36.5</v>
      </c>
      <c r="F13">
        <v>0</v>
      </c>
      <c r="G13">
        <v>-62.478700000000003</v>
      </c>
      <c r="H13">
        <v>-36.461799999999997</v>
      </c>
      <c r="I13">
        <v>8.3099999999999993E-2</v>
      </c>
      <c r="J13">
        <v>2.1299999999999999E-2</v>
      </c>
      <c r="K13">
        <v>3.8199999999999998E-2</v>
      </c>
      <c r="L13">
        <v>8.3099999999999993E-2</v>
      </c>
      <c r="P13">
        <v>0.18779999999999999</v>
      </c>
      <c r="Q13">
        <v>0.05</v>
      </c>
      <c r="R13" t="s">
        <v>107</v>
      </c>
    </row>
    <row r="14" spans="1:18" x14ac:dyDescent="0.4">
      <c r="A14">
        <v>8</v>
      </c>
      <c r="B14" t="s">
        <v>110</v>
      </c>
      <c r="C14" t="s">
        <v>104</v>
      </c>
      <c r="D14">
        <v>61.5</v>
      </c>
      <c r="E14">
        <v>-37.5</v>
      </c>
      <c r="F14">
        <v>0</v>
      </c>
      <c r="G14">
        <v>61.443899999999999</v>
      </c>
      <c r="H14">
        <v>-37.464300000000001</v>
      </c>
      <c r="I14">
        <v>6.9000000000000006E-2</v>
      </c>
      <c r="J14">
        <v>-5.6099999999999997E-2</v>
      </c>
      <c r="K14">
        <v>3.5700000000000003E-2</v>
      </c>
      <c r="L14">
        <v>6.9000000000000006E-2</v>
      </c>
      <c r="P14">
        <v>0.19159999999999999</v>
      </c>
      <c r="Q14">
        <v>0.05</v>
      </c>
      <c r="R14" t="s">
        <v>107</v>
      </c>
    </row>
    <row r="15" spans="1:18" x14ac:dyDescent="0.4">
      <c r="A15">
        <v>9</v>
      </c>
      <c r="B15" t="s">
        <v>0</v>
      </c>
      <c r="C15" t="s">
        <v>111</v>
      </c>
      <c r="D15">
        <v>25.4</v>
      </c>
      <c r="G15">
        <v>25.399000000000001</v>
      </c>
      <c r="J15">
        <v>-1E-3</v>
      </c>
      <c r="M15">
        <v>25.5</v>
      </c>
      <c r="N15">
        <v>25.3</v>
      </c>
      <c r="O15" t="s">
        <v>105</v>
      </c>
      <c r="P15">
        <v>5.7999999999999996E-3</v>
      </c>
      <c r="Q15">
        <v>0.05</v>
      </c>
      <c r="R15" t="s">
        <v>105</v>
      </c>
    </row>
    <row r="16" spans="1:18" x14ac:dyDescent="0.4">
      <c r="A16">
        <v>10</v>
      </c>
      <c r="B16" t="s">
        <v>1</v>
      </c>
      <c r="C16" t="s">
        <v>111</v>
      </c>
      <c r="D16">
        <v>25.4</v>
      </c>
      <c r="G16">
        <v>25.403400000000001</v>
      </c>
      <c r="J16">
        <v>3.3999999999999998E-3</v>
      </c>
      <c r="M16">
        <v>25.5</v>
      </c>
      <c r="N16">
        <v>25.3</v>
      </c>
      <c r="O16" t="s">
        <v>105</v>
      </c>
      <c r="P16">
        <v>3.8E-3</v>
      </c>
      <c r="Q16">
        <v>0.05</v>
      </c>
      <c r="R16" t="s">
        <v>105</v>
      </c>
    </row>
    <row r="17" spans="1:18" x14ac:dyDescent="0.4">
      <c r="A17">
        <v>11</v>
      </c>
      <c r="B17" t="s">
        <v>2</v>
      </c>
      <c r="C17" t="s">
        <v>111</v>
      </c>
      <c r="D17">
        <v>25.4</v>
      </c>
      <c r="G17">
        <v>25.403300000000002</v>
      </c>
      <c r="J17">
        <v>3.3E-3</v>
      </c>
      <c r="M17">
        <v>25.5</v>
      </c>
      <c r="N17">
        <v>25.3</v>
      </c>
      <c r="O17" t="s">
        <v>105</v>
      </c>
      <c r="P17">
        <v>5.5999999999999999E-3</v>
      </c>
      <c r="Q17">
        <v>0.05</v>
      </c>
      <c r="R17" t="s">
        <v>105</v>
      </c>
    </row>
    <row r="18" spans="1:18" x14ac:dyDescent="0.4">
      <c r="A18">
        <v>12</v>
      </c>
      <c r="B18" t="s">
        <v>3</v>
      </c>
      <c r="C18" t="s">
        <v>111</v>
      </c>
      <c r="D18">
        <v>25.4</v>
      </c>
      <c r="G18">
        <v>25.405100000000001</v>
      </c>
      <c r="J18">
        <v>5.1000000000000004E-3</v>
      </c>
      <c r="M18">
        <v>25.5</v>
      </c>
      <c r="N18">
        <v>25.3</v>
      </c>
      <c r="O18" t="s">
        <v>105</v>
      </c>
      <c r="P18">
        <v>5.0000000000000001E-3</v>
      </c>
      <c r="Q18">
        <v>0.05</v>
      </c>
      <c r="R18" t="s">
        <v>105</v>
      </c>
    </row>
    <row r="19" spans="1:18" x14ac:dyDescent="0.4">
      <c r="A19">
        <v>13</v>
      </c>
      <c r="B19" t="s">
        <v>4</v>
      </c>
      <c r="C19" t="s">
        <v>111</v>
      </c>
      <c r="D19">
        <v>25.4</v>
      </c>
      <c r="G19">
        <v>25.402799999999999</v>
      </c>
      <c r="J19">
        <v>2.8E-3</v>
      </c>
      <c r="M19">
        <v>25.5</v>
      </c>
      <c r="N19">
        <v>25.3</v>
      </c>
      <c r="O19" t="s">
        <v>105</v>
      </c>
      <c r="P19">
        <v>5.5999999999999999E-3</v>
      </c>
      <c r="Q19">
        <v>0.05</v>
      </c>
      <c r="R19" t="s">
        <v>105</v>
      </c>
    </row>
    <row r="20" spans="1:18" x14ac:dyDescent="0.4">
      <c r="A20">
        <v>14</v>
      </c>
      <c r="B20" t="s">
        <v>5</v>
      </c>
      <c r="C20" t="s">
        <v>112</v>
      </c>
      <c r="D20">
        <v>72.887</v>
      </c>
      <c r="G20">
        <v>72.880399999999995</v>
      </c>
      <c r="J20">
        <v>-6.6E-3</v>
      </c>
      <c r="M20">
        <v>72.986999999999995</v>
      </c>
      <c r="N20">
        <v>72.787000000000006</v>
      </c>
      <c r="O20" t="s">
        <v>105</v>
      </c>
    </row>
    <row r="21" spans="1:18" x14ac:dyDescent="0.4">
      <c r="A21">
        <v>15</v>
      </c>
      <c r="B21" t="s">
        <v>6</v>
      </c>
      <c r="C21" t="s">
        <v>112</v>
      </c>
      <c r="D21">
        <v>73.745999999999995</v>
      </c>
      <c r="G21">
        <v>73.713300000000004</v>
      </c>
      <c r="J21">
        <v>-3.27E-2</v>
      </c>
      <c r="M21">
        <v>73.846000000000004</v>
      </c>
      <c r="N21">
        <v>73.646000000000001</v>
      </c>
      <c r="O21" t="s">
        <v>105</v>
      </c>
    </row>
    <row r="22" spans="1:18" x14ac:dyDescent="0.4">
      <c r="A22">
        <v>16</v>
      </c>
      <c r="B22" t="s">
        <v>7</v>
      </c>
      <c r="C22" t="s">
        <v>112</v>
      </c>
      <c r="D22">
        <v>72.376999999999995</v>
      </c>
      <c r="G22">
        <v>72.3399</v>
      </c>
      <c r="J22">
        <v>-3.7100000000000001E-2</v>
      </c>
      <c r="M22">
        <v>72.477000000000004</v>
      </c>
      <c r="N22">
        <v>72.277000000000001</v>
      </c>
      <c r="O22" t="s">
        <v>105</v>
      </c>
    </row>
    <row r="23" spans="1:18" x14ac:dyDescent="0.4">
      <c r="A23">
        <v>17</v>
      </c>
      <c r="B23" t="s">
        <v>8</v>
      </c>
      <c r="C23" t="s">
        <v>112</v>
      </c>
      <c r="D23">
        <v>72.031000000000006</v>
      </c>
      <c r="G23">
        <v>71.964799999999997</v>
      </c>
      <c r="J23">
        <v>-6.6199999999999995E-2</v>
      </c>
      <c r="M23">
        <v>72.131</v>
      </c>
      <c r="N23">
        <v>71.930999999999997</v>
      </c>
      <c r="O23" t="s">
        <v>105</v>
      </c>
    </row>
    <row r="24" spans="1:18" x14ac:dyDescent="0.4">
      <c r="A24">
        <v>18</v>
      </c>
      <c r="B24" t="s">
        <v>9</v>
      </c>
      <c r="C24" t="s">
        <v>112</v>
      </c>
      <c r="D24">
        <v>75.007000000000005</v>
      </c>
      <c r="G24">
        <v>74.987300000000005</v>
      </c>
      <c r="J24">
        <v>-1.9699999999999999E-2</v>
      </c>
      <c r="M24">
        <v>75.106999999999999</v>
      </c>
      <c r="N24">
        <v>74.906999999999996</v>
      </c>
      <c r="O24" t="s">
        <v>105</v>
      </c>
    </row>
    <row r="25" spans="1:18" x14ac:dyDescent="0.4">
      <c r="A25">
        <v>19</v>
      </c>
      <c r="B25" t="s">
        <v>10</v>
      </c>
      <c r="C25" t="s">
        <v>112</v>
      </c>
      <c r="D25">
        <v>74.007000000000005</v>
      </c>
      <c r="G25">
        <v>73.983999999999995</v>
      </c>
      <c r="J25">
        <v>-2.3E-2</v>
      </c>
      <c r="M25">
        <v>74.106999999999999</v>
      </c>
      <c r="N25">
        <v>73.906999999999996</v>
      </c>
      <c r="O25" t="s">
        <v>105</v>
      </c>
    </row>
    <row r="26" spans="1:18" x14ac:dyDescent="0.4">
      <c r="A26">
        <v>20</v>
      </c>
      <c r="B26" t="s">
        <v>11</v>
      </c>
      <c r="C26" t="s">
        <v>112</v>
      </c>
      <c r="D26">
        <v>126</v>
      </c>
      <c r="G26">
        <v>125.9353</v>
      </c>
      <c r="J26">
        <v>-6.4699999999999994E-2</v>
      </c>
      <c r="M26">
        <v>126.1</v>
      </c>
      <c r="N26">
        <v>125.9</v>
      </c>
      <c r="O26" t="s">
        <v>105</v>
      </c>
    </row>
    <row r="27" spans="1:18" x14ac:dyDescent="0.4">
      <c r="A27">
        <v>21</v>
      </c>
      <c r="B27" t="s">
        <v>12</v>
      </c>
      <c r="C27" t="s">
        <v>112</v>
      </c>
      <c r="D27">
        <v>124.004</v>
      </c>
      <c r="G27">
        <v>123.9267</v>
      </c>
      <c r="J27">
        <v>-7.7299999999999994E-2</v>
      </c>
      <c r="M27">
        <v>124.104</v>
      </c>
      <c r="N27">
        <v>123.904</v>
      </c>
      <c r="O27" t="s">
        <v>105</v>
      </c>
    </row>
    <row r="28" spans="1:18" x14ac:dyDescent="0.4">
      <c r="A28">
        <v>22</v>
      </c>
      <c r="B28" t="s">
        <v>13</v>
      </c>
      <c r="C28" t="s">
        <v>112</v>
      </c>
      <c r="D28">
        <v>145.262</v>
      </c>
      <c r="G28">
        <v>145.2174</v>
      </c>
      <c r="J28">
        <v>-4.4600000000000001E-2</v>
      </c>
      <c r="M28">
        <v>145.36199999999999</v>
      </c>
      <c r="N28">
        <v>145.16200000000001</v>
      </c>
      <c r="O28" t="s">
        <v>105</v>
      </c>
    </row>
    <row r="29" spans="1:18" x14ac:dyDescent="0.4">
      <c r="A29">
        <v>23</v>
      </c>
      <c r="B29" t="s">
        <v>14</v>
      </c>
      <c r="C29" t="s">
        <v>112</v>
      </c>
      <c r="D29">
        <v>145.774</v>
      </c>
      <c r="G29">
        <v>145.6747</v>
      </c>
      <c r="J29">
        <v>-9.9299999999999999E-2</v>
      </c>
      <c r="M29">
        <v>145.874</v>
      </c>
      <c r="N29">
        <v>145.67400000000001</v>
      </c>
      <c r="O29" t="s">
        <v>105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F1721-A7E0-4B2E-8801-A6A562D61B99}">
  <dimension ref="A1:R29"/>
  <sheetViews>
    <sheetView workbookViewId="0"/>
  </sheetViews>
  <sheetFormatPr defaultRowHeight="14.6" x14ac:dyDescent="0.4"/>
  <cols>
    <col min="1" max="1" width="24.23046875" bestFit="1" customWidth="1"/>
    <col min="2" max="2" width="13.921875" bestFit="1" customWidth="1"/>
    <col min="3" max="3" width="17.53515625" bestFit="1" customWidth="1"/>
    <col min="4" max="4" width="7.84375" bestFit="1" customWidth="1"/>
    <col min="5" max="5" width="5.4609375" bestFit="1" customWidth="1"/>
    <col min="6" max="6" width="1.84375" bestFit="1" customWidth="1"/>
    <col min="7" max="7" width="8.84375" bestFit="1" customWidth="1"/>
    <col min="8" max="8" width="8.4609375" bestFit="1" customWidth="1"/>
    <col min="9" max="9" width="6.84375" bestFit="1" customWidth="1"/>
    <col min="10" max="10" width="7.4609375" bestFit="1" customWidth="1"/>
    <col min="11" max="12" width="6.84375" bestFit="1" customWidth="1"/>
    <col min="13" max="14" width="7.84375" bestFit="1" customWidth="1"/>
    <col min="15" max="15" width="4.84375" bestFit="1" customWidth="1"/>
    <col min="16" max="16" width="6.84375" bestFit="1" customWidth="1"/>
    <col min="17" max="18" width="4.84375" bestFit="1" customWidth="1"/>
  </cols>
  <sheetData>
    <row r="1" spans="1:18" x14ac:dyDescent="0.4">
      <c r="A1" t="s">
        <v>91</v>
      </c>
      <c r="B1" t="s">
        <v>92</v>
      </c>
    </row>
    <row r="2" spans="1:18" x14ac:dyDescent="0.4">
      <c r="A2" t="s">
        <v>93</v>
      </c>
      <c r="B2" t="s">
        <v>94</v>
      </c>
    </row>
    <row r="3" spans="1:18" x14ac:dyDescent="0.4">
      <c r="A3" t="s">
        <v>95</v>
      </c>
      <c r="B3" t="s">
        <v>129</v>
      </c>
    </row>
    <row r="4" spans="1:18" x14ac:dyDescent="0.4">
      <c r="A4" t="s">
        <v>97</v>
      </c>
      <c r="B4" t="s">
        <v>114</v>
      </c>
    </row>
    <row r="5" spans="1:18" x14ac:dyDescent="0.4">
      <c r="A5" t="s">
        <v>99</v>
      </c>
    </row>
    <row r="6" spans="1:18" x14ac:dyDescent="0.4">
      <c r="A6" t="s">
        <v>100</v>
      </c>
    </row>
    <row r="7" spans="1:18" x14ac:dyDescent="0.4">
      <c r="A7" t="s">
        <v>101</v>
      </c>
    </row>
    <row r="8" spans="1:18" x14ac:dyDescent="0.4">
      <c r="A8" t="s">
        <v>93</v>
      </c>
    </row>
    <row r="9" spans="1:18" x14ac:dyDescent="0.4">
      <c r="A9" t="s">
        <v>102</v>
      </c>
    </row>
    <row r="10" spans="1:18" x14ac:dyDescent="0.4">
      <c r="A10">
        <v>4</v>
      </c>
      <c r="B10" t="s">
        <v>103</v>
      </c>
      <c r="C10" t="s">
        <v>104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105</v>
      </c>
    </row>
    <row r="11" spans="1:18" x14ac:dyDescent="0.4">
      <c r="A11">
        <v>5</v>
      </c>
      <c r="B11" t="s">
        <v>106</v>
      </c>
      <c r="C11" t="s">
        <v>104</v>
      </c>
      <c r="D11">
        <v>62.5</v>
      </c>
      <c r="E11">
        <v>37.5</v>
      </c>
      <c r="F11">
        <v>0</v>
      </c>
      <c r="G11">
        <v>62.482799999999997</v>
      </c>
      <c r="H11">
        <v>37.516199999999998</v>
      </c>
      <c r="I11">
        <v>8.2799999999999999E-2</v>
      </c>
      <c r="J11">
        <v>-1.72E-2</v>
      </c>
      <c r="K11">
        <v>1.6199999999999999E-2</v>
      </c>
      <c r="L11">
        <v>8.2799999999999999E-2</v>
      </c>
      <c r="P11">
        <v>0.17219999999999999</v>
      </c>
      <c r="Q11">
        <v>0.05</v>
      </c>
      <c r="R11" t="s">
        <v>107</v>
      </c>
    </row>
    <row r="12" spans="1:18" x14ac:dyDescent="0.4">
      <c r="A12">
        <v>6</v>
      </c>
      <c r="B12" t="s">
        <v>108</v>
      </c>
      <c r="C12" t="s">
        <v>104</v>
      </c>
      <c r="D12">
        <v>-63.5</v>
      </c>
      <c r="E12">
        <v>37.5</v>
      </c>
      <c r="F12">
        <v>0</v>
      </c>
      <c r="G12">
        <v>-63.451700000000002</v>
      </c>
      <c r="H12">
        <v>37.516199999999998</v>
      </c>
      <c r="I12">
        <v>6.8599999999999994E-2</v>
      </c>
      <c r="J12">
        <v>4.8300000000000003E-2</v>
      </c>
      <c r="K12">
        <v>1.6199999999999999E-2</v>
      </c>
      <c r="L12">
        <v>6.8599999999999994E-2</v>
      </c>
      <c r="P12">
        <v>0.1709</v>
      </c>
      <c r="Q12">
        <v>0.05</v>
      </c>
      <c r="R12" t="s">
        <v>107</v>
      </c>
    </row>
    <row r="13" spans="1:18" x14ac:dyDescent="0.4">
      <c r="A13">
        <v>7</v>
      </c>
      <c r="B13" t="s">
        <v>109</v>
      </c>
      <c r="C13" t="s">
        <v>104</v>
      </c>
      <c r="D13">
        <v>-62.5</v>
      </c>
      <c r="E13">
        <v>-36.5</v>
      </c>
      <c r="F13">
        <v>0</v>
      </c>
      <c r="G13">
        <v>-62.479599999999998</v>
      </c>
      <c r="H13">
        <v>-36.461300000000001</v>
      </c>
      <c r="I13">
        <v>8.2900000000000001E-2</v>
      </c>
      <c r="J13">
        <v>2.0400000000000001E-2</v>
      </c>
      <c r="K13">
        <v>3.8699999999999998E-2</v>
      </c>
      <c r="L13">
        <v>8.2900000000000001E-2</v>
      </c>
      <c r="P13">
        <v>0.18759999999999999</v>
      </c>
      <c r="Q13">
        <v>0.05</v>
      </c>
      <c r="R13" t="s">
        <v>107</v>
      </c>
    </row>
    <row r="14" spans="1:18" x14ac:dyDescent="0.4">
      <c r="A14">
        <v>8</v>
      </c>
      <c r="B14" t="s">
        <v>110</v>
      </c>
      <c r="C14" t="s">
        <v>104</v>
      </c>
      <c r="D14">
        <v>61.5</v>
      </c>
      <c r="E14">
        <v>-37.5</v>
      </c>
      <c r="F14">
        <v>0</v>
      </c>
      <c r="G14">
        <v>61.443600000000004</v>
      </c>
      <c r="H14">
        <v>-37.464199999999998</v>
      </c>
      <c r="I14">
        <v>6.9099999999999995E-2</v>
      </c>
      <c r="J14">
        <v>-5.6399999999999999E-2</v>
      </c>
      <c r="K14">
        <v>3.5799999999999998E-2</v>
      </c>
      <c r="L14">
        <v>6.9099999999999995E-2</v>
      </c>
      <c r="P14">
        <v>0.19209999999999999</v>
      </c>
      <c r="Q14">
        <v>0.05</v>
      </c>
      <c r="R14" t="s">
        <v>107</v>
      </c>
    </row>
    <row r="15" spans="1:18" x14ac:dyDescent="0.4">
      <c r="A15">
        <v>9</v>
      </c>
      <c r="B15" t="s">
        <v>0</v>
      </c>
      <c r="C15" t="s">
        <v>111</v>
      </c>
      <c r="D15">
        <v>25.4</v>
      </c>
      <c r="G15">
        <v>25.398900000000001</v>
      </c>
      <c r="J15">
        <v>-1.1000000000000001E-3</v>
      </c>
      <c r="M15">
        <v>25.5</v>
      </c>
      <c r="N15">
        <v>25.3</v>
      </c>
      <c r="O15" t="s">
        <v>105</v>
      </c>
      <c r="P15">
        <v>5.8999999999999999E-3</v>
      </c>
      <c r="Q15">
        <v>0.05</v>
      </c>
      <c r="R15" t="s">
        <v>105</v>
      </c>
    </row>
    <row r="16" spans="1:18" x14ac:dyDescent="0.4">
      <c r="A16">
        <v>10</v>
      </c>
      <c r="B16" t="s">
        <v>1</v>
      </c>
      <c r="C16" t="s">
        <v>111</v>
      </c>
      <c r="D16">
        <v>25.4</v>
      </c>
      <c r="G16">
        <v>25.404</v>
      </c>
      <c r="J16">
        <v>4.0000000000000001E-3</v>
      </c>
      <c r="M16">
        <v>25.5</v>
      </c>
      <c r="N16">
        <v>25.3</v>
      </c>
      <c r="O16" t="s">
        <v>105</v>
      </c>
      <c r="P16">
        <v>8.0999999999999996E-3</v>
      </c>
      <c r="Q16">
        <v>0.05</v>
      </c>
      <c r="R16" t="s">
        <v>105</v>
      </c>
    </row>
    <row r="17" spans="1:18" x14ac:dyDescent="0.4">
      <c r="A17">
        <v>11</v>
      </c>
      <c r="B17" t="s">
        <v>2</v>
      </c>
      <c r="C17" t="s">
        <v>111</v>
      </c>
      <c r="D17">
        <v>25.4</v>
      </c>
      <c r="G17">
        <v>25.403099999999998</v>
      </c>
      <c r="J17">
        <v>3.0999999999999999E-3</v>
      </c>
      <c r="M17">
        <v>25.5</v>
      </c>
      <c r="N17">
        <v>25.3</v>
      </c>
      <c r="O17" t="s">
        <v>105</v>
      </c>
      <c r="P17">
        <v>4.7999999999999996E-3</v>
      </c>
      <c r="Q17">
        <v>0.05</v>
      </c>
      <c r="R17" t="s">
        <v>105</v>
      </c>
    </row>
    <row r="18" spans="1:18" x14ac:dyDescent="0.4">
      <c r="A18">
        <v>12</v>
      </c>
      <c r="B18" t="s">
        <v>3</v>
      </c>
      <c r="C18" t="s">
        <v>111</v>
      </c>
      <c r="D18">
        <v>25.4</v>
      </c>
      <c r="G18">
        <v>25.404299999999999</v>
      </c>
      <c r="J18">
        <v>4.3E-3</v>
      </c>
      <c r="M18">
        <v>25.5</v>
      </c>
      <c r="N18">
        <v>25.3</v>
      </c>
      <c r="O18" t="s">
        <v>105</v>
      </c>
      <c r="P18">
        <v>4.4999999999999997E-3</v>
      </c>
      <c r="Q18">
        <v>0.05</v>
      </c>
      <c r="R18" t="s">
        <v>105</v>
      </c>
    </row>
    <row r="19" spans="1:18" x14ac:dyDescent="0.4">
      <c r="A19">
        <v>13</v>
      </c>
      <c r="B19" t="s">
        <v>4</v>
      </c>
      <c r="C19" t="s">
        <v>111</v>
      </c>
      <c r="D19">
        <v>25.4</v>
      </c>
      <c r="G19">
        <v>25.4026</v>
      </c>
      <c r="J19">
        <v>2.5999999999999999E-3</v>
      </c>
      <c r="M19">
        <v>25.5</v>
      </c>
      <c r="N19">
        <v>25.3</v>
      </c>
      <c r="O19" t="s">
        <v>105</v>
      </c>
      <c r="P19">
        <v>5.3E-3</v>
      </c>
      <c r="Q19">
        <v>0.05</v>
      </c>
      <c r="R19" t="s">
        <v>105</v>
      </c>
    </row>
    <row r="20" spans="1:18" x14ac:dyDescent="0.4">
      <c r="A20">
        <v>14</v>
      </c>
      <c r="B20" t="s">
        <v>5</v>
      </c>
      <c r="C20" t="s">
        <v>112</v>
      </c>
      <c r="D20">
        <v>72.887</v>
      </c>
      <c r="G20">
        <v>72.880499999999998</v>
      </c>
      <c r="J20">
        <v>-6.4999999999999997E-3</v>
      </c>
      <c r="M20">
        <v>72.986999999999995</v>
      </c>
      <c r="N20">
        <v>72.787000000000006</v>
      </c>
      <c r="O20" t="s">
        <v>105</v>
      </c>
    </row>
    <row r="21" spans="1:18" x14ac:dyDescent="0.4">
      <c r="A21">
        <v>15</v>
      </c>
      <c r="B21" t="s">
        <v>6</v>
      </c>
      <c r="C21" t="s">
        <v>112</v>
      </c>
      <c r="D21">
        <v>73.745999999999995</v>
      </c>
      <c r="G21">
        <v>73.712900000000005</v>
      </c>
      <c r="J21">
        <v>-3.3099999999999997E-2</v>
      </c>
      <c r="M21">
        <v>73.846000000000004</v>
      </c>
      <c r="N21">
        <v>73.646000000000001</v>
      </c>
      <c r="O21" t="s">
        <v>105</v>
      </c>
    </row>
    <row r="22" spans="1:18" x14ac:dyDescent="0.4">
      <c r="A22">
        <v>16</v>
      </c>
      <c r="B22" t="s">
        <v>7</v>
      </c>
      <c r="C22" t="s">
        <v>112</v>
      </c>
      <c r="D22">
        <v>72.376999999999995</v>
      </c>
      <c r="G22">
        <v>72.340400000000002</v>
      </c>
      <c r="J22">
        <v>-3.6600000000000001E-2</v>
      </c>
      <c r="M22">
        <v>72.477000000000004</v>
      </c>
      <c r="N22">
        <v>72.277000000000001</v>
      </c>
      <c r="O22" t="s">
        <v>105</v>
      </c>
    </row>
    <row r="23" spans="1:18" x14ac:dyDescent="0.4">
      <c r="A23">
        <v>17</v>
      </c>
      <c r="B23" t="s">
        <v>8</v>
      </c>
      <c r="C23" t="s">
        <v>112</v>
      </c>
      <c r="D23">
        <v>72.031000000000006</v>
      </c>
      <c r="G23">
        <v>71.964500000000001</v>
      </c>
      <c r="J23">
        <v>-6.6500000000000004E-2</v>
      </c>
      <c r="M23">
        <v>72.131</v>
      </c>
      <c r="N23">
        <v>71.930999999999997</v>
      </c>
      <c r="O23" t="s">
        <v>105</v>
      </c>
    </row>
    <row r="24" spans="1:18" x14ac:dyDescent="0.4">
      <c r="A24">
        <v>18</v>
      </c>
      <c r="B24" t="s">
        <v>9</v>
      </c>
      <c r="C24" t="s">
        <v>112</v>
      </c>
      <c r="D24">
        <v>75.007000000000005</v>
      </c>
      <c r="G24">
        <v>74.9876</v>
      </c>
      <c r="J24">
        <v>-1.9400000000000001E-2</v>
      </c>
      <c r="M24">
        <v>75.106999999999999</v>
      </c>
      <c r="N24">
        <v>74.906999999999996</v>
      </c>
      <c r="O24" t="s">
        <v>105</v>
      </c>
    </row>
    <row r="25" spans="1:18" x14ac:dyDescent="0.4">
      <c r="A25">
        <v>19</v>
      </c>
      <c r="B25" t="s">
        <v>10</v>
      </c>
      <c r="C25" t="s">
        <v>112</v>
      </c>
      <c r="D25">
        <v>74.007000000000005</v>
      </c>
      <c r="G25">
        <v>73.983900000000006</v>
      </c>
      <c r="J25">
        <v>-2.3099999999999999E-2</v>
      </c>
      <c r="M25">
        <v>74.106999999999999</v>
      </c>
      <c r="N25">
        <v>73.906999999999996</v>
      </c>
      <c r="O25" t="s">
        <v>105</v>
      </c>
    </row>
    <row r="26" spans="1:18" x14ac:dyDescent="0.4">
      <c r="A26">
        <v>20</v>
      </c>
      <c r="B26" t="s">
        <v>11</v>
      </c>
      <c r="C26" t="s">
        <v>112</v>
      </c>
      <c r="D26">
        <v>126</v>
      </c>
      <c r="G26">
        <v>125.9345</v>
      </c>
      <c r="J26">
        <v>-6.5500000000000003E-2</v>
      </c>
      <c r="M26">
        <v>126.1</v>
      </c>
      <c r="N26">
        <v>125.9</v>
      </c>
      <c r="O26" t="s">
        <v>105</v>
      </c>
    </row>
    <row r="27" spans="1:18" x14ac:dyDescent="0.4">
      <c r="A27">
        <v>21</v>
      </c>
      <c r="B27" t="s">
        <v>12</v>
      </c>
      <c r="C27" t="s">
        <v>112</v>
      </c>
      <c r="D27">
        <v>124.004</v>
      </c>
      <c r="G27">
        <v>123.9273</v>
      </c>
      <c r="J27">
        <v>-7.6700000000000004E-2</v>
      </c>
      <c r="M27">
        <v>124.104</v>
      </c>
      <c r="N27">
        <v>123.904</v>
      </c>
      <c r="O27" t="s">
        <v>105</v>
      </c>
    </row>
    <row r="28" spans="1:18" x14ac:dyDescent="0.4">
      <c r="A28">
        <v>22</v>
      </c>
      <c r="B28" t="s">
        <v>13</v>
      </c>
      <c r="C28" t="s">
        <v>112</v>
      </c>
      <c r="D28">
        <v>145.262</v>
      </c>
      <c r="G28">
        <v>145.21799999999999</v>
      </c>
      <c r="J28">
        <v>-4.3999999999999997E-2</v>
      </c>
      <c r="M28">
        <v>145.36199999999999</v>
      </c>
      <c r="N28">
        <v>145.16200000000001</v>
      </c>
      <c r="O28" t="s">
        <v>105</v>
      </c>
    </row>
    <row r="29" spans="1:18" x14ac:dyDescent="0.4">
      <c r="A29">
        <v>23</v>
      </c>
      <c r="B29" t="s">
        <v>14</v>
      </c>
      <c r="C29" t="s">
        <v>112</v>
      </c>
      <c r="D29">
        <v>145.774</v>
      </c>
      <c r="G29">
        <v>145.67400000000001</v>
      </c>
      <c r="J29">
        <v>-0.1</v>
      </c>
      <c r="M29">
        <v>145.874</v>
      </c>
      <c r="N29">
        <v>145.67400000000001</v>
      </c>
      <c r="O29" t="s">
        <v>105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99209-BE64-4DBF-862D-CEFCBBFB1207}">
  <dimension ref="A1:R29"/>
  <sheetViews>
    <sheetView workbookViewId="0"/>
  </sheetViews>
  <sheetFormatPr defaultRowHeight="14.6" x14ac:dyDescent="0.4"/>
  <cols>
    <col min="1" max="1" width="24.23046875" bestFit="1" customWidth="1"/>
    <col min="2" max="2" width="13.921875" bestFit="1" customWidth="1"/>
    <col min="3" max="3" width="17.53515625" bestFit="1" customWidth="1"/>
    <col min="4" max="4" width="7.84375" bestFit="1" customWidth="1"/>
    <col min="5" max="5" width="5.4609375" bestFit="1" customWidth="1"/>
    <col min="6" max="6" width="1.84375" bestFit="1" customWidth="1"/>
    <col min="7" max="7" width="8.84375" bestFit="1" customWidth="1"/>
    <col min="8" max="8" width="8.4609375" bestFit="1" customWidth="1"/>
    <col min="9" max="9" width="6.84375" bestFit="1" customWidth="1"/>
    <col min="10" max="10" width="7.4609375" bestFit="1" customWidth="1"/>
    <col min="11" max="12" width="6.84375" bestFit="1" customWidth="1"/>
    <col min="13" max="14" width="7.84375" bestFit="1" customWidth="1"/>
    <col min="15" max="15" width="4.84375" bestFit="1" customWidth="1"/>
    <col min="16" max="16" width="6.84375" bestFit="1" customWidth="1"/>
    <col min="17" max="18" width="4.84375" bestFit="1" customWidth="1"/>
  </cols>
  <sheetData>
    <row r="1" spans="1:18" x14ac:dyDescent="0.4">
      <c r="A1" t="s">
        <v>91</v>
      </c>
      <c r="B1" t="s">
        <v>92</v>
      </c>
    </row>
    <row r="2" spans="1:18" x14ac:dyDescent="0.4">
      <c r="A2" t="s">
        <v>93</v>
      </c>
      <c r="B2" t="s">
        <v>94</v>
      </c>
    </row>
    <row r="3" spans="1:18" x14ac:dyDescent="0.4">
      <c r="A3" t="s">
        <v>95</v>
      </c>
      <c r="B3" t="s">
        <v>130</v>
      </c>
    </row>
    <row r="4" spans="1:18" x14ac:dyDescent="0.4">
      <c r="A4" t="s">
        <v>97</v>
      </c>
      <c r="B4" t="s">
        <v>114</v>
      </c>
    </row>
    <row r="5" spans="1:18" x14ac:dyDescent="0.4">
      <c r="A5" t="s">
        <v>99</v>
      </c>
    </row>
    <row r="6" spans="1:18" x14ac:dyDescent="0.4">
      <c r="A6" t="s">
        <v>100</v>
      </c>
    </row>
    <row r="7" spans="1:18" x14ac:dyDescent="0.4">
      <c r="A7" t="s">
        <v>101</v>
      </c>
    </row>
    <row r="8" spans="1:18" x14ac:dyDescent="0.4">
      <c r="A8" t="s">
        <v>93</v>
      </c>
    </row>
    <row r="9" spans="1:18" x14ac:dyDescent="0.4">
      <c r="A9" t="s">
        <v>102</v>
      </c>
    </row>
    <row r="10" spans="1:18" x14ac:dyDescent="0.4">
      <c r="A10">
        <v>4</v>
      </c>
      <c r="B10" t="s">
        <v>103</v>
      </c>
      <c r="C10" t="s">
        <v>104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105</v>
      </c>
    </row>
    <row r="11" spans="1:18" x14ac:dyDescent="0.4">
      <c r="A11">
        <v>5</v>
      </c>
      <c r="B11" t="s">
        <v>106</v>
      </c>
      <c r="C11" t="s">
        <v>104</v>
      </c>
      <c r="D11">
        <v>62.5</v>
      </c>
      <c r="E11">
        <v>37.5</v>
      </c>
      <c r="F11">
        <v>0</v>
      </c>
      <c r="G11">
        <v>62.483699999999999</v>
      </c>
      <c r="H11">
        <v>37.515099999999997</v>
      </c>
      <c r="I11">
        <v>8.2199999999999995E-2</v>
      </c>
      <c r="J11">
        <v>-1.6299999999999999E-2</v>
      </c>
      <c r="K11">
        <v>1.5100000000000001E-2</v>
      </c>
      <c r="L11">
        <v>8.2199999999999995E-2</v>
      </c>
      <c r="P11">
        <v>0.17030000000000001</v>
      </c>
      <c r="Q11">
        <v>0.05</v>
      </c>
      <c r="R11" t="s">
        <v>107</v>
      </c>
    </row>
    <row r="12" spans="1:18" x14ac:dyDescent="0.4">
      <c r="A12">
        <v>6</v>
      </c>
      <c r="B12" t="s">
        <v>108</v>
      </c>
      <c r="C12" t="s">
        <v>104</v>
      </c>
      <c r="D12">
        <v>-63.5</v>
      </c>
      <c r="E12">
        <v>37.5</v>
      </c>
      <c r="F12">
        <v>0</v>
      </c>
      <c r="G12">
        <v>-63.451099999999997</v>
      </c>
      <c r="H12">
        <v>37.515099999999997</v>
      </c>
      <c r="I12">
        <v>6.8000000000000005E-2</v>
      </c>
      <c r="J12">
        <v>4.8899999999999999E-2</v>
      </c>
      <c r="K12">
        <v>1.5100000000000001E-2</v>
      </c>
      <c r="L12">
        <v>6.8000000000000005E-2</v>
      </c>
      <c r="P12">
        <v>0.17030000000000001</v>
      </c>
      <c r="Q12">
        <v>0.05</v>
      </c>
      <c r="R12" t="s">
        <v>107</v>
      </c>
    </row>
    <row r="13" spans="1:18" x14ac:dyDescent="0.4">
      <c r="A13">
        <v>7</v>
      </c>
      <c r="B13" t="s">
        <v>109</v>
      </c>
      <c r="C13" t="s">
        <v>104</v>
      </c>
      <c r="D13">
        <v>-62.5</v>
      </c>
      <c r="E13">
        <v>-36.5</v>
      </c>
      <c r="F13">
        <v>0</v>
      </c>
      <c r="G13">
        <v>-62.478700000000003</v>
      </c>
      <c r="H13">
        <v>-36.462299999999999</v>
      </c>
      <c r="I13">
        <v>8.2400000000000001E-2</v>
      </c>
      <c r="J13">
        <v>2.1299999999999999E-2</v>
      </c>
      <c r="K13">
        <v>3.7699999999999997E-2</v>
      </c>
      <c r="L13">
        <v>8.2400000000000001E-2</v>
      </c>
      <c r="P13">
        <v>0.18609999999999999</v>
      </c>
      <c r="Q13">
        <v>0.05</v>
      </c>
      <c r="R13" t="s">
        <v>107</v>
      </c>
    </row>
    <row r="14" spans="1:18" x14ac:dyDescent="0.4">
      <c r="A14">
        <v>8</v>
      </c>
      <c r="B14" t="s">
        <v>110</v>
      </c>
      <c r="C14" t="s">
        <v>104</v>
      </c>
      <c r="D14">
        <v>61.5</v>
      </c>
      <c r="E14">
        <v>-37.5</v>
      </c>
      <c r="F14">
        <v>0</v>
      </c>
      <c r="G14">
        <v>61.445</v>
      </c>
      <c r="H14">
        <v>-37.464799999999997</v>
      </c>
      <c r="I14">
        <v>6.8500000000000005E-2</v>
      </c>
      <c r="J14">
        <v>-5.5E-2</v>
      </c>
      <c r="K14">
        <v>3.5200000000000002E-2</v>
      </c>
      <c r="L14">
        <v>6.8500000000000005E-2</v>
      </c>
      <c r="P14">
        <v>0.1893</v>
      </c>
      <c r="Q14">
        <v>0.05</v>
      </c>
      <c r="R14" t="s">
        <v>107</v>
      </c>
    </row>
    <row r="15" spans="1:18" x14ac:dyDescent="0.4">
      <c r="A15">
        <v>9</v>
      </c>
      <c r="B15" t="s">
        <v>0</v>
      </c>
      <c r="C15" t="s">
        <v>111</v>
      </c>
      <c r="D15">
        <v>25.4</v>
      </c>
      <c r="G15">
        <v>25.398599999999998</v>
      </c>
      <c r="J15">
        <v>-1.4E-3</v>
      </c>
      <c r="M15">
        <v>25.5</v>
      </c>
      <c r="N15">
        <v>25.3</v>
      </c>
      <c r="O15" t="s">
        <v>105</v>
      </c>
      <c r="P15">
        <v>4.5999999999999999E-3</v>
      </c>
      <c r="Q15">
        <v>0.05</v>
      </c>
      <c r="R15" t="s">
        <v>105</v>
      </c>
    </row>
    <row r="16" spans="1:18" x14ac:dyDescent="0.4">
      <c r="A16">
        <v>10</v>
      </c>
      <c r="B16" t="s">
        <v>1</v>
      </c>
      <c r="C16" t="s">
        <v>111</v>
      </c>
      <c r="D16">
        <v>25.4</v>
      </c>
      <c r="G16">
        <v>25.402699999999999</v>
      </c>
      <c r="J16">
        <v>2.7000000000000001E-3</v>
      </c>
      <c r="M16">
        <v>25.5</v>
      </c>
      <c r="N16">
        <v>25.3</v>
      </c>
      <c r="O16" t="s">
        <v>105</v>
      </c>
      <c r="P16">
        <v>6.4000000000000003E-3</v>
      </c>
      <c r="Q16">
        <v>0.05</v>
      </c>
      <c r="R16" t="s">
        <v>105</v>
      </c>
    </row>
    <row r="17" spans="1:18" x14ac:dyDescent="0.4">
      <c r="A17">
        <v>11</v>
      </c>
      <c r="B17" t="s">
        <v>2</v>
      </c>
      <c r="C17" t="s">
        <v>111</v>
      </c>
      <c r="D17">
        <v>25.4</v>
      </c>
      <c r="G17">
        <v>25.4026</v>
      </c>
      <c r="J17">
        <v>2.5999999999999999E-3</v>
      </c>
      <c r="M17">
        <v>25.5</v>
      </c>
      <c r="N17">
        <v>25.3</v>
      </c>
      <c r="O17" t="s">
        <v>105</v>
      </c>
      <c r="P17">
        <v>6.3E-3</v>
      </c>
      <c r="Q17">
        <v>0.05</v>
      </c>
      <c r="R17" t="s">
        <v>105</v>
      </c>
    </row>
    <row r="18" spans="1:18" x14ac:dyDescent="0.4">
      <c r="A18">
        <v>12</v>
      </c>
      <c r="B18" t="s">
        <v>3</v>
      </c>
      <c r="C18" t="s">
        <v>111</v>
      </c>
      <c r="D18">
        <v>25.4</v>
      </c>
      <c r="G18">
        <v>25.404599999999999</v>
      </c>
      <c r="J18">
        <v>4.5999999999999999E-3</v>
      </c>
      <c r="M18">
        <v>25.5</v>
      </c>
      <c r="N18">
        <v>25.3</v>
      </c>
      <c r="O18" t="s">
        <v>105</v>
      </c>
      <c r="P18">
        <v>8.8000000000000005E-3</v>
      </c>
      <c r="Q18">
        <v>0.05</v>
      </c>
      <c r="R18" t="s">
        <v>105</v>
      </c>
    </row>
    <row r="19" spans="1:18" x14ac:dyDescent="0.4">
      <c r="A19">
        <v>13</v>
      </c>
      <c r="B19" t="s">
        <v>4</v>
      </c>
      <c r="C19" t="s">
        <v>111</v>
      </c>
      <c r="D19">
        <v>25.4</v>
      </c>
      <c r="G19">
        <v>25.402799999999999</v>
      </c>
      <c r="J19">
        <v>2.8E-3</v>
      </c>
      <c r="M19">
        <v>25.5</v>
      </c>
      <c r="N19">
        <v>25.3</v>
      </c>
      <c r="O19" t="s">
        <v>105</v>
      </c>
      <c r="P19">
        <v>5.3E-3</v>
      </c>
      <c r="Q19">
        <v>0.05</v>
      </c>
      <c r="R19" t="s">
        <v>105</v>
      </c>
    </row>
    <row r="20" spans="1:18" x14ac:dyDescent="0.4">
      <c r="A20">
        <v>14</v>
      </c>
      <c r="B20" t="s">
        <v>5</v>
      </c>
      <c r="C20" t="s">
        <v>112</v>
      </c>
      <c r="D20">
        <v>72.887</v>
      </c>
      <c r="G20">
        <v>72.880700000000004</v>
      </c>
      <c r="J20">
        <v>-6.3E-3</v>
      </c>
      <c r="M20">
        <v>72.986999999999995</v>
      </c>
      <c r="N20">
        <v>72.787000000000006</v>
      </c>
      <c r="O20" t="s">
        <v>105</v>
      </c>
    </row>
    <row r="21" spans="1:18" x14ac:dyDescent="0.4">
      <c r="A21">
        <v>15</v>
      </c>
      <c r="B21" t="s">
        <v>6</v>
      </c>
      <c r="C21" t="s">
        <v>112</v>
      </c>
      <c r="D21">
        <v>73.745999999999995</v>
      </c>
      <c r="G21">
        <v>73.711799999999997</v>
      </c>
      <c r="J21">
        <v>-3.4200000000000001E-2</v>
      </c>
      <c r="M21">
        <v>73.846000000000004</v>
      </c>
      <c r="N21">
        <v>73.646000000000001</v>
      </c>
      <c r="O21" t="s">
        <v>105</v>
      </c>
    </row>
    <row r="22" spans="1:18" x14ac:dyDescent="0.4">
      <c r="A22">
        <v>16</v>
      </c>
      <c r="B22" t="s">
        <v>7</v>
      </c>
      <c r="C22" t="s">
        <v>112</v>
      </c>
      <c r="D22">
        <v>72.376999999999995</v>
      </c>
      <c r="G22">
        <v>72.340100000000007</v>
      </c>
      <c r="J22">
        <v>-3.6900000000000002E-2</v>
      </c>
      <c r="M22">
        <v>72.477000000000004</v>
      </c>
      <c r="N22">
        <v>72.277000000000001</v>
      </c>
      <c r="O22" t="s">
        <v>105</v>
      </c>
    </row>
    <row r="23" spans="1:18" x14ac:dyDescent="0.4">
      <c r="A23">
        <v>17</v>
      </c>
      <c r="B23" t="s">
        <v>8</v>
      </c>
      <c r="C23" t="s">
        <v>112</v>
      </c>
      <c r="D23">
        <v>72.031000000000006</v>
      </c>
      <c r="G23">
        <v>71.965900000000005</v>
      </c>
      <c r="J23">
        <v>-6.5100000000000005E-2</v>
      </c>
      <c r="M23">
        <v>72.131</v>
      </c>
      <c r="N23">
        <v>71.930999999999997</v>
      </c>
      <c r="O23" t="s">
        <v>105</v>
      </c>
    </row>
    <row r="24" spans="1:18" x14ac:dyDescent="0.4">
      <c r="A24">
        <v>18</v>
      </c>
      <c r="B24" t="s">
        <v>9</v>
      </c>
      <c r="C24" t="s">
        <v>112</v>
      </c>
      <c r="D24">
        <v>75.007000000000005</v>
      </c>
      <c r="G24">
        <v>74.987099999999998</v>
      </c>
      <c r="J24">
        <v>-1.9900000000000001E-2</v>
      </c>
      <c r="M24">
        <v>75.106999999999999</v>
      </c>
      <c r="N24">
        <v>74.906999999999996</v>
      </c>
      <c r="O24" t="s">
        <v>105</v>
      </c>
    </row>
    <row r="25" spans="1:18" x14ac:dyDescent="0.4">
      <c r="A25">
        <v>19</v>
      </c>
      <c r="B25" t="s">
        <v>10</v>
      </c>
      <c r="C25" t="s">
        <v>112</v>
      </c>
      <c r="D25">
        <v>74.007000000000005</v>
      </c>
      <c r="G25">
        <v>73.983900000000006</v>
      </c>
      <c r="J25">
        <v>-2.3099999999999999E-2</v>
      </c>
      <c r="M25">
        <v>74.106999999999999</v>
      </c>
      <c r="N25">
        <v>73.906999999999996</v>
      </c>
      <c r="O25" t="s">
        <v>105</v>
      </c>
    </row>
    <row r="26" spans="1:18" x14ac:dyDescent="0.4">
      <c r="A26">
        <v>20</v>
      </c>
      <c r="B26" t="s">
        <v>11</v>
      </c>
      <c r="C26" t="s">
        <v>112</v>
      </c>
      <c r="D26">
        <v>126</v>
      </c>
      <c r="G26">
        <v>125.9348</v>
      </c>
      <c r="J26">
        <v>-6.5199999999999994E-2</v>
      </c>
      <c r="M26">
        <v>126.1</v>
      </c>
      <c r="N26">
        <v>125.9</v>
      </c>
      <c r="O26" t="s">
        <v>105</v>
      </c>
    </row>
    <row r="27" spans="1:18" x14ac:dyDescent="0.4">
      <c r="A27">
        <v>21</v>
      </c>
      <c r="B27" t="s">
        <v>12</v>
      </c>
      <c r="C27" t="s">
        <v>112</v>
      </c>
      <c r="D27">
        <v>124.004</v>
      </c>
      <c r="G27">
        <v>123.9277</v>
      </c>
      <c r="J27">
        <v>-7.6300000000000007E-2</v>
      </c>
      <c r="M27">
        <v>124.104</v>
      </c>
      <c r="N27">
        <v>123.904</v>
      </c>
      <c r="O27" t="s">
        <v>105</v>
      </c>
    </row>
    <row r="28" spans="1:18" x14ac:dyDescent="0.4">
      <c r="A28">
        <v>22</v>
      </c>
      <c r="B28" t="s">
        <v>13</v>
      </c>
      <c r="C28" t="s">
        <v>112</v>
      </c>
      <c r="D28">
        <v>145.262</v>
      </c>
      <c r="G28">
        <v>145.21799999999999</v>
      </c>
      <c r="J28">
        <v>-4.3999999999999997E-2</v>
      </c>
      <c r="M28">
        <v>145.36199999999999</v>
      </c>
      <c r="N28">
        <v>145.16200000000001</v>
      </c>
      <c r="O28" t="s">
        <v>105</v>
      </c>
    </row>
    <row r="29" spans="1:18" x14ac:dyDescent="0.4">
      <c r="A29">
        <v>23</v>
      </c>
      <c r="B29" t="s">
        <v>14</v>
      </c>
      <c r="C29" t="s">
        <v>112</v>
      </c>
      <c r="D29">
        <v>145.774</v>
      </c>
      <c r="G29">
        <v>145.67429999999999</v>
      </c>
      <c r="J29">
        <v>-9.9699999999999997E-2</v>
      </c>
      <c r="M29">
        <v>145.874</v>
      </c>
      <c r="N29">
        <v>145.67400000000001</v>
      </c>
      <c r="O29" t="s">
        <v>105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B56A4-722C-45E4-8477-59473E08A9E2}">
  <dimension ref="A1:R29"/>
  <sheetViews>
    <sheetView workbookViewId="0"/>
  </sheetViews>
  <sheetFormatPr defaultRowHeight="14.6" x14ac:dyDescent="0.4"/>
  <cols>
    <col min="1" max="1" width="24.23046875" bestFit="1" customWidth="1"/>
    <col min="2" max="2" width="13.921875" bestFit="1" customWidth="1"/>
    <col min="3" max="3" width="17.53515625" bestFit="1" customWidth="1"/>
    <col min="4" max="4" width="7.84375" bestFit="1" customWidth="1"/>
    <col min="5" max="5" width="5.4609375" bestFit="1" customWidth="1"/>
    <col min="6" max="6" width="1.84375" bestFit="1" customWidth="1"/>
    <col min="7" max="7" width="8.84375" bestFit="1" customWidth="1"/>
    <col min="8" max="8" width="8.4609375" bestFit="1" customWidth="1"/>
    <col min="9" max="9" width="6.84375" bestFit="1" customWidth="1"/>
    <col min="10" max="10" width="7.4609375" bestFit="1" customWidth="1"/>
    <col min="11" max="12" width="6.84375" bestFit="1" customWidth="1"/>
    <col min="13" max="14" width="7.84375" bestFit="1" customWidth="1"/>
    <col min="15" max="15" width="4.84375" bestFit="1" customWidth="1"/>
    <col min="16" max="16" width="6.84375" bestFit="1" customWidth="1"/>
    <col min="17" max="18" width="4.84375" bestFit="1" customWidth="1"/>
  </cols>
  <sheetData>
    <row r="1" spans="1:18" x14ac:dyDescent="0.4">
      <c r="A1" t="s">
        <v>91</v>
      </c>
      <c r="B1" t="s">
        <v>131</v>
      </c>
    </row>
    <row r="2" spans="1:18" x14ac:dyDescent="0.4">
      <c r="A2" t="s">
        <v>93</v>
      </c>
      <c r="B2" t="s">
        <v>94</v>
      </c>
    </row>
    <row r="3" spans="1:18" x14ac:dyDescent="0.4">
      <c r="A3" t="s">
        <v>95</v>
      </c>
      <c r="B3" t="s">
        <v>132</v>
      </c>
    </row>
    <row r="4" spans="1:18" x14ac:dyDescent="0.4">
      <c r="A4" t="s">
        <v>97</v>
      </c>
      <c r="B4" t="s">
        <v>98</v>
      </c>
    </row>
    <row r="5" spans="1:18" x14ac:dyDescent="0.4">
      <c r="A5" t="s">
        <v>99</v>
      </c>
    </row>
    <row r="6" spans="1:18" x14ac:dyDescent="0.4">
      <c r="A6" t="s">
        <v>100</v>
      </c>
    </row>
    <row r="7" spans="1:18" x14ac:dyDescent="0.4">
      <c r="A7" t="s">
        <v>101</v>
      </c>
    </row>
    <row r="8" spans="1:18" x14ac:dyDescent="0.4">
      <c r="A8" t="s">
        <v>93</v>
      </c>
    </row>
    <row r="9" spans="1:18" x14ac:dyDescent="0.4">
      <c r="A9" t="s">
        <v>102</v>
      </c>
    </row>
    <row r="10" spans="1:18" x14ac:dyDescent="0.4">
      <c r="A10">
        <v>4</v>
      </c>
      <c r="B10" t="s">
        <v>103</v>
      </c>
      <c r="C10" t="s">
        <v>104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105</v>
      </c>
    </row>
    <row r="11" spans="1:18" x14ac:dyDescent="0.4">
      <c r="A11">
        <v>5</v>
      </c>
      <c r="B11" t="s">
        <v>106</v>
      </c>
      <c r="C11" t="s">
        <v>104</v>
      </c>
      <c r="D11">
        <v>62.5</v>
      </c>
      <c r="E11">
        <v>37.5</v>
      </c>
      <c r="F11">
        <v>0</v>
      </c>
      <c r="G11">
        <v>62.4816</v>
      </c>
      <c r="H11">
        <v>37.516199999999998</v>
      </c>
      <c r="I11">
        <v>8.2400000000000001E-2</v>
      </c>
      <c r="J11">
        <v>-1.84E-2</v>
      </c>
      <c r="K11">
        <v>1.6199999999999999E-2</v>
      </c>
      <c r="L11">
        <v>8.2400000000000001E-2</v>
      </c>
      <c r="P11">
        <v>0.17199999999999999</v>
      </c>
      <c r="Q11">
        <v>0.05</v>
      </c>
      <c r="R11" t="s">
        <v>107</v>
      </c>
    </row>
    <row r="12" spans="1:18" x14ac:dyDescent="0.4">
      <c r="A12">
        <v>6</v>
      </c>
      <c r="B12" t="s">
        <v>108</v>
      </c>
      <c r="C12" t="s">
        <v>104</v>
      </c>
      <c r="D12">
        <v>-63.5</v>
      </c>
      <c r="E12">
        <v>37.5</v>
      </c>
      <c r="F12">
        <v>0</v>
      </c>
      <c r="G12">
        <v>-63.451000000000001</v>
      </c>
      <c r="H12">
        <v>37.516199999999998</v>
      </c>
      <c r="I12">
        <v>6.8099999999999994E-2</v>
      </c>
      <c r="J12">
        <v>4.9000000000000002E-2</v>
      </c>
      <c r="K12">
        <v>1.6199999999999999E-2</v>
      </c>
      <c r="L12">
        <v>6.8099999999999994E-2</v>
      </c>
      <c r="P12">
        <v>0.1709</v>
      </c>
      <c r="Q12">
        <v>0.05</v>
      </c>
      <c r="R12" t="s">
        <v>107</v>
      </c>
    </row>
    <row r="13" spans="1:18" x14ac:dyDescent="0.4">
      <c r="A13">
        <v>7</v>
      </c>
      <c r="B13" t="s">
        <v>109</v>
      </c>
      <c r="C13" t="s">
        <v>104</v>
      </c>
      <c r="D13">
        <v>-62.5</v>
      </c>
      <c r="E13">
        <v>-36.5</v>
      </c>
      <c r="F13">
        <v>0</v>
      </c>
      <c r="G13">
        <v>-62.478400000000001</v>
      </c>
      <c r="H13">
        <v>-36.462699999999998</v>
      </c>
      <c r="I13">
        <v>8.2600000000000007E-2</v>
      </c>
      <c r="J13">
        <v>2.1600000000000001E-2</v>
      </c>
      <c r="K13">
        <v>3.73E-2</v>
      </c>
      <c r="L13">
        <v>8.2600000000000007E-2</v>
      </c>
      <c r="P13">
        <v>0.18640000000000001</v>
      </c>
      <c r="Q13">
        <v>0.05</v>
      </c>
      <c r="R13" t="s">
        <v>107</v>
      </c>
    </row>
    <row r="14" spans="1:18" x14ac:dyDescent="0.4">
      <c r="A14">
        <v>8</v>
      </c>
      <c r="B14" t="s">
        <v>110</v>
      </c>
      <c r="C14" t="s">
        <v>104</v>
      </c>
      <c r="D14">
        <v>61.5</v>
      </c>
      <c r="E14">
        <v>-37.5</v>
      </c>
      <c r="F14">
        <v>0</v>
      </c>
      <c r="G14">
        <v>61.4422</v>
      </c>
      <c r="H14">
        <v>-37.464500000000001</v>
      </c>
      <c r="I14">
        <v>6.8599999999999994E-2</v>
      </c>
      <c r="J14">
        <v>-5.7799999999999997E-2</v>
      </c>
      <c r="K14">
        <v>3.5499999999999997E-2</v>
      </c>
      <c r="L14">
        <v>6.8599999999999994E-2</v>
      </c>
      <c r="P14">
        <v>0.19289999999999999</v>
      </c>
      <c r="Q14">
        <v>0.05</v>
      </c>
      <c r="R14" t="s">
        <v>107</v>
      </c>
    </row>
    <row r="15" spans="1:18" x14ac:dyDescent="0.4">
      <c r="A15">
        <v>9</v>
      </c>
      <c r="B15" t="s">
        <v>0</v>
      </c>
      <c r="C15" t="s">
        <v>111</v>
      </c>
      <c r="D15">
        <v>25.4</v>
      </c>
      <c r="G15">
        <v>25.398099999999999</v>
      </c>
      <c r="J15">
        <v>-1.9E-3</v>
      </c>
      <c r="M15">
        <v>25.5</v>
      </c>
      <c r="N15">
        <v>25.3</v>
      </c>
      <c r="O15" t="s">
        <v>105</v>
      </c>
      <c r="P15">
        <v>5.1999999999999998E-3</v>
      </c>
      <c r="Q15">
        <v>0.05</v>
      </c>
      <c r="R15" t="s">
        <v>105</v>
      </c>
    </row>
    <row r="16" spans="1:18" x14ac:dyDescent="0.4">
      <c r="A16">
        <v>10</v>
      </c>
      <c r="B16" t="s">
        <v>1</v>
      </c>
      <c r="C16" t="s">
        <v>111</v>
      </c>
      <c r="D16">
        <v>25.4</v>
      </c>
      <c r="G16">
        <v>25.4026</v>
      </c>
      <c r="J16">
        <v>2.5999999999999999E-3</v>
      </c>
      <c r="M16">
        <v>25.5</v>
      </c>
      <c r="N16">
        <v>25.3</v>
      </c>
      <c r="O16" t="s">
        <v>105</v>
      </c>
      <c r="P16">
        <v>7.0000000000000001E-3</v>
      </c>
      <c r="Q16">
        <v>0.05</v>
      </c>
      <c r="R16" t="s">
        <v>105</v>
      </c>
    </row>
    <row r="17" spans="1:18" x14ac:dyDescent="0.4">
      <c r="A17">
        <v>11</v>
      </c>
      <c r="B17" t="s">
        <v>2</v>
      </c>
      <c r="C17" t="s">
        <v>111</v>
      </c>
      <c r="D17">
        <v>25.4</v>
      </c>
      <c r="G17">
        <v>25.403500000000001</v>
      </c>
      <c r="J17">
        <v>3.5000000000000001E-3</v>
      </c>
      <c r="M17">
        <v>25.5</v>
      </c>
      <c r="N17">
        <v>25.3</v>
      </c>
      <c r="O17" t="s">
        <v>105</v>
      </c>
      <c r="P17">
        <v>6.4999999999999997E-3</v>
      </c>
      <c r="Q17">
        <v>0.05</v>
      </c>
      <c r="R17" t="s">
        <v>105</v>
      </c>
    </row>
    <row r="18" spans="1:18" x14ac:dyDescent="0.4">
      <c r="A18">
        <v>12</v>
      </c>
      <c r="B18" t="s">
        <v>3</v>
      </c>
      <c r="C18" t="s">
        <v>111</v>
      </c>
      <c r="D18">
        <v>25.4</v>
      </c>
      <c r="G18">
        <v>25.405100000000001</v>
      </c>
      <c r="J18">
        <v>5.1000000000000004E-3</v>
      </c>
      <c r="M18">
        <v>25.5</v>
      </c>
      <c r="N18">
        <v>25.3</v>
      </c>
      <c r="O18" t="s">
        <v>105</v>
      </c>
      <c r="P18">
        <v>5.4000000000000003E-3</v>
      </c>
      <c r="Q18">
        <v>0.05</v>
      </c>
      <c r="R18" t="s">
        <v>105</v>
      </c>
    </row>
    <row r="19" spans="1:18" x14ac:dyDescent="0.4">
      <c r="A19">
        <v>13</v>
      </c>
      <c r="B19" t="s">
        <v>4</v>
      </c>
      <c r="C19" t="s">
        <v>111</v>
      </c>
      <c r="D19">
        <v>25.4</v>
      </c>
      <c r="G19">
        <v>25.402799999999999</v>
      </c>
      <c r="J19">
        <v>2.8E-3</v>
      </c>
      <c r="M19">
        <v>25.5</v>
      </c>
      <c r="N19">
        <v>25.3</v>
      </c>
      <c r="O19" t="s">
        <v>105</v>
      </c>
      <c r="P19">
        <v>1.06E-2</v>
      </c>
      <c r="Q19">
        <v>0.05</v>
      </c>
      <c r="R19" t="s">
        <v>105</v>
      </c>
    </row>
    <row r="20" spans="1:18" x14ac:dyDescent="0.4">
      <c r="A20">
        <v>14</v>
      </c>
      <c r="B20" t="s">
        <v>5</v>
      </c>
      <c r="C20" t="s">
        <v>112</v>
      </c>
      <c r="D20">
        <v>72.887</v>
      </c>
      <c r="G20">
        <v>72.879499999999993</v>
      </c>
      <c r="J20">
        <v>-7.4999999999999997E-3</v>
      </c>
      <c r="M20">
        <v>72.986999999999995</v>
      </c>
      <c r="N20">
        <v>72.787000000000006</v>
      </c>
      <c r="O20" t="s">
        <v>105</v>
      </c>
    </row>
    <row r="21" spans="1:18" x14ac:dyDescent="0.4">
      <c r="A21">
        <v>15</v>
      </c>
      <c r="B21" t="s">
        <v>6</v>
      </c>
      <c r="C21" t="s">
        <v>112</v>
      </c>
      <c r="D21">
        <v>73.745999999999995</v>
      </c>
      <c r="G21">
        <v>73.712299999999999</v>
      </c>
      <c r="J21">
        <v>-3.3700000000000001E-2</v>
      </c>
      <c r="M21">
        <v>73.846000000000004</v>
      </c>
      <c r="N21">
        <v>73.646000000000001</v>
      </c>
      <c r="O21" t="s">
        <v>105</v>
      </c>
    </row>
    <row r="22" spans="1:18" x14ac:dyDescent="0.4">
      <c r="A22">
        <v>16</v>
      </c>
      <c r="B22" t="s">
        <v>7</v>
      </c>
      <c r="C22" t="s">
        <v>112</v>
      </c>
      <c r="D22">
        <v>72.376999999999995</v>
      </c>
      <c r="G22">
        <v>72.340100000000007</v>
      </c>
      <c r="J22">
        <v>-3.6900000000000002E-2</v>
      </c>
      <c r="M22">
        <v>72.477000000000004</v>
      </c>
      <c r="N22">
        <v>72.277000000000001</v>
      </c>
      <c r="O22" t="s">
        <v>105</v>
      </c>
    </row>
    <row r="23" spans="1:18" x14ac:dyDescent="0.4">
      <c r="A23">
        <v>17</v>
      </c>
      <c r="B23" t="s">
        <v>8</v>
      </c>
      <c r="C23" t="s">
        <v>112</v>
      </c>
      <c r="D23">
        <v>72.031000000000006</v>
      </c>
      <c r="G23">
        <v>71.963499999999996</v>
      </c>
      <c r="J23">
        <v>-6.7500000000000004E-2</v>
      </c>
      <c r="M23">
        <v>72.131</v>
      </c>
      <c r="N23">
        <v>71.930999999999997</v>
      </c>
      <c r="O23" t="s">
        <v>105</v>
      </c>
    </row>
    <row r="24" spans="1:18" x14ac:dyDescent="0.4">
      <c r="A24">
        <v>18</v>
      </c>
      <c r="B24" t="s">
        <v>9</v>
      </c>
      <c r="C24" t="s">
        <v>112</v>
      </c>
      <c r="D24">
        <v>75.007000000000005</v>
      </c>
      <c r="G24">
        <v>74.987899999999996</v>
      </c>
      <c r="J24">
        <v>-1.9099999999999999E-2</v>
      </c>
      <c r="M24">
        <v>75.106999999999999</v>
      </c>
      <c r="N24">
        <v>74.906999999999996</v>
      </c>
      <c r="O24" t="s">
        <v>105</v>
      </c>
    </row>
    <row r="25" spans="1:18" x14ac:dyDescent="0.4">
      <c r="A25">
        <v>19</v>
      </c>
      <c r="B25" t="s">
        <v>10</v>
      </c>
      <c r="C25" t="s">
        <v>112</v>
      </c>
      <c r="D25">
        <v>74.007000000000005</v>
      </c>
      <c r="G25">
        <v>73.985299999999995</v>
      </c>
      <c r="J25">
        <v>-2.1700000000000001E-2</v>
      </c>
      <c r="M25">
        <v>74.106999999999999</v>
      </c>
      <c r="N25">
        <v>73.906999999999996</v>
      </c>
      <c r="O25" t="s">
        <v>105</v>
      </c>
    </row>
    <row r="26" spans="1:18" x14ac:dyDescent="0.4">
      <c r="A26">
        <v>20</v>
      </c>
      <c r="B26" t="s">
        <v>11</v>
      </c>
      <c r="C26" t="s">
        <v>112</v>
      </c>
      <c r="D26">
        <v>126</v>
      </c>
      <c r="G26">
        <v>125.93259999999999</v>
      </c>
      <c r="J26">
        <v>-6.7400000000000002E-2</v>
      </c>
      <c r="M26">
        <v>126.1</v>
      </c>
      <c r="N26">
        <v>125.9</v>
      </c>
      <c r="O26" t="s">
        <v>105</v>
      </c>
    </row>
    <row r="27" spans="1:18" x14ac:dyDescent="0.4">
      <c r="A27">
        <v>21</v>
      </c>
      <c r="B27" t="s">
        <v>12</v>
      </c>
      <c r="C27" t="s">
        <v>112</v>
      </c>
      <c r="D27">
        <v>124.004</v>
      </c>
      <c r="G27">
        <v>123.9247</v>
      </c>
      <c r="J27">
        <v>-7.9299999999999995E-2</v>
      </c>
      <c r="M27">
        <v>124.104</v>
      </c>
      <c r="N27">
        <v>123.904</v>
      </c>
      <c r="O27" t="s">
        <v>105</v>
      </c>
    </row>
    <row r="28" spans="1:18" x14ac:dyDescent="0.4">
      <c r="A28">
        <v>22</v>
      </c>
      <c r="B28" t="s">
        <v>13</v>
      </c>
      <c r="C28" t="s">
        <v>112</v>
      </c>
      <c r="D28">
        <v>145.262</v>
      </c>
      <c r="G28">
        <v>145.2167</v>
      </c>
      <c r="J28">
        <v>-4.53E-2</v>
      </c>
      <c r="M28">
        <v>145.36199999999999</v>
      </c>
      <c r="N28">
        <v>145.16200000000001</v>
      </c>
      <c r="O28" t="s">
        <v>105</v>
      </c>
    </row>
    <row r="29" spans="1:18" x14ac:dyDescent="0.4">
      <c r="A29">
        <v>23</v>
      </c>
      <c r="B29" t="s">
        <v>14</v>
      </c>
      <c r="C29" t="s">
        <v>112</v>
      </c>
      <c r="D29">
        <v>145.774</v>
      </c>
      <c r="G29">
        <v>145.67230000000001</v>
      </c>
      <c r="J29">
        <v>-0.1017</v>
      </c>
      <c r="M29">
        <v>145.874</v>
      </c>
      <c r="N29">
        <v>145.67400000000001</v>
      </c>
      <c r="O29" t="s">
        <v>107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1D93B-8413-4FA6-9B54-2A8657A4818C}">
  <dimension ref="A1:R29"/>
  <sheetViews>
    <sheetView workbookViewId="0"/>
  </sheetViews>
  <sheetFormatPr defaultRowHeight="14.6" x14ac:dyDescent="0.4"/>
  <cols>
    <col min="1" max="1" width="24.23046875" bestFit="1" customWidth="1"/>
    <col min="2" max="2" width="13.921875" bestFit="1" customWidth="1"/>
    <col min="3" max="3" width="17.53515625" bestFit="1" customWidth="1"/>
    <col min="4" max="4" width="7.84375" bestFit="1" customWidth="1"/>
    <col min="5" max="5" width="5.4609375" bestFit="1" customWidth="1"/>
    <col min="6" max="6" width="1.84375" bestFit="1" customWidth="1"/>
    <col min="7" max="7" width="8.84375" bestFit="1" customWidth="1"/>
    <col min="8" max="8" width="8.4609375" bestFit="1" customWidth="1"/>
    <col min="9" max="9" width="6.84375" bestFit="1" customWidth="1"/>
    <col min="10" max="10" width="7.4609375" bestFit="1" customWidth="1"/>
    <col min="11" max="12" width="6.84375" bestFit="1" customWidth="1"/>
    <col min="13" max="14" width="7.84375" bestFit="1" customWidth="1"/>
    <col min="15" max="15" width="4.84375" bestFit="1" customWidth="1"/>
    <col min="16" max="16" width="6.84375" bestFit="1" customWidth="1"/>
    <col min="17" max="18" width="4.84375" bestFit="1" customWidth="1"/>
  </cols>
  <sheetData>
    <row r="1" spans="1:18" x14ac:dyDescent="0.4">
      <c r="A1" t="s">
        <v>91</v>
      </c>
      <c r="B1" t="s">
        <v>131</v>
      </c>
    </row>
    <row r="2" spans="1:18" x14ac:dyDescent="0.4">
      <c r="A2" t="s">
        <v>93</v>
      </c>
      <c r="B2" t="s">
        <v>94</v>
      </c>
    </row>
    <row r="3" spans="1:18" x14ac:dyDescent="0.4">
      <c r="A3" t="s">
        <v>95</v>
      </c>
      <c r="B3" t="s">
        <v>133</v>
      </c>
    </row>
    <row r="4" spans="1:18" x14ac:dyDescent="0.4">
      <c r="A4" t="s">
        <v>97</v>
      </c>
      <c r="B4" t="s">
        <v>98</v>
      </c>
    </row>
    <row r="5" spans="1:18" x14ac:dyDescent="0.4">
      <c r="A5" t="s">
        <v>99</v>
      </c>
    </row>
    <row r="6" spans="1:18" x14ac:dyDescent="0.4">
      <c r="A6" t="s">
        <v>100</v>
      </c>
    </row>
    <row r="7" spans="1:18" x14ac:dyDescent="0.4">
      <c r="A7" t="s">
        <v>101</v>
      </c>
    </row>
    <row r="8" spans="1:18" x14ac:dyDescent="0.4">
      <c r="A8" t="s">
        <v>93</v>
      </c>
    </row>
    <row r="9" spans="1:18" x14ac:dyDescent="0.4">
      <c r="A9" t="s">
        <v>102</v>
      </c>
    </row>
    <row r="10" spans="1:18" x14ac:dyDescent="0.4">
      <c r="A10">
        <v>4</v>
      </c>
      <c r="B10" t="s">
        <v>103</v>
      </c>
      <c r="C10" t="s">
        <v>104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105</v>
      </c>
    </row>
    <row r="11" spans="1:18" x14ac:dyDescent="0.4">
      <c r="A11">
        <v>5</v>
      </c>
      <c r="B11" t="s">
        <v>106</v>
      </c>
      <c r="C11" t="s">
        <v>104</v>
      </c>
      <c r="D11">
        <v>62.5</v>
      </c>
      <c r="E11">
        <v>37.5</v>
      </c>
      <c r="F11">
        <v>0</v>
      </c>
      <c r="G11">
        <v>62.482100000000003</v>
      </c>
      <c r="H11">
        <v>37.516199999999998</v>
      </c>
      <c r="I11">
        <v>8.3099999999999993E-2</v>
      </c>
      <c r="J11">
        <v>-1.7899999999999999E-2</v>
      </c>
      <c r="K11">
        <v>1.6199999999999999E-2</v>
      </c>
      <c r="L11">
        <v>8.3099999999999993E-2</v>
      </c>
      <c r="P11">
        <v>0.1731</v>
      </c>
      <c r="Q11">
        <v>0.05</v>
      </c>
      <c r="R11" t="s">
        <v>107</v>
      </c>
    </row>
    <row r="12" spans="1:18" x14ac:dyDescent="0.4">
      <c r="A12">
        <v>6</v>
      </c>
      <c r="B12" t="s">
        <v>108</v>
      </c>
      <c r="C12" t="s">
        <v>104</v>
      </c>
      <c r="D12">
        <v>-63.5</v>
      </c>
      <c r="E12">
        <v>37.5</v>
      </c>
      <c r="F12">
        <v>0</v>
      </c>
      <c r="G12">
        <v>-63.451300000000003</v>
      </c>
      <c r="H12">
        <v>37.516199999999998</v>
      </c>
      <c r="I12">
        <v>6.9199999999999998E-2</v>
      </c>
      <c r="J12">
        <v>4.87E-2</v>
      </c>
      <c r="K12">
        <v>1.6199999999999999E-2</v>
      </c>
      <c r="L12">
        <v>6.9199999999999998E-2</v>
      </c>
      <c r="P12">
        <v>0.17230000000000001</v>
      </c>
      <c r="Q12">
        <v>0.05</v>
      </c>
      <c r="R12" t="s">
        <v>107</v>
      </c>
    </row>
    <row r="13" spans="1:18" x14ac:dyDescent="0.4">
      <c r="A13">
        <v>7</v>
      </c>
      <c r="B13" t="s">
        <v>109</v>
      </c>
      <c r="C13" t="s">
        <v>104</v>
      </c>
      <c r="D13">
        <v>-62.5</v>
      </c>
      <c r="E13">
        <v>-36.5</v>
      </c>
      <c r="F13">
        <v>0</v>
      </c>
      <c r="G13">
        <v>-62.478400000000001</v>
      </c>
      <c r="H13">
        <v>-36.461399999999998</v>
      </c>
      <c r="I13">
        <v>8.3299999999999999E-2</v>
      </c>
      <c r="J13">
        <v>2.1600000000000001E-2</v>
      </c>
      <c r="K13">
        <v>3.8600000000000002E-2</v>
      </c>
      <c r="L13">
        <v>8.3299999999999999E-2</v>
      </c>
      <c r="P13">
        <v>0.18870000000000001</v>
      </c>
      <c r="Q13">
        <v>0.05</v>
      </c>
      <c r="R13" t="s">
        <v>107</v>
      </c>
    </row>
    <row r="14" spans="1:18" x14ac:dyDescent="0.4">
      <c r="A14">
        <v>8</v>
      </c>
      <c r="B14" t="s">
        <v>110</v>
      </c>
      <c r="C14" t="s">
        <v>104</v>
      </c>
      <c r="D14">
        <v>61.5</v>
      </c>
      <c r="E14">
        <v>-37.5</v>
      </c>
      <c r="F14">
        <v>0</v>
      </c>
      <c r="G14">
        <v>61.4437</v>
      </c>
      <c r="H14">
        <v>-37.4651</v>
      </c>
      <c r="I14">
        <v>6.9699999999999998E-2</v>
      </c>
      <c r="J14">
        <v>-5.6300000000000003E-2</v>
      </c>
      <c r="K14">
        <v>3.49E-2</v>
      </c>
      <c r="L14">
        <v>6.9699999999999998E-2</v>
      </c>
      <c r="P14">
        <v>0.1923</v>
      </c>
      <c r="Q14">
        <v>0.05</v>
      </c>
      <c r="R14" t="s">
        <v>107</v>
      </c>
    </row>
    <row r="15" spans="1:18" x14ac:dyDescent="0.4">
      <c r="A15">
        <v>9</v>
      </c>
      <c r="B15" t="s">
        <v>0</v>
      </c>
      <c r="C15" t="s">
        <v>111</v>
      </c>
      <c r="D15">
        <v>25.4</v>
      </c>
      <c r="G15">
        <v>25.399699999999999</v>
      </c>
      <c r="J15">
        <v>-2.9999999999999997E-4</v>
      </c>
      <c r="M15">
        <v>25.5</v>
      </c>
      <c r="N15">
        <v>25.3</v>
      </c>
      <c r="O15" t="s">
        <v>105</v>
      </c>
      <c r="P15">
        <v>6.4000000000000003E-3</v>
      </c>
      <c r="Q15">
        <v>0.05</v>
      </c>
      <c r="R15" t="s">
        <v>105</v>
      </c>
    </row>
    <row r="16" spans="1:18" x14ac:dyDescent="0.4">
      <c r="A16">
        <v>10</v>
      </c>
      <c r="B16" t="s">
        <v>1</v>
      </c>
      <c r="C16" t="s">
        <v>111</v>
      </c>
      <c r="D16">
        <v>25.4</v>
      </c>
      <c r="G16">
        <v>25.402799999999999</v>
      </c>
      <c r="J16">
        <v>2.8E-3</v>
      </c>
      <c r="M16">
        <v>25.5</v>
      </c>
      <c r="N16">
        <v>25.3</v>
      </c>
      <c r="O16" t="s">
        <v>105</v>
      </c>
      <c r="P16">
        <v>6.8999999999999999E-3</v>
      </c>
      <c r="Q16">
        <v>0.05</v>
      </c>
      <c r="R16" t="s">
        <v>105</v>
      </c>
    </row>
    <row r="17" spans="1:18" x14ac:dyDescent="0.4">
      <c r="A17">
        <v>11</v>
      </c>
      <c r="B17" t="s">
        <v>2</v>
      </c>
      <c r="C17" t="s">
        <v>111</v>
      </c>
      <c r="D17">
        <v>25.4</v>
      </c>
      <c r="G17">
        <v>25.402699999999999</v>
      </c>
      <c r="J17">
        <v>2.7000000000000001E-3</v>
      </c>
      <c r="M17">
        <v>25.5</v>
      </c>
      <c r="N17">
        <v>25.3</v>
      </c>
      <c r="O17" t="s">
        <v>105</v>
      </c>
      <c r="P17">
        <v>5.5999999999999999E-3</v>
      </c>
      <c r="Q17">
        <v>0.05</v>
      </c>
      <c r="R17" t="s">
        <v>105</v>
      </c>
    </row>
    <row r="18" spans="1:18" x14ac:dyDescent="0.4">
      <c r="A18">
        <v>12</v>
      </c>
      <c r="B18" t="s">
        <v>3</v>
      </c>
      <c r="C18" t="s">
        <v>111</v>
      </c>
      <c r="D18">
        <v>25.4</v>
      </c>
      <c r="G18">
        <v>25.405200000000001</v>
      </c>
      <c r="J18">
        <v>5.1999999999999998E-3</v>
      </c>
      <c r="M18">
        <v>25.5</v>
      </c>
      <c r="N18">
        <v>25.3</v>
      </c>
      <c r="O18" t="s">
        <v>105</v>
      </c>
      <c r="P18">
        <v>6.4000000000000003E-3</v>
      </c>
      <c r="Q18">
        <v>0.05</v>
      </c>
      <c r="R18" t="s">
        <v>105</v>
      </c>
    </row>
    <row r="19" spans="1:18" x14ac:dyDescent="0.4">
      <c r="A19">
        <v>13</v>
      </c>
      <c r="B19" t="s">
        <v>4</v>
      </c>
      <c r="C19" t="s">
        <v>111</v>
      </c>
      <c r="D19">
        <v>25.4</v>
      </c>
      <c r="G19">
        <v>25.403099999999998</v>
      </c>
      <c r="J19">
        <v>3.0999999999999999E-3</v>
      </c>
      <c r="M19">
        <v>25.5</v>
      </c>
      <c r="N19">
        <v>25.3</v>
      </c>
      <c r="O19" t="s">
        <v>105</v>
      </c>
      <c r="P19">
        <v>7.7999999999999996E-3</v>
      </c>
      <c r="Q19">
        <v>0.05</v>
      </c>
      <c r="R19" t="s">
        <v>105</v>
      </c>
    </row>
    <row r="20" spans="1:18" x14ac:dyDescent="0.4">
      <c r="A20">
        <v>14</v>
      </c>
      <c r="B20" t="s">
        <v>5</v>
      </c>
      <c r="C20" t="s">
        <v>112</v>
      </c>
      <c r="D20">
        <v>72.887</v>
      </c>
      <c r="G20">
        <v>72.879900000000006</v>
      </c>
      <c r="J20">
        <v>-7.1000000000000004E-3</v>
      </c>
      <c r="M20">
        <v>72.986999999999995</v>
      </c>
      <c r="N20">
        <v>72.787000000000006</v>
      </c>
      <c r="O20" t="s">
        <v>105</v>
      </c>
    </row>
    <row r="21" spans="1:18" x14ac:dyDescent="0.4">
      <c r="A21">
        <v>15</v>
      </c>
      <c r="B21" t="s">
        <v>6</v>
      </c>
      <c r="C21" t="s">
        <v>112</v>
      </c>
      <c r="D21">
        <v>73.745999999999995</v>
      </c>
      <c r="G21">
        <v>73.712500000000006</v>
      </c>
      <c r="J21">
        <v>-3.3500000000000002E-2</v>
      </c>
      <c r="M21">
        <v>73.846000000000004</v>
      </c>
      <c r="N21">
        <v>73.646000000000001</v>
      </c>
      <c r="O21" t="s">
        <v>105</v>
      </c>
    </row>
    <row r="22" spans="1:18" x14ac:dyDescent="0.4">
      <c r="A22">
        <v>16</v>
      </c>
      <c r="B22" t="s">
        <v>7</v>
      </c>
      <c r="C22" t="s">
        <v>112</v>
      </c>
      <c r="D22">
        <v>72.376999999999995</v>
      </c>
      <c r="G22">
        <v>72.339399999999998</v>
      </c>
      <c r="J22">
        <v>-3.7600000000000001E-2</v>
      </c>
      <c r="M22">
        <v>72.477000000000004</v>
      </c>
      <c r="N22">
        <v>72.277000000000001</v>
      </c>
      <c r="O22" t="s">
        <v>105</v>
      </c>
    </row>
    <row r="23" spans="1:18" x14ac:dyDescent="0.4">
      <c r="A23">
        <v>17</v>
      </c>
      <c r="B23" t="s">
        <v>8</v>
      </c>
      <c r="C23" t="s">
        <v>112</v>
      </c>
      <c r="D23">
        <v>72.031000000000006</v>
      </c>
      <c r="G23">
        <v>71.965000000000003</v>
      </c>
      <c r="J23">
        <v>-6.6000000000000003E-2</v>
      </c>
      <c r="M23">
        <v>72.131</v>
      </c>
      <c r="N23">
        <v>71.930999999999997</v>
      </c>
      <c r="O23" t="s">
        <v>105</v>
      </c>
    </row>
    <row r="24" spans="1:18" x14ac:dyDescent="0.4">
      <c r="A24">
        <v>18</v>
      </c>
      <c r="B24" t="s">
        <v>9</v>
      </c>
      <c r="C24" t="s">
        <v>112</v>
      </c>
      <c r="D24">
        <v>75.007000000000005</v>
      </c>
      <c r="G24">
        <v>74.988500000000002</v>
      </c>
      <c r="J24">
        <v>-1.8499999999999999E-2</v>
      </c>
      <c r="M24">
        <v>75.106999999999999</v>
      </c>
      <c r="N24">
        <v>74.906999999999996</v>
      </c>
      <c r="O24" t="s">
        <v>105</v>
      </c>
    </row>
    <row r="25" spans="1:18" x14ac:dyDescent="0.4">
      <c r="A25">
        <v>19</v>
      </c>
      <c r="B25" t="s">
        <v>10</v>
      </c>
      <c r="C25" t="s">
        <v>112</v>
      </c>
      <c r="D25">
        <v>74.007000000000005</v>
      </c>
      <c r="G25">
        <v>73.983900000000006</v>
      </c>
      <c r="J25">
        <v>-2.3099999999999999E-2</v>
      </c>
      <c r="M25">
        <v>74.106999999999999</v>
      </c>
      <c r="N25">
        <v>73.906999999999996</v>
      </c>
      <c r="O25" t="s">
        <v>105</v>
      </c>
    </row>
    <row r="26" spans="1:18" x14ac:dyDescent="0.4">
      <c r="A26">
        <v>20</v>
      </c>
      <c r="B26" t="s">
        <v>11</v>
      </c>
      <c r="C26" t="s">
        <v>112</v>
      </c>
      <c r="D26">
        <v>126</v>
      </c>
      <c r="G26">
        <v>125.93340000000001</v>
      </c>
      <c r="J26">
        <v>-6.6600000000000006E-2</v>
      </c>
      <c r="M26">
        <v>126.1</v>
      </c>
      <c r="N26">
        <v>125.9</v>
      </c>
      <c r="O26" t="s">
        <v>105</v>
      </c>
    </row>
    <row r="27" spans="1:18" x14ac:dyDescent="0.4">
      <c r="A27">
        <v>21</v>
      </c>
      <c r="B27" t="s">
        <v>12</v>
      </c>
      <c r="C27" t="s">
        <v>112</v>
      </c>
      <c r="D27">
        <v>124.004</v>
      </c>
      <c r="G27">
        <v>123.92610000000001</v>
      </c>
      <c r="J27">
        <v>-7.7899999999999997E-2</v>
      </c>
      <c r="M27">
        <v>124.104</v>
      </c>
      <c r="N27">
        <v>123.904</v>
      </c>
      <c r="O27" t="s">
        <v>105</v>
      </c>
    </row>
    <row r="28" spans="1:18" x14ac:dyDescent="0.4">
      <c r="A28">
        <v>22</v>
      </c>
      <c r="B28" t="s">
        <v>13</v>
      </c>
      <c r="C28" t="s">
        <v>112</v>
      </c>
      <c r="D28">
        <v>145.262</v>
      </c>
      <c r="G28">
        <v>145.21639999999999</v>
      </c>
      <c r="J28">
        <v>-4.5600000000000002E-2</v>
      </c>
      <c r="M28">
        <v>145.36199999999999</v>
      </c>
      <c r="N28">
        <v>145.16200000000001</v>
      </c>
      <c r="O28" t="s">
        <v>105</v>
      </c>
    </row>
    <row r="29" spans="1:18" x14ac:dyDescent="0.4">
      <c r="A29">
        <v>23</v>
      </c>
      <c r="B29" t="s">
        <v>14</v>
      </c>
      <c r="C29" t="s">
        <v>112</v>
      </c>
      <c r="D29">
        <v>145.774</v>
      </c>
      <c r="G29">
        <v>145.67410000000001</v>
      </c>
      <c r="J29">
        <v>-9.9900000000000003E-2</v>
      </c>
      <c r="M29">
        <v>145.874</v>
      </c>
      <c r="N29">
        <v>145.67400000000001</v>
      </c>
      <c r="O29" t="s">
        <v>105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6B27A-CC14-49CD-AF53-C93FB9AD7B5B}">
  <dimension ref="A1:R29"/>
  <sheetViews>
    <sheetView workbookViewId="0"/>
  </sheetViews>
  <sheetFormatPr defaultRowHeight="14.6" x14ac:dyDescent="0.4"/>
  <cols>
    <col min="1" max="1" width="24.23046875" bestFit="1" customWidth="1"/>
    <col min="2" max="2" width="13.921875" bestFit="1" customWidth="1"/>
    <col min="3" max="3" width="17.53515625" bestFit="1" customWidth="1"/>
    <col min="4" max="4" width="7.84375" bestFit="1" customWidth="1"/>
    <col min="5" max="5" width="5.4609375" bestFit="1" customWidth="1"/>
    <col min="6" max="6" width="1.84375" bestFit="1" customWidth="1"/>
    <col min="7" max="7" width="8.84375" bestFit="1" customWidth="1"/>
    <col min="8" max="8" width="8.4609375" bestFit="1" customWidth="1"/>
    <col min="9" max="9" width="6.84375" bestFit="1" customWidth="1"/>
    <col min="10" max="10" width="7.4609375" bestFit="1" customWidth="1"/>
    <col min="11" max="12" width="6.84375" bestFit="1" customWidth="1"/>
    <col min="13" max="14" width="7.84375" bestFit="1" customWidth="1"/>
    <col min="15" max="15" width="4.84375" bestFit="1" customWidth="1"/>
    <col min="16" max="16" width="6.84375" bestFit="1" customWidth="1"/>
    <col min="17" max="18" width="4.84375" bestFit="1" customWidth="1"/>
  </cols>
  <sheetData>
    <row r="1" spans="1:18" x14ac:dyDescent="0.4">
      <c r="A1" t="s">
        <v>91</v>
      </c>
      <c r="B1" t="s">
        <v>131</v>
      </c>
    </row>
    <row r="2" spans="1:18" x14ac:dyDescent="0.4">
      <c r="A2" t="s">
        <v>93</v>
      </c>
      <c r="B2" t="s">
        <v>94</v>
      </c>
    </row>
    <row r="3" spans="1:18" x14ac:dyDescent="0.4">
      <c r="A3" t="s">
        <v>95</v>
      </c>
      <c r="B3" t="s">
        <v>134</v>
      </c>
    </row>
    <row r="4" spans="1:18" x14ac:dyDescent="0.4">
      <c r="A4" t="s">
        <v>97</v>
      </c>
      <c r="B4" t="s">
        <v>114</v>
      </c>
    </row>
    <row r="5" spans="1:18" x14ac:dyDescent="0.4">
      <c r="A5" t="s">
        <v>99</v>
      </c>
    </row>
    <row r="6" spans="1:18" x14ac:dyDescent="0.4">
      <c r="A6" t="s">
        <v>100</v>
      </c>
    </row>
    <row r="7" spans="1:18" x14ac:dyDescent="0.4">
      <c r="A7" t="s">
        <v>101</v>
      </c>
    </row>
    <row r="8" spans="1:18" x14ac:dyDescent="0.4">
      <c r="A8" t="s">
        <v>93</v>
      </c>
    </row>
    <row r="9" spans="1:18" x14ac:dyDescent="0.4">
      <c r="A9" t="s">
        <v>102</v>
      </c>
    </row>
    <row r="10" spans="1:18" x14ac:dyDescent="0.4">
      <c r="A10">
        <v>4</v>
      </c>
      <c r="B10" t="s">
        <v>103</v>
      </c>
      <c r="C10" t="s">
        <v>104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105</v>
      </c>
    </row>
    <row r="11" spans="1:18" x14ac:dyDescent="0.4">
      <c r="A11">
        <v>5</v>
      </c>
      <c r="B11" t="s">
        <v>106</v>
      </c>
      <c r="C11" t="s">
        <v>104</v>
      </c>
      <c r="D11">
        <v>62.5</v>
      </c>
      <c r="E11">
        <v>37.5</v>
      </c>
      <c r="F11">
        <v>0</v>
      </c>
      <c r="G11">
        <v>62.482100000000003</v>
      </c>
      <c r="H11">
        <v>37.515599999999999</v>
      </c>
      <c r="I11">
        <v>8.3000000000000004E-2</v>
      </c>
      <c r="J11">
        <v>-1.7899999999999999E-2</v>
      </c>
      <c r="K11">
        <v>1.5599999999999999E-2</v>
      </c>
      <c r="L11">
        <v>8.3000000000000004E-2</v>
      </c>
      <c r="P11">
        <v>0.17269999999999999</v>
      </c>
      <c r="Q11">
        <v>0.05</v>
      </c>
      <c r="R11" t="s">
        <v>107</v>
      </c>
    </row>
    <row r="12" spans="1:18" x14ac:dyDescent="0.4">
      <c r="A12">
        <v>6</v>
      </c>
      <c r="B12" t="s">
        <v>108</v>
      </c>
      <c r="C12" t="s">
        <v>104</v>
      </c>
      <c r="D12">
        <v>-63.5</v>
      </c>
      <c r="E12">
        <v>37.5</v>
      </c>
      <c r="F12">
        <v>0</v>
      </c>
      <c r="G12">
        <v>-63.451000000000001</v>
      </c>
      <c r="H12">
        <v>37.515599999999999</v>
      </c>
      <c r="I12">
        <v>6.8900000000000003E-2</v>
      </c>
      <c r="J12">
        <v>4.9000000000000002E-2</v>
      </c>
      <c r="K12">
        <v>1.5599999999999999E-2</v>
      </c>
      <c r="L12">
        <v>6.8900000000000003E-2</v>
      </c>
      <c r="P12">
        <v>0.17199999999999999</v>
      </c>
      <c r="Q12">
        <v>0.05</v>
      </c>
      <c r="R12" t="s">
        <v>107</v>
      </c>
    </row>
    <row r="13" spans="1:18" x14ac:dyDescent="0.4">
      <c r="A13">
        <v>7</v>
      </c>
      <c r="B13" t="s">
        <v>109</v>
      </c>
      <c r="C13" t="s">
        <v>104</v>
      </c>
      <c r="D13">
        <v>-62.5</v>
      </c>
      <c r="E13">
        <v>-36.5</v>
      </c>
      <c r="F13">
        <v>0</v>
      </c>
      <c r="G13">
        <v>-62.478299999999997</v>
      </c>
      <c r="H13">
        <v>-36.4621</v>
      </c>
      <c r="I13">
        <v>8.3199999999999996E-2</v>
      </c>
      <c r="J13">
        <v>2.1700000000000001E-2</v>
      </c>
      <c r="K13">
        <v>3.7900000000000003E-2</v>
      </c>
      <c r="L13">
        <v>8.3199999999999996E-2</v>
      </c>
      <c r="P13">
        <v>0.188</v>
      </c>
      <c r="Q13">
        <v>0.05</v>
      </c>
      <c r="R13" t="s">
        <v>107</v>
      </c>
    </row>
    <row r="14" spans="1:18" x14ac:dyDescent="0.4">
      <c r="A14">
        <v>8</v>
      </c>
      <c r="B14" t="s">
        <v>110</v>
      </c>
      <c r="C14" t="s">
        <v>104</v>
      </c>
      <c r="D14">
        <v>61.5</v>
      </c>
      <c r="E14">
        <v>-37.5</v>
      </c>
      <c r="F14">
        <v>0</v>
      </c>
      <c r="G14">
        <v>61.443100000000001</v>
      </c>
      <c r="H14">
        <v>-37.465400000000002</v>
      </c>
      <c r="I14">
        <v>6.9400000000000003E-2</v>
      </c>
      <c r="J14">
        <v>-5.6899999999999999E-2</v>
      </c>
      <c r="K14">
        <v>3.4599999999999999E-2</v>
      </c>
      <c r="L14">
        <v>6.9400000000000003E-2</v>
      </c>
      <c r="P14">
        <v>0.1923</v>
      </c>
      <c r="Q14">
        <v>0.05</v>
      </c>
      <c r="R14" t="s">
        <v>107</v>
      </c>
    </row>
    <row r="15" spans="1:18" x14ac:dyDescent="0.4">
      <c r="A15">
        <v>9</v>
      </c>
      <c r="B15" t="s">
        <v>0</v>
      </c>
      <c r="C15" t="s">
        <v>111</v>
      </c>
      <c r="D15">
        <v>25.4</v>
      </c>
      <c r="G15">
        <v>25.3994</v>
      </c>
      <c r="J15">
        <v>-5.9999999999999995E-4</v>
      </c>
      <c r="M15">
        <v>25.5</v>
      </c>
      <c r="N15">
        <v>25.3</v>
      </c>
      <c r="O15" t="s">
        <v>105</v>
      </c>
      <c r="P15">
        <v>5.8999999999999999E-3</v>
      </c>
      <c r="Q15">
        <v>0.05</v>
      </c>
      <c r="R15" t="s">
        <v>105</v>
      </c>
    </row>
    <row r="16" spans="1:18" x14ac:dyDescent="0.4">
      <c r="A16">
        <v>10</v>
      </c>
      <c r="B16" t="s">
        <v>1</v>
      </c>
      <c r="C16" t="s">
        <v>111</v>
      </c>
      <c r="D16">
        <v>25.4</v>
      </c>
      <c r="G16">
        <v>25.403300000000002</v>
      </c>
      <c r="J16">
        <v>3.3E-3</v>
      </c>
      <c r="M16">
        <v>25.5</v>
      </c>
      <c r="N16">
        <v>25.3</v>
      </c>
      <c r="O16" t="s">
        <v>105</v>
      </c>
      <c r="P16">
        <v>7.0000000000000001E-3</v>
      </c>
      <c r="Q16">
        <v>0.05</v>
      </c>
      <c r="R16" t="s">
        <v>105</v>
      </c>
    </row>
    <row r="17" spans="1:18" x14ac:dyDescent="0.4">
      <c r="A17">
        <v>11</v>
      </c>
      <c r="B17" t="s">
        <v>2</v>
      </c>
      <c r="C17" t="s">
        <v>111</v>
      </c>
      <c r="D17">
        <v>25.4</v>
      </c>
      <c r="G17">
        <v>25.403099999999998</v>
      </c>
      <c r="J17">
        <v>3.0999999999999999E-3</v>
      </c>
      <c r="M17">
        <v>25.5</v>
      </c>
      <c r="N17">
        <v>25.3</v>
      </c>
      <c r="O17" t="s">
        <v>105</v>
      </c>
      <c r="P17">
        <v>5.8999999999999999E-3</v>
      </c>
      <c r="Q17">
        <v>0.05</v>
      </c>
      <c r="R17" t="s">
        <v>105</v>
      </c>
    </row>
    <row r="18" spans="1:18" x14ac:dyDescent="0.4">
      <c r="A18">
        <v>12</v>
      </c>
      <c r="B18" t="s">
        <v>3</v>
      </c>
      <c r="C18" t="s">
        <v>111</v>
      </c>
      <c r="D18">
        <v>25.4</v>
      </c>
      <c r="G18">
        <v>25.404800000000002</v>
      </c>
      <c r="J18">
        <v>4.7999999999999996E-3</v>
      </c>
      <c r="M18">
        <v>25.5</v>
      </c>
      <c r="N18">
        <v>25.3</v>
      </c>
      <c r="O18" t="s">
        <v>105</v>
      </c>
      <c r="P18">
        <v>7.1000000000000004E-3</v>
      </c>
      <c r="Q18">
        <v>0.05</v>
      </c>
      <c r="R18" t="s">
        <v>105</v>
      </c>
    </row>
    <row r="19" spans="1:18" x14ac:dyDescent="0.4">
      <c r="A19">
        <v>13</v>
      </c>
      <c r="B19" t="s">
        <v>4</v>
      </c>
      <c r="C19" t="s">
        <v>111</v>
      </c>
      <c r="D19">
        <v>25.4</v>
      </c>
      <c r="G19">
        <v>25.4025</v>
      </c>
      <c r="J19">
        <v>2.5000000000000001E-3</v>
      </c>
      <c r="M19">
        <v>25.5</v>
      </c>
      <c r="N19">
        <v>25.3</v>
      </c>
      <c r="O19" t="s">
        <v>105</v>
      </c>
      <c r="P19">
        <v>4.0000000000000001E-3</v>
      </c>
      <c r="Q19">
        <v>0.05</v>
      </c>
      <c r="R19" t="s">
        <v>105</v>
      </c>
    </row>
    <row r="20" spans="1:18" x14ac:dyDescent="0.4">
      <c r="A20">
        <v>14</v>
      </c>
      <c r="B20" t="s">
        <v>5</v>
      </c>
      <c r="C20" t="s">
        <v>112</v>
      </c>
      <c r="D20">
        <v>72.887</v>
      </c>
      <c r="G20">
        <v>72.879599999999996</v>
      </c>
      <c r="J20">
        <v>-7.4000000000000003E-3</v>
      </c>
      <c r="M20">
        <v>72.986999999999995</v>
      </c>
      <c r="N20">
        <v>72.787000000000006</v>
      </c>
      <c r="O20" t="s">
        <v>105</v>
      </c>
    </row>
    <row r="21" spans="1:18" x14ac:dyDescent="0.4">
      <c r="A21">
        <v>15</v>
      </c>
      <c r="B21" t="s">
        <v>6</v>
      </c>
      <c r="C21" t="s">
        <v>112</v>
      </c>
      <c r="D21">
        <v>73.745999999999995</v>
      </c>
      <c r="G21">
        <v>73.712000000000003</v>
      </c>
      <c r="J21">
        <v>-3.4000000000000002E-2</v>
      </c>
      <c r="M21">
        <v>73.846000000000004</v>
      </c>
      <c r="N21">
        <v>73.646000000000001</v>
      </c>
      <c r="O21" t="s">
        <v>105</v>
      </c>
    </row>
    <row r="22" spans="1:18" x14ac:dyDescent="0.4">
      <c r="A22">
        <v>16</v>
      </c>
      <c r="B22" t="s">
        <v>7</v>
      </c>
      <c r="C22" t="s">
        <v>112</v>
      </c>
      <c r="D22">
        <v>72.376999999999995</v>
      </c>
      <c r="G22">
        <v>72.339699999999993</v>
      </c>
      <c r="J22">
        <v>-3.73E-2</v>
      </c>
      <c r="M22">
        <v>72.477000000000004</v>
      </c>
      <c r="N22">
        <v>72.277000000000001</v>
      </c>
      <c r="O22" t="s">
        <v>105</v>
      </c>
    </row>
    <row r="23" spans="1:18" x14ac:dyDescent="0.4">
      <c r="A23">
        <v>17</v>
      </c>
      <c r="B23" t="s">
        <v>8</v>
      </c>
      <c r="C23" t="s">
        <v>112</v>
      </c>
      <c r="D23">
        <v>72.031000000000006</v>
      </c>
      <c r="G23">
        <v>71.964699999999993</v>
      </c>
      <c r="J23">
        <v>-6.6299999999999998E-2</v>
      </c>
      <c r="M23">
        <v>72.131</v>
      </c>
      <c r="N23">
        <v>71.930999999999997</v>
      </c>
      <c r="O23" t="s">
        <v>105</v>
      </c>
    </row>
    <row r="24" spans="1:18" x14ac:dyDescent="0.4">
      <c r="A24">
        <v>18</v>
      </c>
      <c r="B24" t="s">
        <v>9</v>
      </c>
      <c r="C24" t="s">
        <v>112</v>
      </c>
      <c r="D24">
        <v>75.007000000000005</v>
      </c>
      <c r="G24">
        <v>74.988200000000006</v>
      </c>
      <c r="J24">
        <v>-1.8800000000000001E-2</v>
      </c>
      <c r="M24">
        <v>75.106999999999999</v>
      </c>
      <c r="N24">
        <v>74.906999999999996</v>
      </c>
      <c r="O24" t="s">
        <v>105</v>
      </c>
    </row>
    <row r="25" spans="1:18" x14ac:dyDescent="0.4">
      <c r="A25">
        <v>19</v>
      </c>
      <c r="B25" t="s">
        <v>10</v>
      </c>
      <c r="C25" t="s">
        <v>112</v>
      </c>
      <c r="D25">
        <v>74.007000000000005</v>
      </c>
      <c r="G25">
        <v>73.984099999999998</v>
      </c>
      <c r="J25">
        <v>-2.29E-2</v>
      </c>
      <c r="M25">
        <v>74.106999999999999</v>
      </c>
      <c r="N25">
        <v>73.906999999999996</v>
      </c>
      <c r="O25" t="s">
        <v>105</v>
      </c>
    </row>
    <row r="26" spans="1:18" x14ac:dyDescent="0.4">
      <c r="A26">
        <v>20</v>
      </c>
      <c r="B26" t="s">
        <v>11</v>
      </c>
      <c r="C26" t="s">
        <v>112</v>
      </c>
      <c r="D26">
        <v>126</v>
      </c>
      <c r="G26">
        <v>125.9332</v>
      </c>
      <c r="J26">
        <v>-6.6799999999999998E-2</v>
      </c>
      <c r="M26">
        <v>126.1</v>
      </c>
      <c r="N26">
        <v>125.9</v>
      </c>
      <c r="O26" t="s">
        <v>105</v>
      </c>
    </row>
    <row r="27" spans="1:18" x14ac:dyDescent="0.4">
      <c r="A27">
        <v>21</v>
      </c>
      <c r="B27" t="s">
        <v>12</v>
      </c>
      <c r="C27" t="s">
        <v>112</v>
      </c>
      <c r="D27">
        <v>124.004</v>
      </c>
      <c r="G27">
        <v>123.9254</v>
      </c>
      <c r="J27">
        <v>-7.8600000000000003E-2</v>
      </c>
      <c r="M27">
        <v>124.104</v>
      </c>
      <c r="N27">
        <v>123.904</v>
      </c>
      <c r="O27" t="s">
        <v>105</v>
      </c>
    </row>
    <row r="28" spans="1:18" x14ac:dyDescent="0.4">
      <c r="A28">
        <v>22</v>
      </c>
      <c r="B28" t="s">
        <v>13</v>
      </c>
      <c r="C28" t="s">
        <v>112</v>
      </c>
      <c r="D28">
        <v>145.262</v>
      </c>
      <c r="G28">
        <v>145.21639999999999</v>
      </c>
      <c r="J28">
        <v>-4.5600000000000002E-2</v>
      </c>
      <c r="M28">
        <v>145.36199999999999</v>
      </c>
      <c r="N28">
        <v>145.16200000000001</v>
      </c>
      <c r="O28" t="s">
        <v>105</v>
      </c>
    </row>
    <row r="29" spans="1:18" x14ac:dyDescent="0.4">
      <c r="A29">
        <v>23</v>
      </c>
      <c r="B29" t="s">
        <v>14</v>
      </c>
      <c r="C29" t="s">
        <v>112</v>
      </c>
      <c r="D29">
        <v>145.774</v>
      </c>
      <c r="G29">
        <v>145.67330000000001</v>
      </c>
      <c r="J29">
        <v>-0.1007</v>
      </c>
      <c r="M29">
        <v>145.874</v>
      </c>
      <c r="N29">
        <v>145.67400000000001</v>
      </c>
      <c r="O29" t="s">
        <v>107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691820-6D17-4768-9CB7-3C4BE920D2EE}">
  <dimension ref="A1:R29"/>
  <sheetViews>
    <sheetView workbookViewId="0"/>
  </sheetViews>
  <sheetFormatPr defaultRowHeight="14.6" x14ac:dyDescent="0.4"/>
  <cols>
    <col min="1" max="1" width="24.23046875" bestFit="1" customWidth="1"/>
    <col min="2" max="2" width="13.921875" bestFit="1" customWidth="1"/>
    <col min="3" max="3" width="17.53515625" bestFit="1" customWidth="1"/>
    <col min="4" max="4" width="7.84375" bestFit="1" customWidth="1"/>
    <col min="5" max="5" width="5.4609375" bestFit="1" customWidth="1"/>
    <col min="6" max="6" width="1.84375" bestFit="1" customWidth="1"/>
    <col min="7" max="7" width="8.84375" bestFit="1" customWidth="1"/>
    <col min="8" max="8" width="8.4609375" bestFit="1" customWidth="1"/>
    <col min="9" max="9" width="6.84375" bestFit="1" customWidth="1"/>
    <col min="10" max="10" width="7.4609375" bestFit="1" customWidth="1"/>
    <col min="11" max="12" width="6.84375" bestFit="1" customWidth="1"/>
    <col min="13" max="14" width="7.84375" bestFit="1" customWidth="1"/>
    <col min="15" max="15" width="4.84375" bestFit="1" customWidth="1"/>
    <col min="16" max="16" width="6.84375" bestFit="1" customWidth="1"/>
    <col min="17" max="18" width="4.84375" bestFit="1" customWidth="1"/>
  </cols>
  <sheetData>
    <row r="1" spans="1:18" x14ac:dyDescent="0.4">
      <c r="A1" t="s">
        <v>91</v>
      </c>
      <c r="B1" t="s">
        <v>131</v>
      </c>
    </row>
    <row r="2" spans="1:18" x14ac:dyDescent="0.4">
      <c r="A2" t="s">
        <v>93</v>
      </c>
      <c r="B2" t="s">
        <v>94</v>
      </c>
    </row>
    <row r="3" spans="1:18" x14ac:dyDescent="0.4">
      <c r="A3" t="s">
        <v>95</v>
      </c>
      <c r="B3" t="s">
        <v>135</v>
      </c>
    </row>
    <row r="4" spans="1:18" x14ac:dyDescent="0.4">
      <c r="A4" t="s">
        <v>97</v>
      </c>
      <c r="B4" t="s">
        <v>98</v>
      </c>
    </row>
    <row r="5" spans="1:18" x14ac:dyDescent="0.4">
      <c r="A5" t="s">
        <v>99</v>
      </c>
    </row>
    <row r="6" spans="1:18" x14ac:dyDescent="0.4">
      <c r="A6" t="s">
        <v>100</v>
      </c>
    </row>
    <row r="7" spans="1:18" x14ac:dyDescent="0.4">
      <c r="A7" t="s">
        <v>101</v>
      </c>
    </row>
    <row r="8" spans="1:18" x14ac:dyDescent="0.4">
      <c r="A8" t="s">
        <v>93</v>
      </c>
    </row>
    <row r="9" spans="1:18" x14ac:dyDescent="0.4">
      <c r="A9" t="s">
        <v>102</v>
      </c>
    </row>
    <row r="10" spans="1:18" x14ac:dyDescent="0.4">
      <c r="A10">
        <v>4</v>
      </c>
      <c r="B10" t="s">
        <v>103</v>
      </c>
      <c r="C10" t="s">
        <v>104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105</v>
      </c>
    </row>
    <row r="11" spans="1:18" x14ac:dyDescent="0.4">
      <c r="A11">
        <v>5</v>
      </c>
      <c r="B11" t="s">
        <v>106</v>
      </c>
      <c r="C11" t="s">
        <v>104</v>
      </c>
      <c r="D11">
        <v>62.5</v>
      </c>
      <c r="E11">
        <v>37.5</v>
      </c>
      <c r="F11">
        <v>0</v>
      </c>
      <c r="G11">
        <v>62.4818</v>
      </c>
      <c r="H11">
        <v>37.515900000000002</v>
      </c>
      <c r="I11">
        <v>8.2500000000000004E-2</v>
      </c>
      <c r="J11">
        <v>-1.8200000000000001E-2</v>
      </c>
      <c r="K11">
        <v>1.5900000000000001E-2</v>
      </c>
      <c r="L11">
        <v>8.2500000000000004E-2</v>
      </c>
      <c r="P11">
        <v>0.17199999999999999</v>
      </c>
      <c r="Q11">
        <v>0.05</v>
      </c>
      <c r="R11" t="s">
        <v>107</v>
      </c>
    </row>
    <row r="12" spans="1:18" x14ac:dyDescent="0.4">
      <c r="A12">
        <v>6</v>
      </c>
      <c r="B12" t="s">
        <v>108</v>
      </c>
      <c r="C12" t="s">
        <v>104</v>
      </c>
      <c r="D12">
        <v>-63.5</v>
      </c>
      <c r="E12">
        <v>37.5</v>
      </c>
      <c r="F12">
        <v>0</v>
      </c>
      <c r="G12">
        <v>-63.451099999999997</v>
      </c>
      <c r="H12">
        <v>37.515900000000002</v>
      </c>
      <c r="I12">
        <v>6.8699999999999997E-2</v>
      </c>
      <c r="J12">
        <v>4.8899999999999999E-2</v>
      </c>
      <c r="K12">
        <v>1.5900000000000001E-2</v>
      </c>
      <c r="L12">
        <v>6.8699999999999997E-2</v>
      </c>
      <c r="P12">
        <v>0.17169999999999999</v>
      </c>
      <c r="Q12">
        <v>0.05</v>
      </c>
      <c r="R12" t="s">
        <v>107</v>
      </c>
    </row>
    <row r="13" spans="1:18" x14ac:dyDescent="0.4">
      <c r="A13">
        <v>7</v>
      </c>
      <c r="B13" t="s">
        <v>109</v>
      </c>
      <c r="C13" t="s">
        <v>104</v>
      </c>
      <c r="D13">
        <v>-62.5</v>
      </c>
      <c r="E13">
        <v>-36.5</v>
      </c>
      <c r="F13">
        <v>0</v>
      </c>
      <c r="G13">
        <v>-62.478299999999997</v>
      </c>
      <c r="H13">
        <v>-36.4621</v>
      </c>
      <c r="I13">
        <v>8.2699999999999996E-2</v>
      </c>
      <c r="J13">
        <v>2.1700000000000001E-2</v>
      </c>
      <c r="K13">
        <v>3.7900000000000003E-2</v>
      </c>
      <c r="L13">
        <v>8.2699999999999996E-2</v>
      </c>
      <c r="P13">
        <v>0.187</v>
      </c>
      <c r="Q13">
        <v>0.05</v>
      </c>
      <c r="R13" t="s">
        <v>107</v>
      </c>
    </row>
    <row r="14" spans="1:18" x14ac:dyDescent="0.4">
      <c r="A14">
        <v>8</v>
      </c>
      <c r="B14" t="s">
        <v>110</v>
      </c>
      <c r="C14" t="s">
        <v>104</v>
      </c>
      <c r="D14">
        <v>61.5</v>
      </c>
      <c r="E14">
        <v>-37.5</v>
      </c>
      <c r="F14">
        <v>0</v>
      </c>
      <c r="G14">
        <v>61.442500000000003</v>
      </c>
      <c r="H14">
        <v>-37.464799999999997</v>
      </c>
      <c r="I14">
        <v>6.9199999999999998E-2</v>
      </c>
      <c r="J14">
        <v>-5.7500000000000002E-2</v>
      </c>
      <c r="K14">
        <v>3.5200000000000002E-2</v>
      </c>
      <c r="L14">
        <v>6.9199999999999998E-2</v>
      </c>
      <c r="P14">
        <v>0.19320000000000001</v>
      </c>
      <c r="Q14">
        <v>0.05</v>
      </c>
      <c r="R14" t="s">
        <v>107</v>
      </c>
    </row>
    <row r="15" spans="1:18" x14ac:dyDescent="0.4">
      <c r="A15">
        <v>9</v>
      </c>
      <c r="B15" t="s">
        <v>0</v>
      </c>
      <c r="C15" t="s">
        <v>111</v>
      </c>
      <c r="D15">
        <v>25.4</v>
      </c>
      <c r="G15">
        <v>25.398299999999999</v>
      </c>
      <c r="J15">
        <v>-1.6999999999999999E-3</v>
      </c>
      <c r="M15">
        <v>25.5</v>
      </c>
      <c r="N15">
        <v>25.3</v>
      </c>
      <c r="O15" t="s">
        <v>105</v>
      </c>
      <c r="P15">
        <v>5.1999999999999998E-3</v>
      </c>
      <c r="Q15">
        <v>0.05</v>
      </c>
      <c r="R15" t="s">
        <v>105</v>
      </c>
    </row>
    <row r="16" spans="1:18" x14ac:dyDescent="0.4">
      <c r="A16">
        <v>10</v>
      </c>
      <c r="B16" t="s">
        <v>1</v>
      </c>
      <c r="C16" t="s">
        <v>111</v>
      </c>
      <c r="D16">
        <v>25.4</v>
      </c>
      <c r="G16">
        <v>25.402100000000001</v>
      </c>
      <c r="J16">
        <v>2.0999999999999999E-3</v>
      </c>
      <c r="M16">
        <v>25.5</v>
      </c>
      <c r="N16">
        <v>25.3</v>
      </c>
      <c r="O16" t="s">
        <v>105</v>
      </c>
      <c r="P16">
        <v>6.3E-3</v>
      </c>
      <c r="Q16">
        <v>0.05</v>
      </c>
      <c r="R16" t="s">
        <v>105</v>
      </c>
    </row>
    <row r="17" spans="1:18" x14ac:dyDescent="0.4">
      <c r="A17">
        <v>11</v>
      </c>
      <c r="B17" t="s">
        <v>2</v>
      </c>
      <c r="C17" t="s">
        <v>111</v>
      </c>
      <c r="D17">
        <v>25.4</v>
      </c>
      <c r="G17">
        <v>25.403199999999998</v>
      </c>
      <c r="J17">
        <v>3.2000000000000002E-3</v>
      </c>
      <c r="M17">
        <v>25.5</v>
      </c>
      <c r="N17">
        <v>25.3</v>
      </c>
      <c r="O17" t="s">
        <v>105</v>
      </c>
      <c r="P17">
        <v>4.8999999999999998E-3</v>
      </c>
      <c r="Q17">
        <v>0.05</v>
      </c>
      <c r="R17" t="s">
        <v>105</v>
      </c>
    </row>
    <row r="18" spans="1:18" x14ac:dyDescent="0.4">
      <c r="A18">
        <v>12</v>
      </c>
      <c r="B18" t="s">
        <v>3</v>
      </c>
      <c r="C18" t="s">
        <v>111</v>
      </c>
      <c r="D18">
        <v>25.4</v>
      </c>
      <c r="G18">
        <v>25.405200000000001</v>
      </c>
      <c r="J18">
        <v>5.1999999999999998E-3</v>
      </c>
      <c r="M18">
        <v>25.5</v>
      </c>
      <c r="N18">
        <v>25.3</v>
      </c>
      <c r="O18" t="s">
        <v>105</v>
      </c>
      <c r="P18">
        <v>6.6E-3</v>
      </c>
      <c r="Q18">
        <v>0.05</v>
      </c>
      <c r="R18" t="s">
        <v>105</v>
      </c>
    </row>
    <row r="19" spans="1:18" x14ac:dyDescent="0.4">
      <c r="A19">
        <v>13</v>
      </c>
      <c r="B19" t="s">
        <v>4</v>
      </c>
      <c r="C19" t="s">
        <v>111</v>
      </c>
      <c r="D19">
        <v>25.4</v>
      </c>
      <c r="G19">
        <v>25.403099999999998</v>
      </c>
      <c r="J19">
        <v>3.0999999999999999E-3</v>
      </c>
      <c r="M19">
        <v>25.5</v>
      </c>
      <c r="N19">
        <v>25.3</v>
      </c>
      <c r="O19" t="s">
        <v>105</v>
      </c>
      <c r="P19">
        <v>8.3999999999999995E-3</v>
      </c>
      <c r="Q19">
        <v>0.05</v>
      </c>
      <c r="R19" t="s">
        <v>105</v>
      </c>
    </row>
    <row r="20" spans="1:18" x14ac:dyDescent="0.4">
      <c r="A20">
        <v>14</v>
      </c>
      <c r="B20" t="s">
        <v>5</v>
      </c>
      <c r="C20" t="s">
        <v>112</v>
      </c>
      <c r="D20">
        <v>72.887</v>
      </c>
      <c r="G20">
        <v>72.879499999999993</v>
      </c>
      <c r="J20">
        <v>-7.4999999999999997E-3</v>
      </c>
      <c r="M20">
        <v>72.986999999999995</v>
      </c>
      <c r="N20">
        <v>72.787000000000006</v>
      </c>
      <c r="O20" t="s">
        <v>105</v>
      </c>
    </row>
    <row r="21" spans="1:18" x14ac:dyDescent="0.4">
      <c r="A21">
        <v>15</v>
      </c>
      <c r="B21" t="s">
        <v>6</v>
      </c>
      <c r="C21" t="s">
        <v>112</v>
      </c>
      <c r="D21">
        <v>73.745999999999995</v>
      </c>
      <c r="G21">
        <v>73.712299999999999</v>
      </c>
      <c r="J21">
        <v>-3.3700000000000001E-2</v>
      </c>
      <c r="M21">
        <v>73.846000000000004</v>
      </c>
      <c r="N21">
        <v>73.646000000000001</v>
      </c>
      <c r="O21" t="s">
        <v>105</v>
      </c>
    </row>
    <row r="22" spans="1:18" x14ac:dyDescent="0.4">
      <c r="A22">
        <v>16</v>
      </c>
      <c r="B22" t="s">
        <v>7</v>
      </c>
      <c r="C22" t="s">
        <v>112</v>
      </c>
      <c r="D22">
        <v>72.376999999999995</v>
      </c>
      <c r="G22">
        <v>72.339699999999993</v>
      </c>
      <c r="J22">
        <v>-3.73E-2</v>
      </c>
      <c r="M22">
        <v>72.477000000000004</v>
      </c>
      <c r="N22">
        <v>72.277000000000001</v>
      </c>
      <c r="O22" t="s">
        <v>105</v>
      </c>
    </row>
    <row r="23" spans="1:18" x14ac:dyDescent="0.4">
      <c r="A23">
        <v>17</v>
      </c>
      <c r="B23" t="s">
        <v>8</v>
      </c>
      <c r="C23" t="s">
        <v>112</v>
      </c>
      <c r="D23">
        <v>72.031000000000006</v>
      </c>
      <c r="G23">
        <v>71.963899999999995</v>
      </c>
      <c r="J23">
        <v>-6.7100000000000007E-2</v>
      </c>
      <c r="M23">
        <v>72.131</v>
      </c>
      <c r="N23">
        <v>71.930999999999997</v>
      </c>
      <c r="O23" t="s">
        <v>105</v>
      </c>
    </row>
    <row r="24" spans="1:18" x14ac:dyDescent="0.4">
      <c r="A24">
        <v>18</v>
      </c>
      <c r="B24" t="s">
        <v>9</v>
      </c>
      <c r="C24" t="s">
        <v>112</v>
      </c>
      <c r="D24">
        <v>75.007000000000005</v>
      </c>
      <c r="G24">
        <v>74.987899999999996</v>
      </c>
      <c r="J24">
        <v>-1.9099999999999999E-2</v>
      </c>
      <c r="M24">
        <v>75.106999999999999</v>
      </c>
      <c r="N24">
        <v>74.906999999999996</v>
      </c>
      <c r="O24" t="s">
        <v>105</v>
      </c>
    </row>
    <row r="25" spans="1:18" x14ac:dyDescent="0.4">
      <c r="A25">
        <v>19</v>
      </c>
      <c r="B25" t="s">
        <v>10</v>
      </c>
      <c r="C25" t="s">
        <v>112</v>
      </c>
      <c r="D25">
        <v>74.007000000000005</v>
      </c>
      <c r="G25">
        <v>73.984499999999997</v>
      </c>
      <c r="J25">
        <v>-2.2499999999999999E-2</v>
      </c>
      <c r="M25">
        <v>74.106999999999999</v>
      </c>
      <c r="N25">
        <v>73.906999999999996</v>
      </c>
      <c r="O25" t="s">
        <v>105</v>
      </c>
    </row>
    <row r="26" spans="1:18" x14ac:dyDescent="0.4">
      <c r="A26">
        <v>20</v>
      </c>
      <c r="B26" t="s">
        <v>11</v>
      </c>
      <c r="C26" t="s">
        <v>112</v>
      </c>
      <c r="D26">
        <v>126</v>
      </c>
      <c r="G26">
        <v>125.9329</v>
      </c>
      <c r="J26">
        <v>-6.7100000000000007E-2</v>
      </c>
      <c r="M26">
        <v>126.1</v>
      </c>
      <c r="N26">
        <v>125.9</v>
      </c>
      <c r="O26" t="s">
        <v>105</v>
      </c>
    </row>
    <row r="27" spans="1:18" x14ac:dyDescent="0.4">
      <c r="A27">
        <v>21</v>
      </c>
      <c r="B27" t="s">
        <v>12</v>
      </c>
      <c r="C27" t="s">
        <v>112</v>
      </c>
      <c r="D27">
        <v>124.004</v>
      </c>
      <c r="G27">
        <v>123.92489999999999</v>
      </c>
      <c r="J27">
        <v>-7.9100000000000004E-2</v>
      </c>
      <c r="M27">
        <v>124.104</v>
      </c>
      <c r="N27">
        <v>123.904</v>
      </c>
      <c r="O27" t="s">
        <v>105</v>
      </c>
    </row>
    <row r="28" spans="1:18" x14ac:dyDescent="0.4">
      <c r="A28">
        <v>22</v>
      </c>
      <c r="B28" t="s">
        <v>13</v>
      </c>
      <c r="C28" t="s">
        <v>112</v>
      </c>
      <c r="D28">
        <v>145.262</v>
      </c>
      <c r="G28">
        <v>145.21629999999999</v>
      </c>
      <c r="J28">
        <v>-4.5699999999999998E-2</v>
      </c>
      <c r="M28">
        <v>145.36199999999999</v>
      </c>
      <c r="N28">
        <v>145.16200000000001</v>
      </c>
      <c r="O28" t="s">
        <v>105</v>
      </c>
    </row>
    <row r="29" spans="1:18" x14ac:dyDescent="0.4">
      <c r="A29">
        <v>23</v>
      </c>
      <c r="B29" t="s">
        <v>14</v>
      </c>
      <c r="C29" t="s">
        <v>112</v>
      </c>
      <c r="D29">
        <v>145.774</v>
      </c>
      <c r="G29">
        <v>145.67269999999999</v>
      </c>
      <c r="J29">
        <v>-0.1013</v>
      </c>
      <c r="M29">
        <v>145.874</v>
      </c>
      <c r="N29">
        <v>145.67400000000001</v>
      </c>
      <c r="O29" t="s">
        <v>107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D7AF5-D9E0-4265-9F8C-07044A318D77}">
  <dimension ref="A1:R29"/>
  <sheetViews>
    <sheetView workbookViewId="0"/>
  </sheetViews>
  <sheetFormatPr defaultRowHeight="14.6" x14ac:dyDescent="0.4"/>
  <cols>
    <col min="1" max="1" width="24.23046875" bestFit="1" customWidth="1"/>
    <col min="2" max="2" width="13.921875" bestFit="1" customWidth="1"/>
    <col min="3" max="3" width="17.53515625" bestFit="1" customWidth="1"/>
    <col min="4" max="4" width="7.84375" bestFit="1" customWidth="1"/>
    <col min="5" max="5" width="5.4609375" bestFit="1" customWidth="1"/>
    <col min="6" max="6" width="1.84375" bestFit="1" customWidth="1"/>
    <col min="7" max="7" width="8.84375" bestFit="1" customWidth="1"/>
    <col min="8" max="8" width="8.4609375" bestFit="1" customWidth="1"/>
    <col min="9" max="9" width="6.84375" bestFit="1" customWidth="1"/>
    <col min="10" max="10" width="7.4609375" bestFit="1" customWidth="1"/>
    <col min="11" max="12" width="6.84375" bestFit="1" customWidth="1"/>
    <col min="13" max="14" width="7.84375" bestFit="1" customWidth="1"/>
    <col min="15" max="15" width="4.84375" bestFit="1" customWidth="1"/>
    <col min="16" max="16" width="6.84375" bestFit="1" customWidth="1"/>
    <col min="17" max="18" width="4.84375" bestFit="1" customWidth="1"/>
  </cols>
  <sheetData>
    <row r="1" spans="1:18" x14ac:dyDescent="0.4">
      <c r="A1" t="s">
        <v>91</v>
      </c>
      <c r="B1" t="s">
        <v>131</v>
      </c>
    </row>
    <row r="2" spans="1:18" x14ac:dyDescent="0.4">
      <c r="A2" t="s">
        <v>93</v>
      </c>
      <c r="B2" t="s">
        <v>94</v>
      </c>
    </row>
    <row r="3" spans="1:18" x14ac:dyDescent="0.4">
      <c r="A3" t="s">
        <v>95</v>
      </c>
      <c r="B3" t="s">
        <v>136</v>
      </c>
    </row>
    <row r="4" spans="1:18" x14ac:dyDescent="0.4">
      <c r="A4" t="s">
        <v>97</v>
      </c>
      <c r="B4" t="s">
        <v>98</v>
      </c>
    </row>
    <row r="5" spans="1:18" x14ac:dyDescent="0.4">
      <c r="A5" t="s">
        <v>99</v>
      </c>
    </row>
    <row r="6" spans="1:18" x14ac:dyDescent="0.4">
      <c r="A6" t="s">
        <v>100</v>
      </c>
    </row>
    <row r="7" spans="1:18" x14ac:dyDescent="0.4">
      <c r="A7" t="s">
        <v>101</v>
      </c>
    </row>
    <row r="8" spans="1:18" x14ac:dyDescent="0.4">
      <c r="A8" t="s">
        <v>93</v>
      </c>
    </row>
    <row r="9" spans="1:18" x14ac:dyDescent="0.4">
      <c r="A9" t="s">
        <v>102</v>
      </c>
    </row>
    <row r="10" spans="1:18" x14ac:dyDescent="0.4">
      <c r="A10">
        <v>4</v>
      </c>
      <c r="B10" t="s">
        <v>103</v>
      </c>
      <c r="C10" t="s">
        <v>104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105</v>
      </c>
    </row>
    <row r="11" spans="1:18" x14ac:dyDescent="0.4">
      <c r="A11">
        <v>5</v>
      </c>
      <c r="B11" t="s">
        <v>106</v>
      </c>
      <c r="C11" t="s">
        <v>104</v>
      </c>
      <c r="D11">
        <v>62.5</v>
      </c>
      <c r="E11">
        <v>37.5</v>
      </c>
      <c r="F11">
        <v>0</v>
      </c>
      <c r="G11">
        <v>62.482500000000002</v>
      </c>
      <c r="H11">
        <v>37.515700000000002</v>
      </c>
      <c r="I11">
        <v>8.3400000000000002E-2</v>
      </c>
      <c r="J11">
        <v>-1.7500000000000002E-2</v>
      </c>
      <c r="K11">
        <v>1.5699999999999999E-2</v>
      </c>
      <c r="L11">
        <v>8.3400000000000002E-2</v>
      </c>
      <c r="P11">
        <v>0.17330000000000001</v>
      </c>
      <c r="Q11">
        <v>0.05</v>
      </c>
      <c r="R11" t="s">
        <v>107</v>
      </c>
    </row>
    <row r="12" spans="1:18" x14ac:dyDescent="0.4">
      <c r="A12">
        <v>6</v>
      </c>
      <c r="B12" t="s">
        <v>108</v>
      </c>
      <c r="C12" t="s">
        <v>104</v>
      </c>
      <c r="D12">
        <v>-63.5</v>
      </c>
      <c r="E12">
        <v>37.5</v>
      </c>
      <c r="F12">
        <v>0</v>
      </c>
      <c r="G12">
        <v>-63.450200000000002</v>
      </c>
      <c r="H12">
        <v>37.515700000000002</v>
      </c>
      <c r="I12">
        <v>6.88E-2</v>
      </c>
      <c r="J12">
        <v>4.9799999999999997E-2</v>
      </c>
      <c r="K12">
        <v>1.5699999999999999E-2</v>
      </c>
      <c r="L12">
        <v>6.88E-2</v>
      </c>
      <c r="P12">
        <v>0.1726</v>
      </c>
      <c r="Q12">
        <v>0.05</v>
      </c>
      <c r="R12" t="s">
        <v>107</v>
      </c>
    </row>
    <row r="13" spans="1:18" x14ac:dyDescent="0.4">
      <c r="A13">
        <v>7</v>
      </c>
      <c r="B13" t="s">
        <v>109</v>
      </c>
      <c r="C13" t="s">
        <v>104</v>
      </c>
      <c r="D13">
        <v>-62.5</v>
      </c>
      <c r="E13">
        <v>-36.5</v>
      </c>
      <c r="F13">
        <v>0</v>
      </c>
      <c r="G13">
        <v>-62.477800000000002</v>
      </c>
      <c r="H13">
        <v>-36.463099999999997</v>
      </c>
      <c r="I13">
        <v>8.3599999999999994E-2</v>
      </c>
      <c r="J13">
        <v>2.2200000000000001E-2</v>
      </c>
      <c r="K13">
        <v>3.6900000000000002E-2</v>
      </c>
      <c r="L13">
        <v>8.3599999999999994E-2</v>
      </c>
      <c r="P13">
        <v>0.18809999999999999</v>
      </c>
      <c r="Q13">
        <v>0.05</v>
      </c>
      <c r="R13" t="s">
        <v>107</v>
      </c>
    </row>
    <row r="14" spans="1:18" x14ac:dyDescent="0.4">
      <c r="A14">
        <v>8</v>
      </c>
      <c r="B14" t="s">
        <v>110</v>
      </c>
      <c r="C14" t="s">
        <v>104</v>
      </c>
      <c r="D14">
        <v>61.5</v>
      </c>
      <c r="E14">
        <v>-37.5</v>
      </c>
      <c r="F14">
        <v>0</v>
      </c>
      <c r="G14">
        <v>61.443600000000004</v>
      </c>
      <c r="H14">
        <v>-37.465299999999999</v>
      </c>
      <c r="I14">
        <v>6.9199999999999998E-2</v>
      </c>
      <c r="J14">
        <v>-5.6399999999999999E-2</v>
      </c>
      <c r="K14">
        <v>3.4700000000000002E-2</v>
      </c>
      <c r="L14">
        <v>6.9199999999999998E-2</v>
      </c>
      <c r="P14">
        <v>0.19159999999999999</v>
      </c>
      <c r="Q14">
        <v>0.05</v>
      </c>
      <c r="R14" t="s">
        <v>107</v>
      </c>
    </row>
    <row r="15" spans="1:18" x14ac:dyDescent="0.4">
      <c r="A15">
        <v>9</v>
      </c>
      <c r="B15" t="s">
        <v>0</v>
      </c>
      <c r="C15" t="s">
        <v>111</v>
      </c>
      <c r="D15">
        <v>25.4</v>
      </c>
      <c r="G15">
        <v>25.398900000000001</v>
      </c>
      <c r="J15">
        <v>-1.1000000000000001E-3</v>
      </c>
      <c r="M15">
        <v>25.5</v>
      </c>
      <c r="N15">
        <v>25.3</v>
      </c>
      <c r="O15" t="s">
        <v>105</v>
      </c>
      <c r="P15">
        <v>6.1000000000000004E-3</v>
      </c>
      <c r="Q15">
        <v>0.05</v>
      </c>
      <c r="R15" t="s">
        <v>105</v>
      </c>
    </row>
    <row r="16" spans="1:18" x14ac:dyDescent="0.4">
      <c r="A16">
        <v>10</v>
      </c>
      <c r="B16" t="s">
        <v>1</v>
      </c>
      <c r="C16" t="s">
        <v>111</v>
      </c>
      <c r="D16">
        <v>25.4</v>
      </c>
      <c r="G16">
        <v>25.4024</v>
      </c>
      <c r="J16">
        <v>2.3999999999999998E-3</v>
      </c>
      <c r="M16">
        <v>25.5</v>
      </c>
      <c r="N16">
        <v>25.3</v>
      </c>
      <c r="O16" t="s">
        <v>105</v>
      </c>
      <c r="P16">
        <v>7.9000000000000008E-3</v>
      </c>
      <c r="Q16">
        <v>0.05</v>
      </c>
      <c r="R16" t="s">
        <v>105</v>
      </c>
    </row>
    <row r="17" spans="1:18" x14ac:dyDescent="0.4">
      <c r="A17">
        <v>11</v>
      </c>
      <c r="B17" t="s">
        <v>2</v>
      </c>
      <c r="C17" t="s">
        <v>111</v>
      </c>
      <c r="D17">
        <v>25.4</v>
      </c>
      <c r="G17">
        <v>25.403400000000001</v>
      </c>
      <c r="J17">
        <v>3.3999999999999998E-3</v>
      </c>
      <c r="M17">
        <v>25.5</v>
      </c>
      <c r="N17">
        <v>25.3</v>
      </c>
      <c r="O17" t="s">
        <v>105</v>
      </c>
      <c r="P17">
        <v>5.7999999999999996E-3</v>
      </c>
      <c r="Q17">
        <v>0.05</v>
      </c>
      <c r="R17" t="s">
        <v>105</v>
      </c>
    </row>
    <row r="18" spans="1:18" x14ac:dyDescent="0.4">
      <c r="A18">
        <v>12</v>
      </c>
      <c r="B18" t="s">
        <v>3</v>
      </c>
      <c r="C18" t="s">
        <v>111</v>
      </c>
      <c r="D18">
        <v>25.4</v>
      </c>
      <c r="G18">
        <v>25.404499999999999</v>
      </c>
      <c r="J18">
        <v>4.4999999999999997E-3</v>
      </c>
      <c r="M18">
        <v>25.5</v>
      </c>
      <c r="N18">
        <v>25.3</v>
      </c>
      <c r="O18" t="s">
        <v>105</v>
      </c>
      <c r="P18">
        <v>7.1000000000000004E-3</v>
      </c>
      <c r="Q18">
        <v>0.05</v>
      </c>
      <c r="R18" t="s">
        <v>105</v>
      </c>
    </row>
    <row r="19" spans="1:18" x14ac:dyDescent="0.4">
      <c r="A19">
        <v>13</v>
      </c>
      <c r="B19" t="s">
        <v>4</v>
      </c>
      <c r="C19" t="s">
        <v>111</v>
      </c>
      <c r="D19">
        <v>25.4</v>
      </c>
      <c r="G19">
        <v>25.403199999999998</v>
      </c>
      <c r="J19">
        <v>3.2000000000000002E-3</v>
      </c>
      <c r="M19">
        <v>25.5</v>
      </c>
      <c r="N19">
        <v>25.3</v>
      </c>
      <c r="O19" t="s">
        <v>105</v>
      </c>
      <c r="P19">
        <v>5.4999999999999997E-3</v>
      </c>
      <c r="Q19">
        <v>0.05</v>
      </c>
      <c r="R19" t="s">
        <v>105</v>
      </c>
    </row>
    <row r="20" spans="1:18" x14ac:dyDescent="0.4">
      <c r="A20">
        <v>14</v>
      </c>
      <c r="B20" t="s">
        <v>5</v>
      </c>
      <c r="C20" t="s">
        <v>112</v>
      </c>
      <c r="D20">
        <v>72.887</v>
      </c>
      <c r="G20">
        <v>72.88</v>
      </c>
      <c r="J20">
        <v>-7.0000000000000001E-3</v>
      </c>
      <c r="M20">
        <v>72.986999999999995</v>
      </c>
      <c r="N20">
        <v>72.787000000000006</v>
      </c>
      <c r="O20" t="s">
        <v>105</v>
      </c>
    </row>
    <row r="21" spans="1:18" x14ac:dyDescent="0.4">
      <c r="A21">
        <v>15</v>
      </c>
      <c r="B21" t="s">
        <v>6</v>
      </c>
      <c r="C21" t="s">
        <v>112</v>
      </c>
      <c r="D21">
        <v>73.745999999999995</v>
      </c>
      <c r="G21">
        <v>73.711399999999998</v>
      </c>
      <c r="J21">
        <v>-3.4599999999999999E-2</v>
      </c>
      <c r="M21">
        <v>73.846000000000004</v>
      </c>
      <c r="N21">
        <v>73.646000000000001</v>
      </c>
      <c r="O21" t="s">
        <v>105</v>
      </c>
    </row>
    <row r="22" spans="1:18" x14ac:dyDescent="0.4">
      <c r="A22">
        <v>16</v>
      </c>
      <c r="B22" t="s">
        <v>7</v>
      </c>
      <c r="C22" t="s">
        <v>112</v>
      </c>
      <c r="D22">
        <v>72.376999999999995</v>
      </c>
      <c r="G22">
        <v>72.339799999999997</v>
      </c>
      <c r="J22">
        <v>-3.7199999999999997E-2</v>
      </c>
      <c r="M22">
        <v>72.477000000000004</v>
      </c>
      <c r="N22">
        <v>72.277000000000001</v>
      </c>
      <c r="O22" t="s">
        <v>105</v>
      </c>
    </row>
    <row r="23" spans="1:18" x14ac:dyDescent="0.4">
      <c r="A23">
        <v>17</v>
      </c>
      <c r="B23" t="s">
        <v>8</v>
      </c>
      <c r="C23" t="s">
        <v>112</v>
      </c>
      <c r="D23">
        <v>72.031000000000006</v>
      </c>
      <c r="G23">
        <v>71.965100000000007</v>
      </c>
      <c r="J23">
        <v>-6.59E-2</v>
      </c>
      <c r="M23">
        <v>72.131</v>
      </c>
      <c r="N23">
        <v>71.930999999999997</v>
      </c>
      <c r="O23" t="s">
        <v>105</v>
      </c>
    </row>
    <row r="24" spans="1:18" x14ac:dyDescent="0.4">
      <c r="A24">
        <v>18</v>
      </c>
      <c r="B24" t="s">
        <v>9</v>
      </c>
      <c r="C24" t="s">
        <v>112</v>
      </c>
      <c r="D24">
        <v>75.007000000000005</v>
      </c>
      <c r="G24">
        <v>74.988200000000006</v>
      </c>
      <c r="J24">
        <v>-1.8800000000000001E-2</v>
      </c>
      <c r="M24">
        <v>75.106999999999999</v>
      </c>
      <c r="N24">
        <v>74.906999999999996</v>
      </c>
      <c r="O24" t="s">
        <v>105</v>
      </c>
    </row>
    <row r="25" spans="1:18" x14ac:dyDescent="0.4">
      <c r="A25">
        <v>19</v>
      </c>
      <c r="B25" t="s">
        <v>10</v>
      </c>
      <c r="C25" t="s">
        <v>112</v>
      </c>
      <c r="D25">
        <v>74.007000000000005</v>
      </c>
      <c r="G25">
        <v>73.985200000000006</v>
      </c>
      <c r="J25">
        <v>-2.18E-2</v>
      </c>
      <c r="M25">
        <v>74.106999999999999</v>
      </c>
      <c r="N25">
        <v>73.906999999999996</v>
      </c>
      <c r="O25" t="s">
        <v>105</v>
      </c>
    </row>
    <row r="26" spans="1:18" x14ac:dyDescent="0.4">
      <c r="A26">
        <v>20</v>
      </c>
      <c r="B26" t="s">
        <v>11</v>
      </c>
      <c r="C26" t="s">
        <v>112</v>
      </c>
      <c r="D26">
        <v>126</v>
      </c>
      <c r="G26">
        <v>125.9328</v>
      </c>
      <c r="J26">
        <v>-6.7199999999999996E-2</v>
      </c>
      <c r="M26">
        <v>126.1</v>
      </c>
      <c r="N26">
        <v>125.9</v>
      </c>
      <c r="O26" t="s">
        <v>105</v>
      </c>
    </row>
    <row r="27" spans="1:18" x14ac:dyDescent="0.4">
      <c r="A27">
        <v>21</v>
      </c>
      <c r="B27" t="s">
        <v>12</v>
      </c>
      <c r="C27" t="s">
        <v>112</v>
      </c>
      <c r="D27">
        <v>124.004</v>
      </c>
      <c r="G27">
        <v>123.9255</v>
      </c>
      <c r="J27">
        <v>-7.85E-2</v>
      </c>
      <c r="M27">
        <v>124.104</v>
      </c>
      <c r="N27">
        <v>123.904</v>
      </c>
      <c r="O27" t="s">
        <v>105</v>
      </c>
    </row>
    <row r="28" spans="1:18" x14ac:dyDescent="0.4">
      <c r="A28">
        <v>22</v>
      </c>
      <c r="B28" t="s">
        <v>13</v>
      </c>
      <c r="C28" t="s">
        <v>112</v>
      </c>
      <c r="D28">
        <v>145.262</v>
      </c>
      <c r="G28">
        <v>145.21690000000001</v>
      </c>
      <c r="J28">
        <v>-4.5100000000000001E-2</v>
      </c>
      <c r="M28">
        <v>145.36199999999999</v>
      </c>
      <c r="N28">
        <v>145.16200000000001</v>
      </c>
      <c r="O28" t="s">
        <v>105</v>
      </c>
    </row>
    <row r="29" spans="1:18" x14ac:dyDescent="0.4">
      <c r="A29">
        <v>23</v>
      </c>
      <c r="B29" t="s">
        <v>14</v>
      </c>
      <c r="C29" t="s">
        <v>112</v>
      </c>
      <c r="D29">
        <v>145.774</v>
      </c>
      <c r="G29">
        <v>145.673</v>
      </c>
      <c r="J29">
        <v>-0.10100000000000001</v>
      </c>
      <c r="M29">
        <v>145.874</v>
      </c>
      <c r="N29">
        <v>145.67400000000001</v>
      </c>
      <c r="O29" t="s">
        <v>107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3BC7F-59DB-4E93-AECF-BB14ADBA9523}">
  <dimension ref="A1:R29"/>
  <sheetViews>
    <sheetView workbookViewId="0"/>
  </sheetViews>
  <sheetFormatPr defaultRowHeight="14.6" x14ac:dyDescent="0.4"/>
  <cols>
    <col min="1" max="1" width="24.23046875" bestFit="1" customWidth="1"/>
    <col min="2" max="2" width="13.921875" bestFit="1" customWidth="1"/>
    <col min="3" max="3" width="17.53515625" bestFit="1" customWidth="1"/>
    <col min="4" max="4" width="7.84375" bestFit="1" customWidth="1"/>
    <col min="5" max="5" width="5.4609375" bestFit="1" customWidth="1"/>
    <col min="6" max="6" width="1.84375" bestFit="1" customWidth="1"/>
    <col min="7" max="7" width="8.84375" bestFit="1" customWidth="1"/>
    <col min="8" max="8" width="8.4609375" bestFit="1" customWidth="1"/>
    <col min="9" max="9" width="6.84375" bestFit="1" customWidth="1"/>
    <col min="10" max="10" width="7.4609375" bestFit="1" customWidth="1"/>
    <col min="11" max="12" width="6.84375" bestFit="1" customWidth="1"/>
    <col min="13" max="14" width="7.84375" bestFit="1" customWidth="1"/>
    <col min="15" max="15" width="4.84375" bestFit="1" customWidth="1"/>
    <col min="16" max="16" width="6.84375" bestFit="1" customWidth="1"/>
    <col min="17" max="18" width="4.84375" bestFit="1" customWidth="1"/>
  </cols>
  <sheetData>
    <row r="1" spans="1:18" x14ac:dyDescent="0.4">
      <c r="A1" t="s">
        <v>91</v>
      </c>
      <c r="B1" t="s">
        <v>131</v>
      </c>
    </row>
    <row r="2" spans="1:18" x14ac:dyDescent="0.4">
      <c r="A2" t="s">
        <v>93</v>
      </c>
      <c r="B2" t="s">
        <v>94</v>
      </c>
    </row>
    <row r="3" spans="1:18" x14ac:dyDescent="0.4">
      <c r="A3" t="s">
        <v>95</v>
      </c>
      <c r="B3" t="s">
        <v>137</v>
      </c>
    </row>
    <row r="4" spans="1:18" x14ac:dyDescent="0.4">
      <c r="A4" t="s">
        <v>97</v>
      </c>
      <c r="B4" t="s">
        <v>114</v>
      </c>
    </row>
    <row r="5" spans="1:18" x14ac:dyDescent="0.4">
      <c r="A5" t="s">
        <v>99</v>
      </c>
    </row>
    <row r="6" spans="1:18" x14ac:dyDescent="0.4">
      <c r="A6" t="s">
        <v>100</v>
      </c>
    </row>
    <row r="7" spans="1:18" x14ac:dyDescent="0.4">
      <c r="A7" t="s">
        <v>101</v>
      </c>
    </row>
    <row r="8" spans="1:18" x14ac:dyDescent="0.4">
      <c r="A8" t="s">
        <v>93</v>
      </c>
    </row>
    <row r="9" spans="1:18" x14ac:dyDescent="0.4">
      <c r="A9" t="s">
        <v>102</v>
      </c>
    </row>
    <row r="10" spans="1:18" x14ac:dyDescent="0.4">
      <c r="A10">
        <v>4</v>
      </c>
      <c r="B10" t="s">
        <v>103</v>
      </c>
      <c r="C10" t="s">
        <v>104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105</v>
      </c>
    </row>
    <row r="11" spans="1:18" x14ac:dyDescent="0.4">
      <c r="A11">
        <v>5</v>
      </c>
      <c r="B11" t="s">
        <v>106</v>
      </c>
      <c r="C11" t="s">
        <v>104</v>
      </c>
      <c r="D11">
        <v>62.5</v>
      </c>
      <c r="E11">
        <v>37.5</v>
      </c>
      <c r="F11">
        <v>0</v>
      </c>
      <c r="G11">
        <v>62.482599999999998</v>
      </c>
      <c r="H11">
        <v>37.515900000000002</v>
      </c>
      <c r="I11">
        <v>8.2799999999999999E-2</v>
      </c>
      <c r="J11">
        <v>-1.7399999999999999E-2</v>
      </c>
      <c r="K11">
        <v>1.5900000000000001E-2</v>
      </c>
      <c r="L11">
        <v>8.2799999999999999E-2</v>
      </c>
      <c r="P11">
        <v>0.1721</v>
      </c>
      <c r="Q11">
        <v>0.05</v>
      </c>
      <c r="R11" t="s">
        <v>107</v>
      </c>
    </row>
    <row r="12" spans="1:18" x14ac:dyDescent="0.4">
      <c r="A12">
        <v>6</v>
      </c>
      <c r="B12" t="s">
        <v>108</v>
      </c>
      <c r="C12" t="s">
        <v>104</v>
      </c>
      <c r="D12">
        <v>-63.5</v>
      </c>
      <c r="E12">
        <v>37.5</v>
      </c>
      <c r="F12">
        <v>0</v>
      </c>
      <c r="G12">
        <v>-63.450299999999999</v>
      </c>
      <c r="H12">
        <v>37.515900000000002</v>
      </c>
      <c r="I12">
        <v>6.8900000000000003E-2</v>
      </c>
      <c r="J12">
        <v>4.9700000000000001E-2</v>
      </c>
      <c r="K12">
        <v>1.5900000000000001E-2</v>
      </c>
      <c r="L12">
        <v>6.8900000000000003E-2</v>
      </c>
      <c r="P12">
        <v>0.1729</v>
      </c>
      <c r="Q12">
        <v>0.05</v>
      </c>
      <c r="R12" t="s">
        <v>107</v>
      </c>
    </row>
    <row r="13" spans="1:18" x14ac:dyDescent="0.4">
      <c r="A13">
        <v>7</v>
      </c>
      <c r="B13" t="s">
        <v>109</v>
      </c>
      <c r="C13" t="s">
        <v>104</v>
      </c>
      <c r="D13">
        <v>-62.5</v>
      </c>
      <c r="E13">
        <v>-36.5</v>
      </c>
      <c r="F13">
        <v>0</v>
      </c>
      <c r="G13">
        <v>-62.477600000000002</v>
      </c>
      <c r="H13">
        <v>-36.462800000000001</v>
      </c>
      <c r="I13">
        <v>8.3000000000000004E-2</v>
      </c>
      <c r="J13">
        <v>2.24E-2</v>
      </c>
      <c r="K13">
        <v>3.7199999999999997E-2</v>
      </c>
      <c r="L13">
        <v>8.3000000000000004E-2</v>
      </c>
      <c r="P13">
        <v>0.18729999999999999</v>
      </c>
      <c r="Q13">
        <v>0.05</v>
      </c>
      <c r="R13" t="s">
        <v>107</v>
      </c>
    </row>
    <row r="14" spans="1:18" x14ac:dyDescent="0.4">
      <c r="A14">
        <v>8</v>
      </c>
      <c r="B14" t="s">
        <v>110</v>
      </c>
      <c r="C14" t="s">
        <v>104</v>
      </c>
      <c r="D14">
        <v>61.5</v>
      </c>
      <c r="E14">
        <v>-37.5</v>
      </c>
      <c r="F14">
        <v>0</v>
      </c>
      <c r="G14">
        <v>61.443399999999997</v>
      </c>
      <c r="H14">
        <v>-37.465200000000003</v>
      </c>
      <c r="I14">
        <v>6.93E-2</v>
      </c>
      <c r="J14">
        <v>-5.6599999999999998E-2</v>
      </c>
      <c r="K14">
        <v>3.4799999999999998E-2</v>
      </c>
      <c r="L14">
        <v>6.93E-2</v>
      </c>
      <c r="P14">
        <v>0.19209999999999999</v>
      </c>
      <c r="Q14">
        <v>0.05</v>
      </c>
      <c r="R14" t="s">
        <v>107</v>
      </c>
    </row>
    <row r="15" spans="1:18" x14ac:dyDescent="0.4">
      <c r="A15">
        <v>9</v>
      </c>
      <c r="B15" t="s">
        <v>0</v>
      </c>
      <c r="C15" t="s">
        <v>111</v>
      </c>
      <c r="D15">
        <v>25.4</v>
      </c>
      <c r="G15">
        <v>25.3993</v>
      </c>
      <c r="J15">
        <v>-6.9999999999999999E-4</v>
      </c>
      <c r="M15">
        <v>25.5</v>
      </c>
      <c r="N15">
        <v>25.3</v>
      </c>
      <c r="O15" t="s">
        <v>105</v>
      </c>
      <c r="P15">
        <v>6.0000000000000001E-3</v>
      </c>
      <c r="Q15">
        <v>0.05</v>
      </c>
      <c r="R15" t="s">
        <v>105</v>
      </c>
    </row>
    <row r="16" spans="1:18" x14ac:dyDescent="0.4">
      <c r="A16">
        <v>10</v>
      </c>
      <c r="B16" t="s">
        <v>1</v>
      </c>
      <c r="C16" t="s">
        <v>111</v>
      </c>
      <c r="D16">
        <v>25.4</v>
      </c>
      <c r="G16">
        <v>25.403099999999998</v>
      </c>
      <c r="J16">
        <v>3.0999999999999999E-3</v>
      </c>
      <c r="M16">
        <v>25.5</v>
      </c>
      <c r="N16">
        <v>25.3</v>
      </c>
      <c r="O16" t="s">
        <v>105</v>
      </c>
      <c r="P16">
        <v>7.1000000000000004E-3</v>
      </c>
      <c r="Q16">
        <v>0.05</v>
      </c>
      <c r="R16" t="s">
        <v>105</v>
      </c>
    </row>
    <row r="17" spans="1:18" x14ac:dyDescent="0.4">
      <c r="A17">
        <v>11</v>
      </c>
      <c r="B17" t="s">
        <v>2</v>
      </c>
      <c r="C17" t="s">
        <v>111</v>
      </c>
      <c r="D17">
        <v>25.4</v>
      </c>
      <c r="G17">
        <v>25.402999999999999</v>
      </c>
      <c r="J17">
        <v>3.0000000000000001E-3</v>
      </c>
      <c r="M17">
        <v>25.5</v>
      </c>
      <c r="N17">
        <v>25.3</v>
      </c>
      <c r="O17" t="s">
        <v>105</v>
      </c>
      <c r="P17">
        <v>5.0000000000000001E-3</v>
      </c>
      <c r="Q17">
        <v>0.05</v>
      </c>
      <c r="R17" t="s">
        <v>105</v>
      </c>
    </row>
    <row r="18" spans="1:18" x14ac:dyDescent="0.4">
      <c r="A18">
        <v>12</v>
      </c>
      <c r="B18" t="s">
        <v>3</v>
      </c>
      <c r="C18" t="s">
        <v>111</v>
      </c>
      <c r="D18">
        <v>25.4</v>
      </c>
      <c r="G18">
        <v>25.404900000000001</v>
      </c>
      <c r="J18">
        <v>4.8999999999999998E-3</v>
      </c>
      <c r="M18">
        <v>25.5</v>
      </c>
      <c r="N18">
        <v>25.3</v>
      </c>
      <c r="O18" t="s">
        <v>105</v>
      </c>
      <c r="P18">
        <v>6.6E-3</v>
      </c>
      <c r="Q18">
        <v>0.05</v>
      </c>
      <c r="R18" t="s">
        <v>105</v>
      </c>
    </row>
    <row r="19" spans="1:18" x14ac:dyDescent="0.4">
      <c r="A19">
        <v>13</v>
      </c>
      <c r="B19" t="s">
        <v>4</v>
      </c>
      <c r="C19" t="s">
        <v>111</v>
      </c>
      <c r="D19">
        <v>25.4</v>
      </c>
      <c r="G19">
        <v>25.4023</v>
      </c>
      <c r="J19">
        <v>2.3E-3</v>
      </c>
      <c r="M19">
        <v>25.5</v>
      </c>
      <c r="N19">
        <v>25.3</v>
      </c>
      <c r="O19" t="s">
        <v>105</v>
      </c>
      <c r="P19">
        <v>6.1000000000000004E-3</v>
      </c>
      <c r="Q19">
        <v>0.05</v>
      </c>
      <c r="R19" t="s">
        <v>105</v>
      </c>
    </row>
    <row r="20" spans="1:18" x14ac:dyDescent="0.4">
      <c r="A20">
        <v>14</v>
      </c>
      <c r="B20" t="s">
        <v>5</v>
      </c>
      <c r="C20" t="s">
        <v>112</v>
      </c>
      <c r="D20">
        <v>72.887</v>
      </c>
      <c r="G20">
        <v>72.880200000000002</v>
      </c>
      <c r="J20">
        <v>-6.7999999999999996E-3</v>
      </c>
      <c r="M20">
        <v>72.986999999999995</v>
      </c>
      <c r="N20">
        <v>72.787000000000006</v>
      </c>
      <c r="O20" t="s">
        <v>105</v>
      </c>
    </row>
    <row r="21" spans="1:18" x14ac:dyDescent="0.4">
      <c r="A21">
        <v>15</v>
      </c>
      <c r="B21" t="s">
        <v>6</v>
      </c>
      <c r="C21" t="s">
        <v>112</v>
      </c>
      <c r="D21">
        <v>73.745999999999995</v>
      </c>
      <c r="G21">
        <v>73.711500000000001</v>
      </c>
      <c r="J21">
        <v>-3.4500000000000003E-2</v>
      </c>
      <c r="M21">
        <v>73.846000000000004</v>
      </c>
      <c r="N21">
        <v>73.646000000000001</v>
      </c>
      <c r="O21" t="s">
        <v>105</v>
      </c>
    </row>
    <row r="22" spans="1:18" x14ac:dyDescent="0.4">
      <c r="A22">
        <v>16</v>
      </c>
      <c r="B22" t="s">
        <v>7</v>
      </c>
      <c r="C22" t="s">
        <v>112</v>
      </c>
      <c r="D22">
        <v>72.376999999999995</v>
      </c>
      <c r="G22">
        <v>72.339399999999998</v>
      </c>
      <c r="J22">
        <v>-3.7600000000000001E-2</v>
      </c>
      <c r="M22">
        <v>72.477000000000004</v>
      </c>
      <c r="N22">
        <v>72.277000000000001</v>
      </c>
      <c r="O22" t="s">
        <v>105</v>
      </c>
    </row>
    <row r="23" spans="1:18" x14ac:dyDescent="0.4">
      <c r="A23">
        <v>17</v>
      </c>
      <c r="B23" t="s">
        <v>8</v>
      </c>
      <c r="C23" t="s">
        <v>112</v>
      </c>
      <c r="D23">
        <v>72.031000000000006</v>
      </c>
      <c r="G23">
        <v>71.964799999999997</v>
      </c>
      <c r="J23">
        <v>-6.6199999999999995E-2</v>
      </c>
      <c r="M23">
        <v>72.131</v>
      </c>
      <c r="N23">
        <v>71.930999999999997</v>
      </c>
      <c r="O23" t="s">
        <v>105</v>
      </c>
    </row>
    <row r="24" spans="1:18" x14ac:dyDescent="0.4">
      <c r="A24">
        <v>18</v>
      </c>
      <c r="B24" t="s">
        <v>9</v>
      </c>
      <c r="C24" t="s">
        <v>112</v>
      </c>
      <c r="D24">
        <v>75.007000000000005</v>
      </c>
      <c r="G24">
        <v>74.988299999999995</v>
      </c>
      <c r="J24">
        <v>-1.8700000000000001E-2</v>
      </c>
      <c r="M24">
        <v>75.106999999999999</v>
      </c>
      <c r="N24">
        <v>74.906999999999996</v>
      </c>
      <c r="O24" t="s">
        <v>105</v>
      </c>
    </row>
    <row r="25" spans="1:18" x14ac:dyDescent="0.4">
      <c r="A25">
        <v>19</v>
      </c>
      <c r="B25" t="s">
        <v>10</v>
      </c>
      <c r="C25" t="s">
        <v>112</v>
      </c>
      <c r="D25">
        <v>74.007000000000005</v>
      </c>
      <c r="G25">
        <v>73.985100000000003</v>
      </c>
      <c r="J25">
        <v>-2.1899999999999999E-2</v>
      </c>
      <c r="M25">
        <v>74.106999999999999</v>
      </c>
      <c r="N25">
        <v>73.906999999999996</v>
      </c>
      <c r="O25" t="s">
        <v>105</v>
      </c>
    </row>
    <row r="26" spans="1:18" x14ac:dyDescent="0.4">
      <c r="A26">
        <v>20</v>
      </c>
      <c r="B26" t="s">
        <v>11</v>
      </c>
      <c r="C26" t="s">
        <v>112</v>
      </c>
      <c r="D26">
        <v>126</v>
      </c>
      <c r="G26">
        <v>125.9329</v>
      </c>
      <c r="J26">
        <v>-6.7100000000000007E-2</v>
      </c>
      <c r="M26">
        <v>126.1</v>
      </c>
      <c r="N26">
        <v>125.9</v>
      </c>
      <c r="O26" t="s">
        <v>105</v>
      </c>
    </row>
    <row r="27" spans="1:18" x14ac:dyDescent="0.4">
      <c r="A27">
        <v>21</v>
      </c>
      <c r="B27" t="s">
        <v>12</v>
      </c>
      <c r="C27" t="s">
        <v>112</v>
      </c>
      <c r="D27">
        <v>124.004</v>
      </c>
      <c r="G27">
        <v>123.925</v>
      </c>
      <c r="J27">
        <v>-7.9000000000000001E-2</v>
      </c>
      <c r="M27">
        <v>124.104</v>
      </c>
      <c r="N27">
        <v>123.904</v>
      </c>
      <c r="O27" t="s">
        <v>105</v>
      </c>
    </row>
    <row r="28" spans="1:18" x14ac:dyDescent="0.4">
      <c r="A28">
        <v>22</v>
      </c>
      <c r="B28" t="s">
        <v>13</v>
      </c>
      <c r="C28" t="s">
        <v>112</v>
      </c>
      <c r="D28">
        <v>145.262</v>
      </c>
      <c r="G28">
        <v>145.2167</v>
      </c>
      <c r="J28">
        <v>-4.53E-2</v>
      </c>
      <c r="M28">
        <v>145.36199999999999</v>
      </c>
      <c r="N28">
        <v>145.16200000000001</v>
      </c>
      <c r="O28" t="s">
        <v>105</v>
      </c>
    </row>
    <row r="29" spans="1:18" x14ac:dyDescent="0.4">
      <c r="A29">
        <v>23</v>
      </c>
      <c r="B29" t="s">
        <v>14</v>
      </c>
      <c r="C29" t="s">
        <v>112</v>
      </c>
      <c r="D29">
        <v>145.774</v>
      </c>
      <c r="G29">
        <v>145.6729</v>
      </c>
      <c r="J29">
        <v>-0.1011</v>
      </c>
      <c r="M29">
        <v>145.874</v>
      </c>
      <c r="N29">
        <v>145.67400000000001</v>
      </c>
      <c r="O29" t="s">
        <v>107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3BA95-D7A0-45C6-992B-AADA8AF6AE23}">
  <dimension ref="A1:R29"/>
  <sheetViews>
    <sheetView workbookViewId="0"/>
  </sheetViews>
  <sheetFormatPr defaultRowHeight="14.6" x14ac:dyDescent="0.4"/>
  <cols>
    <col min="1" max="1" width="24.23046875" bestFit="1" customWidth="1"/>
    <col min="2" max="2" width="13.921875" bestFit="1" customWidth="1"/>
    <col min="3" max="3" width="17.53515625" bestFit="1" customWidth="1"/>
    <col min="4" max="4" width="7.84375" bestFit="1" customWidth="1"/>
    <col min="5" max="5" width="5.4609375" bestFit="1" customWidth="1"/>
    <col min="6" max="6" width="1.84375" bestFit="1" customWidth="1"/>
    <col min="7" max="7" width="8.84375" bestFit="1" customWidth="1"/>
    <col min="8" max="8" width="8.4609375" bestFit="1" customWidth="1"/>
    <col min="9" max="9" width="6.84375" bestFit="1" customWidth="1"/>
    <col min="10" max="10" width="7.4609375" bestFit="1" customWidth="1"/>
    <col min="11" max="12" width="6.84375" bestFit="1" customWidth="1"/>
    <col min="13" max="14" width="7.84375" bestFit="1" customWidth="1"/>
    <col min="15" max="15" width="4.84375" bestFit="1" customWidth="1"/>
    <col min="16" max="16" width="6.84375" bestFit="1" customWidth="1"/>
    <col min="17" max="18" width="4.84375" bestFit="1" customWidth="1"/>
  </cols>
  <sheetData>
    <row r="1" spans="1:18" x14ac:dyDescent="0.4">
      <c r="A1" t="s">
        <v>91</v>
      </c>
      <c r="B1" t="s">
        <v>131</v>
      </c>
    </row>
    <row r="2" spans="1:18" x14ac:dyDescent="0.4">
      <c r="A2" t="s">
        <v>93</v>
      </c>
      <c r="B2" t="s">
        <v>94</v>
      </c>
    </row>
    <row r="3" spans="1:18" x14ac:dyDescent="0.4">
      <c r="A3" t="s">
        <v>95</v>
      </c>
      <c r="B3" t="s">
        <v>138</v>
      </c>
    </row>
    <row r="4" spans="1:18" x14ac:dyDescent="0.4">
      <c r="A4" t="s">
        <v>97</v>
      </c>
      <c r="B4" t="s">
        <v>98</v>
      </c>
    </row>
    <row r="5" spans="1:18" x14ac:dyDescent="0.4">
      <c r="A5" t="s">
        <v>99</v>
      </c>
    </row>
    <row r="6" spans="1:18" x14ac:dyDescent="0.4">
      <c r="A6" t="s">
        <v>100</v>
      </c>
    </row>
    <row r="7" spans="1:18" x14ac:dyDescent="0.4">
      <c r="A7" t="s">
        <v>101</v>
      </c>
    </row>
    <row r="8" spans="1:18" x14ac:dyDescent="0.4">
      <c r="A8" t="s">
        <v>93</v>
      </c>
    </row>
    <row r="9" spans="1:18" x14ac:dyDescent="0.4">
      <c r="A9" t="s">
        <v>102</v>
      </c>
    </row>
    <row r="10" spans="1:18" x14ac:dyDescent="0.4">
      <c r="A10">
        <v>4</v>
      </c>
      <c r="B10" t="s">
        <v>103</v>
      </c>
      <c r="C10" t="s">
        <v>104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105</v>
      </c>
    </row>
    <row r="11" spans="1:18" x14ac:dyDescent="0.4">
      <c r="A11">
        <v>5</v>
      </c>
      <c r="B11" t="s">
        <v>106</v>
      </c>
      <c r="C11" t="s">
        <v>104</v>
      </c>
      <c r="D11">
        <v>62.5</v>
      </c>
      <c r="E11">
        <v>37.5</v>
      </c>
      <c r="F11">
        <v>0</v>
      </c>
      <c r="G11">
        <v>62.482100000000003</v>
      </c>
      <c r="H11">
        <v>37.515999999999998</v>
      </c>
      <c r="I11">
        <v>8.2699999999999996E-2</v>
      </c>
      <c r="J11">
        <v>-1.7899999999999999E-2</v>
      </c>
      <c r="K11">
        <v>1.6E-2</v>
      </c>
      <c r="L11">
        <v>8.2699999999999996E-2</v>
      </c>
      <c r="P11">
        <v>0.17230000000000001</v>
      </c>
      <c r="Q11">
        <v>0.05</v>
      </c>
      <c r="R11" t="s">
        <v>107</v>
      </c>
    </row>
    <row r="12" spans="1:18" x14ac:dyDescent="0.4">
      <c r="A12">
        <v>6</v>
      </c>
      <c r="B12" t="s">
        <v>108</v>
      </c>
      <c r="C12" t="s">
        <v>104</v>
      </c>
      <c r="D12">
        <v>-63.5</v>
      </c>
      <c r="E12">
        <v>37.5</v>
      </c>
      <c r="F12">
        <v>0</v>
      </c>
      <c r="G12">
        <v>-63.450499999999998</v>
      </c>
      <c r="H12">
        <v>37.515999999999998</v>
      </c>
      <c r="I12">
        <v>6.83E-2</v>
      </c>
      <c r="J12">
        <v>4.9500000000000002E-2</v>
      </c>
      <c r="K12">
        <v>1.6E-2</v>
      </c>
      <c r="L12">
        <v>6.83E-2</v>
      </c>
      <c r="P12">
        <v>0.17180000000000001</v>
      </c>
      <c r="Q12">
        <v>0.05</v>
      </c>
      <c r="R12" t="s">
        <v>107</v>
      </c>
    </row>
    <row r="13" spans="1:18" x14ac:dyDescent="0.4">
      <c r="A13">
        <v>7</v>
      </c>
      <c r="B13" t="s">
        <v>109</v>
      </c>
      <c r="C13" t="s">
        <v>104</v>
      </c>
      <c r="D13">
        <v>-62.5</v>
      </c>
      <c r="E13">
        <v>-36.5</v>
      </c>
      <c r="F13">
        <v>0</v>
      </c>
      <c r="G13">
        <v>-62.478299999999997</v>
      </c>
      <c r="H13">
        <v>-36.463000000000001</v>
      </c>
      <c r="I13">
        <v>8.2900000000000001E-2</v>
      </c>
      <c r="J13">
        <v>2.1700000000000001E-2</v>
      </c>
      <c r="K13">
        <v>3.6999999999999998E-2</v>
      </c>
      <c r="L13">
        <v>8.2900000000000001E-2</v>
      </c>
      <c r="P13">
        <v>0.1867</v>
      </c>
      <c r="Q13">
        <v>0.05</v>
      </c>
      <c r="R13" t="s">
        <v>107</v>
      </c>
    </row>
    <row r="14" spans="1:18" x14ac:dyDescent="0.4">
      <c r="A14">
        <v>8</v>
      </c>
      <c r="B14" t="s">
        <v>110</v>
      </c>
      <c r="C14" t="s">
        <v>104</v>
      </c>
      <c r="D14">
        <v>61.5</v>
      </c>
      <c r="E14">
        <v>-37.5</v>
      </c>
      <c r="F14">
        <v>0</v>
      </c>
      <c r="G14">
        <v>61.4435</v>
      </c>
      <c r="H14">
        <v>-37.4649</v>
      </c>
      <c r="I14">
        <v>6.88E-2</v>
      </c>
      <c r="J14">
        <v>-5.6500000000000002E-2</v>
      </c>
      <c r="K14">
        <v>3.5099999999999999E-2</v>
      </c>
      <c r="L14">
        <v>6.88E-2</v>
      </c>
      <c r="P14">
        <v>0.19139999999999999</v>
      </c>
      <c r="Q14">
        <v>0.05</v>
      </c>
      <c r="R14" t="s">
        <v>107</v>
      </c>
    </row>
    <row r="15" spans="1:18" x14ac:dyDescent="0.4">
      <c r="A15">
        <v>9</v>
      </c>
      <c r="B15" t="s">
        <v>0</v>
      </c>
      <c r="C15" t="s">
        <v>111</v>
      </c>
      <c r="D15">
        <v>25.4</v>
      </c>
      <c r="G15">
        <v>25.3978</v>
      </c>
      <c r="J15">
        <v>-2.2000000000000001E-3</v>
      </c>
      <c r="M15">
        <v>25.5</v>
      </c>
      <c r="N15">
        <v>25.3</v>
      </c>
      <c r="O15" t="s">
        <v>105</v>
      </c>
      <c r="P15">
        <v>7.0000000000000001E-3</v>
      </c>
      <c r="Q15">
        <v>0.05</v>
      </c>
      <c r="R15" t="s">
        <v>105</v>
      </c>
    </row>
    <row r="16" spans="1:18" x14ac:dyDescent="0.4">
      <c r="A16">
        <v>10</v>
      </c>
      <c r="B16" t="s">
        <v>1</v>
      </c>
      <c r="C16" t="s">
        <v>111</v>
      </c>
      <c r="D16">
        <v>25.4</v>
      </c>
      <c r="G16">
        <v>25.4023</v>
      </c>
      <c r="J16">
        <v>2.3E-3</v>
      </c>
      <c r="M16">
        <v>25.5</v>
      </c>
      <c r="N16">
        <v>25.3</v>
      </c>
      <c r="O16" t="s">
        <v>105</v>
      </c>
      <c r="P16">
        <v>5.7999999999999996E-3</v>
      </c>
      <c r="Q16">
        <v>0.05</v>
      </c>
      <c r="R16" t="s">
        <v>105</v>
      </c>
    </row>
    <row r="17" spans="1:18" x14ac:dyDescent="0.4">
      <c r="A17">
        <v>11</v>
      </c>
      <c r="B17" t="s">
        <v>2</v>
      </c>
      <c r="C17" t="s">
        <v>111</v>
      </c>
      <c r="D17">
        <v>25.4</v>
      </c>
      <c r="G17">
        <v>25.402699999999999</v>
      </c>
      <c r="J17">
        <v>2.7000000000000001E-3</v>
      </c>
      <c r="M17">
        <v>25.5</v>
      </c>
      <c r="N17">
        <v>25.3</v>
      </c>
      <c r="O17" t="s">
        <v>105</v>
      </c>
      <c r="P17">
        <v>5.4999999999999997E-3</v>
      </c>
      <c r="Q17">
        <v>0.05</v>
      </c>
      <c r="R17" t="s">
        <v>105</v>
      </c>
    </row>
    <row r="18" spans="1:18" x14ac:dyDescent="0.4">
      <c r="A18">
        <v>12</v>
      </c>
      <c r="B18" t="s">
        <v>3</v>
      </c>
      <c r="C18" t="s">
        <v>111</v>
      </c>
      <c r="D18">
        <v>25.4</v>
      </c>
      <c r="G18">
        <v>25.405000000000001</v>
      </c>
      <c r="J18">
        <v>5.0000000000000001E-3</v>
      </c>
      <c r="M18">
        <v>25.5</v>
      </c>
      <c r="N18">
        <v>25.3</v>
      </c>
      <c r="O18" t="s">
        <v>105</v>
      </c>
      <c r="P18">
        <v>6.4999999999999997E-3</v>
      </c>
      <c r="Q18">
        <v>0.05</v>
      </c>
      <c r="R18" t="s">
        <v>105</v>
      </c>
    </row>
    <row r="19" spans="1:18" x14ac:dyDescent="0.4">
      <c r="A19">
        <v>13</v>
      </c>
      <c r="B19" t="s">
        <v>4</v>
      </c>
      <c r="C19" t="s">
        <v>111</v>
      </c>
      <c r="D19">
        <v>25.4</v>
      </c>
      <c r="G19">
        <v>25.402999999999999</v>
      </c>
      <c r="J19">
        <v>3.0000000000000001E-3</v>
      </c>
      <c r="M19">
        <v>25.5</v>
      </c>
      <c r="N19">
        <v>25.3</v>
      </c>
      <c r="O19" t="s">
        <v>105</v>
      </c>
      <c r="P19">
        <v>9.5999999999999992E-3</v>
      </c>
      <c r="Q19">
        <v>0.05</v>
      </c>
      <c r="R19" t="s">
        <v>105</v>
      </c>
    </row>
    <row r="20" spans="1:18" x14ac:dyDescent="0.4">
      <c r="A20">
        <v>14</v>
      </c>
      <c r="B20" t="s">
        <v>5</v>
      </c>
      <c r="C20" t="s">
        <v>112</v>
      </c>
      <c r="D20">
        <v>72.887</v>
      </c>
      <c r="G20">
        <v>72.879800000000003</v>
      </c>
      <c r="J20">
        <v>-7.1999999999999998E-3</v>
      </c>
      <c r="M20">
        <v>72.986999999999995</v>
      </c>
      <c r="N20">
        <v>72.787000000000006</v>
      </c>
      <c r="O20" t="s">
        <v>105</v>
      </c>
    </row>
    <row r="21" spans="1:18" x14ac:dyDescent="0.4">
      <c r="A21">
        <v>15</v>
      </c>
      <c r="B21" t="s">
        <v>6</v>
      </c>
      <c r="C21" t="s">
        <v>112</v>
      </c>
      <c r="D21">
        <v>73.745999999999995</v>
      </c>
      <c r="G21">
        <v>73.711699999999993</v>
      </c>
      <c r="J21">
        <v>-3.4299999999999997E-2</v>
      </c>
      <c r="M21">
        <v>73.846000000000004</v>
      </c>
      <c r="N21">
        <v>73.646000000000001</v>
      </c>
      <c r="O21" t="s">
        <v>105</v>
      </c>
    </row>
    <row r="22" spans="1:18" x14ac:dyDescent="0.4">
      <c r="A22">
        <v>16</v>
      </c>
      <c r="B22" t="s">
        <v>7</v>
      </c>
      <c r="C22" t="s">
        <v>112</v>
      </c>
      <c r="D22">
        <v>72.376999999999995</v>
      </c>
      <c r="G22">
        <v>72.340199999999996</v>
      </c>
      <c r="J22">
        <v>-3.6799999999999999E-2</v>
      </c>
      <c r="M22">
        <v>72.477000000000004</v>
      </c>
      <c r="N22">
        <v>72.277000000000001</v>
      </c>
      <c r="O22" t="s">
        <v>105</v>
      </c>
    </row>
    <row r="23" spans="1:18" x14ac:dyDescent="0.4">
      <c r="A23">
        <v>17</v>
      </c>
      <c r="B23" t="s">
        <v>8</v>
      </c>
      <c r="C23" t="s">
        <v>112</v>
      </c>
      <c r="D23">
        <v>72.031000000000006</v>
      </c>
      <c r="G23">
        <v>71.964699999999993</v>
      </c>
      <c r="J23">
        <v>-6.6299999999999998E-2</v>
      </c>
      <c r="M23">
        <v>72.131</v>
      </c>
      <c r="N23">
        <v>71.930999999999997</v>
      </c>
      <c r="O23" t="s">
        <v>105</v>
      </c>
    </row>
    <row r="24" spans="1:18" x14ac:dyDescent="0.4">
      <c r="A24">
        <v>18</v>
      </c>
      <c r="B24" t="s">
        <v>9</v>
      </c>
      <c r="C24" t="s">
        <v>112</v>
      </c>
      <c r="D24">
        <v>75.007000000000005</v>
      </c>
      <c r="G24">
        <v>74.988100000000003</v>
      </c>
      <c r="J24">
        <v>-1.89E-2</v>
      </c>
      <c r="M24">
        <v>75.106999999999999</v>
      </c>
      <c r="N24">
        <v>74.906999999999996</v>
      </c>
      <c r="O24" t="s">
        <v>105</v>
      </c>
    </row>
    <row r="25" spans="1:18" x14ac:dyDescent="0.4">
      <c r="A25">
        <v>19</v>
      </c>
      <c r="B25" t="s">
        <v>10</v>
      </c>
      <c r="C25" t="s">
        <v>112</v>
      </c>
      <c r="D25">
        <v>74.007000000000005</v>
      </c>
      <c r="G25">
        <v>73.985399999999998</v>
      </c>
      <c r="J25">
        <v>-2.1600000000000001E-2</v>
      </c>
      <c r="M25">
        <v>74.106999999999999</v>
      </c>
      <c r="N25">
        <v>73.906999999999996</v>
      </c>
      <c r="O25" t="s">
        <v>105</v>
      </c>
    </row>
    <row r="26" spans="1:18" x14ac:dyDescent="0.4">
      <c r="A26">
        <v>20</v>
      </c>
      <c r="B26" t="s">
        <v>11</v>
      </c>
      <c r="C26" t="s">
        <v>112</v>
      </c>
      <c r="D26">
        <v>126</v>
      </c>
      <c r="G26">
        <v>125.93259999999999</v>
      </c>
      <c r="J26">
        <v>-6.7400000000000002E-2</v>
      </c>
      <c r="M26">
        <v>126.1</v>
      </c>
      <c r="N26">
        <v>125.9</v>
      </c>
      <c r="O26" t="s">
        <v>105</v>
      </c>
    </row>
    <row r="27" spans="1:18" x14ac:dyDescent="0.4">
      <c r="A27">
        <v>21</v>
      </c>
      <c r="B27" t="s">
        <v>12</v>
      </c>
      <c r="C27" t="s">
        <v>112</v>
      </c>
      <c r="D27">
        <v>124.004</v>
      </c>
      <c r="G27">
        <v>123.9258</v>
      </c>
      <c r="J27">
        <v>-7.8200000000000006E-2</v>
      </c>
      <c r="M27">
        <v>124.104</v>
      </c>
      <c r="N27">
        <v>123.904</v>
      </c>
      <c r="O27" t="s">
        <v>105</v>
      </c>
    </row>
    <row r="28" spans="1:18" x14ac:dyDescent="0.4">
      <c r="A28">
        <v>22</v>
      </c>
      <c r="B28" t="s">
        <v>13</v>
      </c>
      <c r="C28" t="s">
        <v>112</v>
      </c>
      <c r="D28">
        <v>145.262</v>
      </c>
      <c r="G28">
        <v>145.21709999999999</v>
      </c>
      <c r="J28">
        <v>-4.4900000000000002E-2</v>
      </c>
      <c r="M28">
        <v>145.36199999999999</v>
      </c>
      <c r="N28">
        <v>145.16200000000001</v>
      </c>
      <c r="O28" t="s">
        <v>105</v>
      </c>
    </row>
    <row r="29" spans="1:18" x14ac:dyDescent="0.4">
      <c r="A29">
        <v>23</v>
      </c>
      <c r="B29" t="s">
        <v>14</v>
      </c>
      <c r="C29" t="s">
        <v>112</v>
      </c>
      <c r="D29">
        <v>145.774</v>
      </c>
      <c r="G29">
        <v>145.673</v>
      </c>
      <c r="J29">
        <v>-0.10100000000000001</v>
      </c>
      <c r="M29">
        <v>145.874</v>
      </c>
      <c r="N29">
        <v>145.67400000000001</v>
      </c>
      <c r="O29" t="s">
        <v>107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EAB85-6CC4-483A-BD95-C851DEC523E2}">
  <dimension ref="A1:R29"/>
  <sheetViews>
    <sheetView workbookViewId="0"/>
  </sheetViews>
  <sheetFormatPr defaultRowHeight="14.6" x14ac:dyDescent="0.4"/>
  <cols>
    <col min="1" max="1" width="24.23046875" bestFit="1" customWidth="1"/>
    <col min="2" max="2" width="13.921875" bestFit="1" customWidth="1"/>
    <col min="3" max="3" width="17.53515625" bestFit="1" customWidth="1"/>
    <col min="4" max="4" width="7.84375" bestFit="1" customWidth="1"/>
    <col min="5" max="5" width="5.4609375" bestFit="1" customWidth="1"/>
    <col min="6" max="6" width="1.84375" bestFit="1" customWidth="1"/>
    <col min="7" max="7" width="8.84375" bestFit="1" customWidth="1"/>
    <col min="8" max="8" width="8.4609375" bestFit="1" customWidth="1"/>
    <col min="9" max="9" width="6.84375" bestFit="1" customWidth="1"/>
    <col min="10" max="10" width="7.4609375" bestFit="1" customWidth="1"/>
    <col min="11" max="12" width="6.84375" bestFit="1" customWidth="1"/>
    <col min="13" max="14" width="7.84375" bestFit="1" customWidth="1"/>
    <col min="15" max="15" width="4.84375" bestFit="1" customWidth="1"/>
    <col min="16" max="16" width="6.84375" bestFit="1" customWidth="1"/>
    <col min="17" max="18" width="4.84375" bestFit="1" customWidth="1"/>
  </cols>
  <sheetData>
    <row r="1" spans="1:18" x14ac:dyDescent="0.4">
      <c r="A1" t="s">
        <v>91</v>
      </c>
      <c r="B1" t="s">
        <v>131</v>
      </c>
    </row>
    <row r="2" spans="1:18" x14ac:dyDescent="0.4">
      <c r="A2" t="s">
        <v>93</v>
      </c>
      <c r="B2" t="s">
        <v>94</v>
      </c>
    </row>
    <row r="3" spans="1:18" x14ac:dyDescent="0.4">
      <c r="A3" t="s">
        <v>95</v>
      </c>
      <c r="B3" t="s">
        <v>139</v>
      </c>
    </row>
    <row r="4" spans="1:18" x14ac:dyDescent="0.4">
      <c r="A4" t="s">
        <v>97</v>
      </c>
      <c r="B4" t="s">
        <v>98</v>
      </c>
    </row>
    <row r="5" spans="1:18" x14ac:dyDescent="0.4">
      <c r="A5" t="s">
        <v>99</v>
      </c>
    </row>
    <row r="6" spans="1:18" x14ac:dyDescent="0.4">
      <c r="A6" t="s">
        <v>100</v>
      </c>
    </row>
    <row r="7" spans="1:18" x14ac:dyDescent="0.4">
      <c r="A7" t="s">
        <v>101</v>
      </c>
    </row>
    <row r="8" spans="1:18" x14ac:dyDescent="0.4">
      <c r="A8" t="s">
        <v>93</v>
      </c>
    </row>
    <row r="9" spans="1:18" x14ac:dyDescent="0.4">
      <c r="A9" t="s">
        <v>102</v>
      </c>
    </row>
    <row r="10" spans="1:18" x14ac:dyDescent="0.4">
      <c r="A10">
        <v>4</v>
      </c>
      <c r="B10" t="s">
        <v>103</v>
      </c>
      <c r="C10" t="s">
        <v>104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105</v>
      </c>
    </row>
    <row r="11" spans="1:18" x14ac:dyDescent="0.4">
      <c r="A11">
        <v>5</v>
      </c>
      <c r="B11" t="s">
        <v>106</v>
      </c>
      <c r="C11" t="s">
        <v>104</v>
      </c>
      <c r="D11">
        <v>62.5</v>
      </c>
      <c r="E11">
        <v>37.5</v>
      </c>
      <c r="F11">
        <v>0</v>
      </c>
      <c r="G11">
        <v>62.481900000000003</v>
      </c>
      <c r="H11">
        <v>37.516399999999997</v>
      </c>
      <c r="I11">
        <v>8.3400000000000002E-2</v>
      </c>
      <c r="J11">
        <v>-1.8100000000000002E-2</v>
      </c>
      <c r="K11">
        <v>1.6400000000000001E-2</v>
      </c>
      <c r="L11">
        <v>8.3400000000000002E-2</v>
      </c>
      <c r="P11">
        <v>0.1739</v>
      </c>
      <c r="Q11">
        <v>0.05</v>
      </c>
      <c r="R11" t="s">
        <v>107</v>
      </c>
    </row>
    <row r="12" spans="1:18" x14ac:dyDescent="0.4">
      <c r="A12">
        <v>6</v>
      </c>
      <c r="B12" t="s">
        <v>108</v>
      </c>
      <c r="C12" t="s">
        <v>104</v>
      </c>
      <c r="D12">
        <v>-63.5</v>
      </c>
      <c r="E12">
        <v>37.5</v>
      </c>
      <c r="F12">
        <v>0</v>
      </c>
      <c r="G12">
        <v>-63.451999999999998</v>
      </c>
      <c r="H12">
        <v>37.516399999999997</v>
      </c>
      <c r="I12">
        <v>6.93E-2</v>
      </c>
      <c r="J12">
        <v>4.8000000000000001E-2</v>
      </c>
      <c r="K12">
        <v>1.6400000000000001E-2</v>
      </c>
      <c r="L12">
        <v>6.93E-2</v>
      </c>
      <c r="P12">
        <v>0.17180000000000001</v>
      </c>
      <c r="Q12">
        <v>0.05</v>
      </c>
      <c r="R12" t="s">
        <v>107</v>
      </c>
    </row>
    <row r="13" spans="1:18" x14ac:dyDescent="0.4">
      <c r="A13">
        <v>7</v>
      </c>
      <c r="B13" t="s">
        <v>109</v>
      </c>
      <c r="C13" t="s">
        <v>104</v>
      </c>
      <c r="D13">
        <v>-62.5</v>
      </c>
      <c r="E13">
        <v>-36.5</v>
      </c>
      <c r="F13">
        <v>0</v>
      </c>
      <c r="G13">
        <v>-62.478999999999999</v>
      </c>
      <c r="H13">
        <v>-36.461599999999997</v>
      </c>
      <c r="I13">
        <v>8.3599999999999994E-2</v>
      </c>
      <c r="J13">
        <v>2.1000000000000001E-2</v>
      </c>
      <c r="K13">
        <v>3.8399999999999997E-2</v>
      </c>
      <c r="L13">
        <v>8.3599999999999994E-2</v>
      </c>
      <c r="P13">
        <v>0.1888</v>
      </c>
      <c r="Q13">
        <v>0.05</v>
      </c>
      <c r="R13" t="s">
        <v>107</v>
      </c>
    </row>
    <row r="14" spans="1:18" x14ac:dyDescent="0.4">
      <c r="A14">
        <v>8</v>
      </c>
      <c r="B14" t="s">
        <v>110</v>
      </c>
      <c r="C14" t="s">
        <v>104</v>
      </c>
      <c r="D14">
        <v>61.5</v>
      </c>
      <c r="E14">
        <v>-37.5</v>
      </c>
      <c r="F14">
        <v>0</v>
      </c>
      <c r="G14">
        <v>61.442900000000002</v>
      </c>
      <c r="H14">
        <v>-37.464399999999998</v>
      </c>
      <c r="I14">
        <v>6.9800000000000001E-2</v>
      </c>
      <c r="J14">
        <v>-5.7099999999999998E-2</v>
      </c>
      <c r="K14">
        <v>3.56E-2</v>
      </c>
      <c r="L14">
        <v>6.9800000000000001E-2</v>
      </c>
      <c r="P14">
        <v>0.1938</v>
      </c>
      <c r="Q14">
        <v>0.05</v>
      </c>
      <c r="R14" t="s">
        <v>107</v>
      </c>
    </row>
    <row r="15" spans="1:18" x14ac:dyDescent="0.4">
      <c r="A15">
        <v>9</v>
      </c>
      <c r="B15" t="s">
        <v>0</v>
      </c>
      <c r="C15" t="s">
        <v>111</v>
      </c>
      <c r="D15">
        <v>25.4</v>
      </c>
      <c r="G15">
        <v>25.3996</v>
      </c>
      <c r="J15">
        <v>-4.0000000000000002E-4</v>
      </c>
      <c r="M15">
        <v>25.5</v>
      </c>
      <c r="N15">
        <v>25.3</v>
      </c>
      <c r="O15" t="s">
        <v>105</v>
      </c>
      <c r="P15">
        <v>5.8999999999999999E-3</v>
      </c>
      <c r="Q15">
        <v>0.05</v>
      </c>
      <c r="R15" t="s">
        <v>105</v>
      </c>
    </row>
    <row r="16" spans="1:18" x14ac:dyDescent="0.4">
      <c r="A16">
        <v>10</v>
      </c>
      <c r="B16" t="s">
        <v>1</v>
      </c>
      <c r="C16" t="s">
        <v>111</v>
      </c>
      <c r="D16">
        <v>25.4</v>
      </c>
      <c r="G16">
        <v>25.4025</v>
      </c>
      <c r="J16">
        <v>2.5000000000000001E-3</v>
      </c>
      <c r="M16">
        <v>25.5</v>
      </c>
      <c r="N16">
        <v>25.3</v>
      </c>
      <c r="O16" t="s">
        <v>105</v>
      </c>
      <c r="P16">
        <v>7.0000000000000001E-3</v>
      </c>
      <c r="Q16">
        <v>0.05</v>
      </c>
      <c r="R16" t="s">
        <v>105</v>
      </c>
    </row>
    <row r="17" spans="1:18" x14ac:dyDescent="0.4">
      <c r="A17">
        <v>11</v>
      </c>
      <c r="B17" t="s">
        <v>2</v>
      </c>
      <c r="C17" t="s">
        <v>111</v>
      </c>
      <c r="D17">
        <v>25.4</v>
      </c>
      <c r="G17">
        <v>25.4024</v>
      </c>
      <c r="J17">
        <v>2.3999999999999998E-3</v>
      </c>
      <c r="M17">
        <v>25.5</v>
      </c>
      <c r="N17">
        <v>25.3</v>
      </c>
      <c r="O17" t="s">
        <v>105</v>
      </c>
      <c r="P17">
        <v>5.4999999999999997E-3</v>
      </c>
      <c r="Q17">
        <v>0.05</v>
      </c>
      <c r="R17" t="s">
        <v>105</v>
      </c>
    </row>
    <row r="18" spans="1:18" x14ac:dyDescent="0.4">
      <c r="A18">
        <v>12</v>
      </c>
      <c r="B18" t="s">
        <v>3</v>
      </c>
      <c r="C18" t="s">
        <v>111</v>
      </c>
      <c r="D18">
        <v>25.4</v>
      </c>
      <c r="G18">
        <v>25.404800000000002</v>
      </c>
      <c r="J18">
        <v>4.7999999999999996E-3</v>
      </c>
      <c r="M18">
        <v>25.5</v>
      </c>
      <c r="N18">
        <v>25.3</v>
      </c>
      <c r="O18" t="s">
        <v>105</v>
      </c>
      <c r="P18">
        <v>6.3E-3</v>
      </c>
      <c r="Q18">
        <v>0.05</v>
      </c>
      <c r="R18" t="s">
        <v>105</v>
      </c>
    </row>
    <row r="19" spans="1:18" x14ac:dyDescent="0.4">
      <c r="A19">
        <v>13</v>
      </c>
      <c r="B19" t="s">
        <v>4</v>
      </c>
      <c r="C19" t="s">
        <v>111</v>
      </c>
      <c r="D19">
        <v>25.4</v>
      </c>
      <c r="G19">
        <v>25.402799999999999</v>
      </c>
      <c r="J19">
        <v>2.8E-3</v>
      </c>
      <c r="M19">
        <v>25.5</v>
      </c>
      <c r="N19">
        <v>25.3</v>
      </c>
      <c r="O19" t="s">
        <v>105</v>
      </c>
      <c r="P19">
        <v>5.1999999999999998E-3</v>
      </c>
      <c r="Q19">
        <v>0.05</v>
      </c>
      <c r="R19" t="s">
        <v>105</v>
      </c>
    </row>
    <row r="20" spans="1:18" x14ac:dyDescent="0.4">
      <c r="A20">
        <v>14</v>
      </c>
      <c r="B20" t="s">
        <v>5</v>
      </c>
      <c r="C20" t="s">
        <v>112</v>
      </c>
      <c r="D20">
        <v>72.887</v>
      </c>
      <c r="G20">
        <v>72.879900000000006</v>
      </c>
      <c r="J20">
        <v>-7.1000000000000004E-3</v>
      </c>
      <c r="M20">
        <v>72.986999999999995</v>
      </c>
      <c r="N20">
        <v>72.787000000000006</v>
      </c>
      <c r="O20" t="s">
        <v>105</v>
      </c>
    </row>
    <row r="21" spans="1:18" x14ac:dyDescent="0.4">
      <c r="A21">
        <v>15</v>
      </c>
      <c r="B21" t="s">
        <v>6</v>
      </c>
      <c r="C21" t="s">
        <v>112</v>
      </c>
      <c r="D21">
        <v>73.745999999999995</v>
      </c>
      <c r="G21">
        <v>73.713300000000004</v>
      </c>
      <c r="J21">
        <v>-3.27E-2</v>
      </c>
      <c r="M21">
        <v>73.846000000000004</v>
      </c>
      <c r="N21">
        <v>73.646000000000001</v>
      </c>
      <c r="O21" t="s">
        <v>105</v>
      </c>
    </row>
    <row r="22" spans="1:18" x14ac:dyDescent="0.4">
      <c r="A22">
        <v>16</v>
      </c>
      <c r="B22" t="s">
        <v>7</v>
      </c>
      <c r="C22" t="s">
        <v>112</v>
      </c>
      <c r="D22">
        <v>72.376999999999995</v>
      </c>
      <c r="G22">
        <v>72.34</v>
      </c>
      <c r="J22">
        <v>-3.6999999999999998E-2</v>
      </c>
      <c r="M22">
        <v>72.477000000000004</v>
      </c>
      <c r="N22">
        <v>72.277000000000001</v>
      </c>
      <c r="O22" t="s">
        <v>105</v>
      </c>
    </row>
    <row r="23" spans="1:18" x14ac:dyDescent="0.4">
      <c r="A23">
        <v>17</v>
      </c>
      <c r="B23" t="s">
        <v>8</v>
      </c>
      <c r="C23" t="s">
        <v>112</v>
      </c>
      <c r="D23">
        <v>72.031000000000006</v>
      </c>
      <c r="G23">
        <v>71.963999999999999</v>
      </c>
      <c r="J23">
        <v>-6.7000000000000004E-2</v>
      </c>
      <c r="M23">
        <v>72.131</v>
      </c>
      <c r="N23">
        <v>71.930999999999997</v>
      </c>
      <c r="O23" t="s">
        <v>105</v>
      </c>
    </row>
    <row r="24" spans="1:18" x14ac:dyDescent="0.4">
      <c r="A24">
        <v>18</v>
      </c>
      <c r="B24" t="s">
        <v>9</v>
      </c>
      <c r="C24" t="s">
        <v>112</v>
      </c>
      <c r="D24">
        <v>75.007000000000005</v>
      </c>
      <c r="G24">
        <v>74.988100000000003</v>
      </c>
      <c r="J24">
        <v>-1.89E-2</v>
      </c>
      <c r="M24">
        <v>75.106999999999999</v>
      </c>
      <c r="N24">
        <v>74.906999999999996</v>
      </c>
      <c r="O24" t="s">
        <v>105</v>
      </c>
    </row>
    <row r="25" spans="1:18" x14ac:dyDescent="0.4">
      <c r="A25">
        <v>19</v>
      </c>
      <c r="B25" t="s">
        <v>10</v>
      </c>
      <c r="C25" t="s">
        <v>112</v>
      </c>
      <c r="D25">
        <v>74.007000000000005</v>
      </c>
      <c r="G25">
        <v>73.984399999999994</v>
      </c>
      <c r="J25">
        <v>-2.2599999999999999E-2</v>
      </c>
      <c r="M25">
        <v>74.106999999999999</v>
      </c>
      <c r="N25">
        <v>73.906999999999996</v>
      </c>
      <c r="O25" t="s">
        <v>105</v>
      </c>
    </row>
    <row r="26" spans="1:18" x14ac:dyDescent="0.4">
      <c r="A26">
        <v>20</v>
      </c>
      <c r="B26" t="s">
        <v>11</v>
      </c>
      <c r="C26" t="s">
        <v>112</v>
      </c>
      <c r="D26">
        <v>126</v>
      </c>
      <c r="G26">
        <v>125.93389999999999</v>
      </c>
      <c r="J26">
        <v>-6.6100000000000006E-2</v>
      </c>
      <c r="M26">
        <v>126.1</v>
      </c>
      <c r="N26">
        <v>125.9</v>
      </c>
      <c r="O26" t="s">
        <v>105</v>
      </c>
    </row>
    <row r="27" spans="1:18" x14ac:dyDescent="0.4">
      <c r="A27">
        <v>21</v>
      </c>
      <c r="B27" t="s">
        <v>12</v>
      </c>
      <c r="C27" t="s">
        <v>112</v>
      </c>
      <c r="D27">
        <v>124.004</v>
      </c>
      <c r="G27">
        <v>123.926</v>
      </c>
      <c r="J27">
        <v>-7.8E-2</v>
      </c>
      <c r="M27">
        <v>124.104</v>
      </c>
      <c r="N27">
        <v>123.904</v>
      </c>
      <c r="O27" t="s">
        <v>105</v>
      </c>
    </row>
    <row r="28" spans="1:18" x14ac:dyDescent="0.4">
      <c r="A28">
        <v>22</v>
      </c>
      <c r="B28" t="s">
        <v>13</v>
      </c>
      <c r="C28" t="s">
        <v>112</v>
      </c>
      <c r="D28">
        <v>145.262</v>
      </c>
      <c r="G28">
        <v>145.21690000000001</v>
      </c>
      <c r="J28">
        <v>-4.5100000000000001E-2</v>
      </c>
      <c r="M28">
        <v>145.36199999999999</v>
      </c>
      <c r="N28">
        <v>145.16200000000001</v>
      </c>
      <c r="O28" t="s">
        <v>105</v>
      </c>
    </row>
    <row r="29" spans="1:18" x14ac:dyDescent="0.4">
      <c r="A29">
        <v>23</v>
      </c>
      <c r="B29" t="s">
        <v>14</v>
      </c>
      <c r="C29" t="s">
        <v>112</v>
      </c>
      <c r="D29">
        <v>145.774</v>
      </c>
      <c r="G29">
        <v>145.6739</v>
      </c>
      <c r="J29">
        <v>-0.10009999999999999</v>
      </c>
      <c r="M29">
        <v>145.874</v>
      </c>
      <c r="N29">
        <v>145.67400000000001</v>
      </c>
      <c r="O29" t="s">
        <v>107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0E52-3714-471D-B8D3-5F31E29A54A5}">
  <dimension ref="A1:R29"/>
  <sheetViews>
    <sheetView workbookViewId="0"/>
  </sheetViews>
  <sheetFormatPr defaultRowHeight="14.6" x14ac:dyDescent="0.4"/>
  <cols>
    <col min="1" max="1" width="24.23046875" bestFit="1" customWidth="1"/>
    <col min="2" max="2" width="13.921875" bestFit="1" customWidth="1"/>
    <col min="3" max="3" width="17.53515625" bestFit="1" customWidth="1"/>
    <col min="4" max="4" width="7.84375" bestFit="1" customWidth="1"/>
    <col min="5" max="5" width="5.4609375" bestFit="1" customWidth="1"/>
    <col min="6" max="6" width="1.84375" bestFit="1" customWidth="1"/>
    <col min="7" max="7" width="8.84375" bestFit="1" customWidth="1"/>
    <col min="8" max="8" width="8.4609375" bestFit="1" customWidth="1"/>
    <col min="9" max="9" width="6.84375" bestFit="1" customWidth="1"/>
    <col min="10" max="10" width="7.4609375" bestFit="1" customWidth="1"/>
    <col min="11" max="12" width="6.84375" bestFit="1" customWidth="1"/>
    <col min="13" max="14" width="7.84375" bestFit="1" customWidth="1"/>
    <col min="15" max="15" width="4.84375" bestFit="1" customWidth="1"/>
    <col min="16" max="16" width="6.84375" bestFit="1" customWidth="1"/>
    <col min="17" max="18" width="4.84375" bestFit="1" customWidth="1"/>
  </cols>
  <sheetData>
    <row r="1" spans="1:18" x14ac:dyDescent="0.4">
      <c r="A1" t="s">
        <v>91</v>
      </c>
      <c r="B1" t="s">
        <v>131</v>
      </c>
    </row>
    <row r="2" spans="1:18" x14ac:dyDescent="0.4">
      <c r="A2" t="s">
        <v>93</v>
      </c>
      <c r="B2" t="s">
        <v>94</v>
      </c>
    </row>
    <row r="3" spans="1:18" x14ac:dyDescent="0.4">
      <c r="A3" t="s">
        <v>95</v>
      </c>
      <c r="B3" t="s">
        <v>140</v>
      </c>
    </row>
    <row r="4" spans="1:18" x14ac:dyDescent="0.4">
      <c r="A4" t="s">
        <v>97</v>
      </c>
      <c r="B4" t="s">
        <v>114</v>
      </c>
    </row>
    <row r="5" spans="1:18" x14ac:dyDescent="0.4">
      <c r="A5" t="s">
        <v>99</v>
      </c>
    </row>
    <row r="6" spans="1:18" x14ac:dyDescent="0.4">
      <c r="A6" t="s">
        <v>100</v>
      </c>
    </row>
    <row r="7" spans="1:18" x14ac:dyDescent="0.4">
      <c r="A7" t="s">
        <v>101</v>
      </c>
    </row>
    <row r="8" spans="1:18" x14ac:dyDescent="0.4">
      <c r="A8" t="s">
        <v>93</v>
      </c>
    </row>
    <row r="9" spans="1:18" x14ac:dyDescent="0.4">
      <c r="A9" t="s">
        <v>102</v>
      </c>
    </row>
    <row r="10" spans="1:18" x14ac:dyDescent="0.4">
      <c r="A10">
        <v>4</v>
      </c>
      <c r="B10" t="s">
        <v>103</v>
      </c>
      <c r="C10" t="s">
        <v>104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105</v>
      </c>
    </row>
    <row r="11" spans="1:18" x14ac:dyDescent="0.4">
      <c r="A11">
        <v>5</v>
      </c>
      <c r="B11" t="s">
        <v>106</v>
      </c>
      <c r="C11" t="s">
        <v>104</v>
      </c>
      <c r="D11">
        <v>62.5</v>
      </c>
      <c r="E11">
        <v>37.5</v>
      </c>
      <c r="F11">
        <v>0</v>
      </c>
      <c r="G11">
        <v>62.482199999999999</v>
      </c>
      <c r="H11">
        <v>37.516199999999998</v>
      </c>
      <c r="I11">
        <v>8.3299999999999999E-2</v>
      </c>
      <c r="J11">
        <v>-1.78E-2</v>
      </c>
      <c r="K11">
        <v>1.6199999999999999E-2</v>
      </c>
      <c r="L11">
        <v>8.3299999999999999E-2</v>
      </c>
      <c r="P11">
        <v>0.1734</v>
      </c>
      <c r="Q11">
        <v>0.05</v>
      </c>
      <c r="R11" t="s">
        <v>107</v>
      </c>
    </row>
    <row r="12" spans="1:18" x14ac:dyDescent="0.4">
      <c r="A12">
        <v>6</v>
      </c>
      <c r="B12" t="s">
        <v>108</v>
      </c>
      <c r="C12" t="s">
        <v>104</v>
      </c>
      <c r="D12">
        <v>-63.5</v>
      </c>
      <c r="E12">
        <v>37.5</v>
      </c>
      <c r="F12">
        <v>0</v>
      </c>
      <c r="G12">
        <v>-63.451000000000001</v>
      </c>
      <c r="H12">
        <v>37.516199999999998</v>
      </c>
      <c r="I12">
        <v>6.9099999999999995E-2</v>
      </c>
      <c r="J12">
        <v>4.9000000000000002E-2</v>
      </c>
      <c r="K12">
        <v>1.6199999999999999E-2</v>
      </c>
      <c r="L12">
        <v>6.9099999999999995E-2</v>
      </c>
      <c r="P12">
        <v>0.1726</v>
      </c>
      <c r="Q12">
        <v>0.05</v>
      </c>
      <c r="R12" t="s">
        <v>107</v>
      </c>
    </row>
    <row r="13" spans="1:18" x14ac:dyDescent="0.4">
      <c r="A13">
        <v>7</v>
      </c>
      <c r="B13" t="s">
        <v>109</v>
      </c>
      <c r="C13" t="s">
        <v>104</v>
      </c>
      <c r="D13">
        <v>-62.5</v>
      </c>
      <c r="E13">
        <v>-36.5</v>
      </c>
      <c r="F13">
        <v>0</v>
      </c>
      <c r="G13">
        <v>-62.478299999999997</v>
      </c>
      <c r="H13">
        <v>-36.462600000000002</v>
      </c>
      <c r="I13">
        <v>8.3500000000000005E-2</v>
      </c>
      <c r="J13">
        <v>2.1700000000000001E-2</v>
      </c>
      <c r="K13">
        <v>3.7400000000000003E-2</v>
      </c>
      <c r="L13">
        <v>8.3500000000000005E-2</v>
      </c>
      <c r="P13">
        <v>0.188</v>
      </c>
      <c r="Q13">
        <v>0.05</v>
      </c>
      <c r="R13" t="s">
        <v>107</v>
      </c>
    </row>
    <row r="14" spans="1:18" x14ac:dyDescent="0.4">
      <c r="A14">
        <v>8</v>
      </c>
      <c r="B14" t="s">
        <v>110</v>
      </c>
      <c r="C14" t="s">
        <v>104</v>
      </c>
      <c r="D14">
        <v>61.5</v>
      </c>
      <c r="E14">
        <v>-37.5</v>
      </c>
      <c r="F14">
        <v>0</v>
      </c>
      <c r="G14">
        <v>61.442799999999998</v>
      </c>
      <c r="H14">
        <v>-37.4651</v>
      </c>
      <c r="I14">
        <v>6.9599999999999995E-2</v>
      </c>
      <c r="J14">
        <v>-5.7200000000000001E-2</v>
      </c>
      <c r="K14">
        <v>3.49E-2</v>
      </c>
      <c r="L14">
        <v>6.9599999999999995E-2</v>
      </c>
      <c r="P14">
        <v>0.19320000000000001</v>
      </c>
      <c r="Q14">
        <v>0.05</v>
      </c>
      <c r="R14" t="s">
        <v>107</v>
      </c>
    </row>
    <row r="15" spans="1:18" x14ac:dyDescent="0.4">
      <c r="A15">
        <v>9</v>
      </c>
      <c r="B15" t="s">
        <v>0</v>
      </c>
      <c r="C15" t="s">
        <v>111</v>
      </c>
      <c r="D15">
        <v>25.4</v>
      </c>
      <c r="G15">
        <v>25.3993</v>
      </c>
      <c r="J15">
        <v>-6.9999999999999999E-4</v>
      </c>
      <c r="M15">
        <v>25.5</v>
      </c>
      <c r="N15">
        <v>25.3</v>
      </c>
      <c r="O15" t="s">
        <v>105</v>
      </c>
      <c r="P15">
        <v>5.1000000000000004E-3</v>
      </c>
      <c r="Q15">
        <v>0.05</v>
      </c>
      <c r="R15" t="s">
        <v>105</v>
      </c>
    </row>
    <row r="16" spans="1:18" x14ac:dyDescent="0.4">
      <c r="A16">
        <v>10</v>
      </c>
      <c r="B16" t="s">
        <v>1</v>
      </c>
      <c r="C16" t="s">
        <v>111</v>
      </c>
      <c r="D16">
        <v>25.4</v>
      </c>
      <c r="G16">
        <v>25.403099999999998</v>
      </c>
      <c r="J16">
        <v>3.0999999999999999E-3</v>
      </c>
      <c r="M16">
        <v>25.5</v>
      </c>
      <c r="N16">
        <v>25.3</v>
      </c>
      <c r="O16" t="s">
        <v>105</v>
      </c>
      <c r="P16">
        <v>7.0000000000000001E-3</v>
      </c>
      <c r="Q16">
        <v>0.05</v>
      </c>
      <c r="R16" t="s">
        <v>105</v>
      </c>
    </row>
    <row r="17" spans="1:18" x14ac:dyDescent="0.4">
      <c r="A17">
        <v>11</v>
      </c>
      <c r="B17" t="s">
        <v>2</v>
      </c>
      <c r="C17" t="s">
        <v>111</v>
      </c>
      <c r="D17">
        <v>25.4</v>
      </c>
      <c r="G17">
        <v>25.403300000000002</v>
      </c>
      <c r="J17">
        <v>3.3E-3</v>
      </c>
      <c r="M17">
        <v>25.5</v>
      </c>
      <c r="N17">
        <v>25.3</v>
      </c>
      <c r="O17" t="s">
        <v>105</v>
      </c>
      <c r="P17">
        <v>4.7000000000000002E-3</v>
      </c>
      <c r="Q17">
        <v>0.05</v>
      </c>
      <c r="R17" t="s">
        <v>105</v>
      </c>
    </row>
    <row r="18" spans="1:18" x14ac:dyDescent="0.4">
      <c r="A18">
        <v>12</v>
      </c>
      <c r="B18" t="s">
        <v>3</v>
      </c>
      <c r="C18" t="s">
        <v>111</v>
      </c>
      <c r="D18">
        <v>25.4</v>
      </c>
      <c r="G18">
        <v>25.405100000000001</v>
      </c>
      <c r="J18">
        <v>5.1000000000000004E-3</v>
      </c>
      <c r="M18">
        <v>25.5</v>
      </c>
      <c r="N18">
        <v>25.3</v>
      </c>
      <c r="O18" t="s">
        <v>105</v>
      </c>
      <c r="P18">
        <v>7.0000000000000001E-3</v>
      </c>
      <c r="Q18">
        <v>0.05</v>
      </c>
      <c r="R18" t="s">
        <v>105</v>
      </c>
    </row>
    <row r="19" spans="1:18" x14ac:dyDescent="0.4">
      <c r="A19">
        <v>13</v>
      </c>
      <c r="B19" t="s">
        <v>4</v>
      </c>
      <c r="C19" t="s">
        <v>111</v>
      </c>
      <c r="D19">
        <v>25.4</v>
      </c>
      <c r="G19">
        <v>25.4024</v>
      </c>
      <c r="J19">
        <v>2.3999999999999998E-3</v>
      </c>
      <c r="M19">
        <v>25.5</v>
      </c>
      <c r="N19">
        <v>25.3</v>
      </c>
      <c r="O19" t="s">
        <v>105</v>
      </c>
      <c r="P19">
        <v>4.4000000000000003E-3</v>
      </c>
      <c r="Q19">
        <v>0.05</v>
      </c>
      <c r="R19" t="s">
        <v>105</v>
      </c>
    </row>
    <row r="20" spans="1:18" x14ac:dyDescent="0.4">
      <c r="A20">
        <v>14</v>
      </c>
      <c r="B20" t="s">
        <v>5</v>
      </c>
      <c r="C20" t="s">
        <v>112</v>
      </c>
      <c r="D20">
        <v>72.887</v>
      </c>
      <c r="G20">
        <v>72.88</v>
      </c>
      <c r="J20">
        <v>-7.0000000000000001E-3</v>
      </c>
      <c r="M20">
        <v>72.986999999999995</v>
      </c>
      <c r="N20">
        <v>72.787000000000006</v>
      </c>
      <c r="O20" t="s">
        <v>105</v>
      </c>
    </row>
    <row r="21" spans="1:18" x14ac:dyDescent="0.4">
      <c r="A21">
        <v>15</v>
      </c>
      <c r="B21" t="s">
        <v>6</v>
      </c>
      <c r="C21" t="s">
        <v>112</v>
      </c>
      <c r="D21">
        <v>73.745999999999995</v>
      </c>
      <c r="G21">
        <v>73.712199999999996</v>
      </c>
      <c r="J21">
        <v>-3.3799999999999997E-2</v>
      </c>
      <c r="M21">
        <v>73.846000000000004</v>
      </c>
      <c r="N21">
        <v>73.646000000000001</v>
      </c>
      <c r="O21" t="s">
        <v>105</v>
      </c>
    </row>
    <row r="22" spans="1:18" x14ac:dyDescent="0.4">
      <c r="A22">
        <v>16</v>
      </c>
      <c r="B22" t="s">
        <v>7</v>
      </c>
      <c r="C22" t="s">
        <v>112</v>
      </c>
      <c r="D22">
        <v>72.376999999999995</v>
      </c>
      <c r="G22">
        <v>72.3399</v>
      </c>
      <c r="J22">
        <v>-3.7100000000000001E-2</v>
      </c>
      <c r="M22">
        <v>72.477000000000004</v>
      </c>
      <c r="N22">
        <v>72.277000000000001</v>
      </c>
      <c r="O22" t="s">
        <v>105</v>
      </c>
    </row>
    <row r="23" spans="1:18" x14ac:dyDescent="0.4">
      <c r="A23">
        <v>17</v>
      </c>
      <c r="B23" t="s">
        <v>8</v>
      </c>
      <c r="C23" t="s">
        <v>112</v>
      </c>
      <c r="D23">
        <v>72.031000000000006</v>
      </c>
      <c r="G23">
        <v>71.964200000000005</v>
      </c>
      <c r="J23">
        <v>-6.6799999999999998E-2</v>
      </c>
      <c r="M23">
        <v>72.131</v>
      </c>
      <c r="N23">
        <v>71.930999999999997</v>
      </c>
      <c r="O23" t="s">
        <v>105</v>
      </c>
    </row>
    <row r="24" spans="1:18" x14ac:dyDescent="0.4">
      <c r="A24">
        <v>18</v>
      </c>
      <c r="B24" t="s">
        <v>9</v>
      </c>
      <c r="C24" t="s">
        <v>112</v>
      </c>
      <c r="D24">
        <v>75.007000000000005</v>
      </c>
      <c r="G24">
        <v>74.988500000000002</v>
      </c>
      <c r="J24">
        <v>-1.8499999999999999E-2</v>
      </c>
      <c r="M24">
        <v>75.106999999999999</v>
      </c>
      <c r="N24">
        <v>74.906999999999996</v>
      </c>
      <c r="O24" t="s">
        <v>105</v>
      </c>
    </row>
    <row r="25" spans="1:18" x14ac:dyDescent="0.4">
      <c r="A25">
        <v>19</v>
      </c>
      <c r="B25" t="s">
        <v>10</v>
      </c>
      <c r="C25" t="s">
        <v>112</v>
      </c>
      <c r="D25">
        <v>74.007000000000005</v>
      </c>
      <c r="G25">
        <v>73.985200000000006</v>
      </c>
      <c r="J25">
        <v>-2.18E-2</v>
      </c>
      <c r="M25">
        <v>74.106999999999999</v>
      </c>
      <c r="N25">
        <v>73.906999999999996</v>
      </c>
      <c r="O25" t="s">
        <v>105</v>
      </c>
    </row>
    <row r="26" spans="1:18" x14ac:dyDescent="0.4">
      <c r="A26">
        <v>20</v>
      </c>
      <c r="B26" t="s">
        <v>11</v>
      </c>
      <c r="C26" t="s">
        <v>112</v>
      </c>
      <c r="D26">
        <v>126</v>
      </c>
      <c r="G26">
        <v>125.9331</v>
      </c>
      <c r="J26">
        <v>-6.6900000000000001E-2</v>
      </c>
      <c r="M26">
        <v>126.1</v>
      </c>
      <c r="N26">
        <v>125.9</v>
      </c>
      <c r="O26" t="s">
        <v>105</v>
      </c>
    </row>
    <row r="27" spans="1:18" x14ac:dyDescent="0.4">
      <c r="A27">
        <v>21</v>
      </c>
      <c r="B27" t="s">
        <v>12</v>
      </c>
      <c r="C27" t="s">
        <v>112</v>
      </c>
      <c r="D27">
        <v>124.004</v>
      </c>
      <c r="G27">
        <v>123.9251</v>
      </c>
      <c r="J27">
        <v>-7.8899999999999998E-2</v>
      </c>
      <c r="M27">
        <v>124.104</v>
      </c>
      <c r="N27">
        <v>123.904</v>
      </c>
      <c r="O27" t="s">
        <v>105</v>
      </c>
    </row>
    <row r="28" spans="1:18" x14ac:dyDescent="0.4">
      <c r="A28">
        <v>22</v>
      </c>
      <c r="B28" t="s">
        <v>13</v>
      </c>
      <c r="C28" t="s">
        <v>112</v>
      </c>
      <c r="D28">
        <v>145.262</v>
      </c>
      <c r="G28">
        <v>145.21700000000001</v>
      </c>
      <c r="J28">
        <v>-4.4999999999999998E-2</v>
      </c>
      <c r="M28">
        <v>145.36199999999999</v>
      </c>
      <c r="N28">
        <v>145.16200000000001</v>
      </c>
      <c r="O28" t="s">
        <v>105</v>
      </c>
    </row>
    <row r="29" spans="1:18" x14ac:dyDescent="0.4">
      <c r="A29">
        <v>23</v>
      </c>
      <c r="B29" t="s">
        <v>14</v>
      </c>
      <c r="C29" t="s">
        <v>112</v>
      </c>
      <c r="D29">
        <v>145.774</v>
      </c>
      <c r="G29">
        <v>145.67310000000001</v>
      </c>
      <c r="J29">
        <v>-0.1009</v>
      </c>
      <c r="M29">
        <v>145.874</v>
      </c>
      <c r="N29">
        <v>145.67400000000001</v>
      </c>
      <c r="O29" t="s">
        <v>107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6EE2E-B1FC-4EA9-B652-F0C98A1CFC38}">
  <dimension ref="A1:R29"/>
  <sheetViews>
    <sheetView workbookViewId="0"/>
  </sheetViews>
  <sheetFormatPr defaultRowHeight="14.6" x14ac:dyDescent="0.4"/>
  <cols>
    <col min="1" max="1" width="24.23046875" bestFit="1" customWidth="1"/>
    <col min="2" max="2" width="13.921875" bestFit="1" customWidth="1"/>
    <col min="3" max="3" width="17.53515625" bestFit="1" customWidth="1"/>
    <col min="4" max="4" width="7.84375" bestFit="1" customWidth="1"/>
    <col min="5" max="5" width="5.4609375" bestFit="1" customWidth="1"/>
    <col min="6" max="6" width="1.84375" bestFit="1" customWidth="1"/>
    <col min="7" max="7" width="8.84375" bestFit="1" customWidth="1"/>
    <col min="8" max="8" width="8.4609375" bestFit="1" customWidth="1"/>
    <col min="9" max="9" width="6.84375" bestFit="1" customWidth="1"/>
    <col min="10" max="10" width="7.4609375" bestFit="1" customWidth="1"/>
    <col min="11" max="12" width="6.84375" bestFit="1" customWidth="1"/>
    <col min="13" max="14" width="7.84375" bestFit="1" customWidth="1"/>
    <col min="15" max="15" width="4.84375" bestFit="1" customWidth="1"/>
    <col min="16" max="16" width="6.84375" bestFit="1" customWidth="1"/>
    <col min="17" max="18" width="4.84375" bestFit="1" customWidth="1"/>
  </cols>
  <sheetData>
    <row r="1" spans="1:18" x14ac:dyDescent="0.4">
      <c r="A1" t="s">
        <v>91</v>
      </c>
      <c r="B1" t="s">
        <v>131</v>
      </c>
    </row>
    <row r="2" spans="1:18" x14ac:dyDescent="0.4">
      <c r="A2" t="s">
        <v>93</v>
      </c>
      <c r="B2" t="s">
        <v>94</v>
      </c>
    </row>
    <row r="3" spans="1:18" x14ac:dyDescent="0.4">
      <c r="A3" t="s">
        <v>95</v>
      </c>
      <c r="B3" t="s">
        <v>141</v>
      </c>
    </row>
    <row r="4" spans="1:18" x14ac:dyDescent="0.4">
      <c r="A4" t="s">
        <v>97</v>
      </c>
      <c r="B4" t="s">
        <v>98</v>
      </c>
    </row>
    <row r="5" spans="1:18" x14ac:dyDescent="0.4">
      <c r="A5" t="s">
        <v>99</v>
      </c>
    </row>
    <row r="6" spans="1:18" x14ac:dyDescent="0.4">
      <c r="A6" t="s">
        <v>100</v>
      </c>
    </row>
    <row r="7" spans="1:18" x14ac:dyDescent="0.4">
      <c r="A7" t="s">
        <v>101</v>
      </c>
    </row>
    <row r="8" spans="1:18" x14ac:dyDescent="0.4">
      <c r="A8" t="s">
        <v>93</v>
      </c>
    </row>
    <row r="9" spans="1:18" x14ac:dyDescent="0.4">
      <c r="A9" t="s">
        <v>102</v>
      </c>
    </row>
    <row r="10" spans="1:18" x14ac:dyDescent="0.4">
      <c r="A10">
        <v>4</v>
      </c>
      <c r="B10" t="s">
        <v>103</v>
      </c>
      <c r="C10" t="s">
        <v>104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105</v>
      </c>
    </row>
    <row r="11" spans="1:18" x14ac:dyDescent="0.4">
      <c r="A11">
        <v>5</v>
      </c>
      <c r="B11" t="s">
        <v>106</v>
      </c>
      <c r="C11" t="s">
        <v>104</v>
      </c>
      <c r="D11">
        <v>62.5</v>
      </c>
      <c r="E11">
        <v>37.5</v>
      </c>
      <c r="F11">
        <v>0</v>
      </c>
      <c r="G11">
        <v>62.482100000000003</v>
      </c>
      <c r="H11">
        <v>37.516199999999998</v>
      </c>
      <c r="I11">
        <v>8.2900000000000001E-2</v>
      </c>
      <c r="J11">
        <v>-1.7899999999999999E-2</v>
      </c>
      <c r="K11">
        <v>1.6199999999999999E-2</v>
      </c>
      <c r="L11">
        <v>8.2900000000000001E-2</v>
      </c>
      <c r="P11">
        <v>0.1726</v>
      </c>
      <c r="Q11">
        <v>0.05</v>
      </c>
      <c r="R11" t="s">
        <v>107</v>
      </c>
    </row>
    <row r="12" spans="1:18" x14ac:dyDescent="0.4">
      <c r="A12">
        <v>6</v>
      </c>
      <c r="B12" t="s">
        <v>108</v>
      </c>
      <c r="C12" t="s">
        <v>104</v>
      </c>
      <c r="D12">
        <v>-63.5</v>
      </c>
      <c r="E12">
        <v>37.5</v>
      </c>
      <c r="F12">
        <v>0</v>
      </c>
      <c r="G12">
        <v>-63.450400000000002</v>
      </c>
      <c r="H12">
        <v>37.516199999999998</v>
      </c>
      <c r="I12">
        <v>6.8400000000000002E-2</v>
      </c>
      <c r="J12">
        <v>4.9599999999999998E-2</v>
      </c>
      <c r="K12">
        <v>1.6199999999999999E-2</v>
      </c>
      <c r="L12">
        <v>6.8400000000000002E-2</v>
      </c>
      <c r="P12">
        <v>0.17199999999999999</v>
      </c>
      <c r="Q12">
        <v>0.05</v>
      </c>
      <c r="R12" t="s">
        <v>107</v>
      </c>
    </row>
    <row r="13" spans="1:18" x14ac:dyDescent="0.4">
      <c r="A13">
        <v>7</v>
      </c>
      <c r="B13" t="s">
        <v>109</v>
      </c>
      <c r="C13" t="s">
        <v>104</v>
      </c>
      <c r="D13">
        <v>-62.5</v>
      </c>
      <c r="E13">
        <v>-36.5</v>
      </c>
      <c r="F13">
        <v>0</v>
      </c>
      <c r="G13">
        <v>-62.477600000000002</v>
      </c>
      <c r="H13">
        <v>-36.462400000000002</v>
      </c>
      <c r="I13">
        <v>8.3099999999999993E-2</v>
      </c>
      <c r="J13">
        <v>2.24E-2</v>
      </c>
      <c r="K13">
        <v>3.7600000000000001E-2</v>
      </c>
      <c r="L13">
        <v>8.3099999999999993E-2</v>
      </c>
      <c r="P13">
        <v>0.18779999999999999</v>
      </c>
      <c r="Q13">
        <v>0.05</v>
      </c>
      <c r="R13" t="s">
        <v>107</v>
      </c>
    </row>
    <row r="14" spans="1:18" x14ac:dyDescent="0.4">
      <c r="A14">
        <v>8</v>
      </c>
      <c r="B14" t="s">
        <v>110</v>
      </c>
      <c r="C14" t="s">
        <v>104</v>
      </c>
      <c r="D14">
        <v>61.5</v>
      </c>
      <c r="E14">
        <v>-37.5</v>
      </c>
      <c r="F14">
        <v>0</v>
      </c>
      <c r="G14">
        <v>61.442799999999998</v>
      </c>
      <c r="H14">
        <v>-37.465600000000002</v>
      </c>
      <c r="I14">
        <v>6.88E-2</v>
      </c>
      <c r="J14">
        <v>-5.7200000000000001E-2</v>
      </c>
      <c r="K14">
        <v>3.44E-2</v>
      </c>
      <c r="L14">
        <v>6.88E-2</v>
      </c>
      <c r="P14">
        <v>0.19170000000000001</v>
      </c>
      <c r="Q14">
        <v>0.05</v>
      </c>
      <c r="R14" t="s">
        <v>107</v>
      </c>
    </row>
    <row r="15" spans="1:18" x14ac:dyDescent="0.4">
      <c r="A15">
        <v>9</v>
      </c>
      <c r="B15" t="s">
        <v>0</v>
      </c>
      <c r="C15" t="s">
        <v>111</v>
      </c>
      <c r="D15">
        <v>25.4</v>
      </c>
      <c r="G15">
        <v>25.399000000000001</v>
      </c>
      <c r="J15">
        <v>-1E-3</v>
      </c>
      <c r="M15">
        <v>25.5</v>
      </c>
      <c r="N15">
        <v>25.3</v>
      </c>
      <c r="O15" t="s">
        <v>105</v>
      </c>
      <c r="P15">
        <v>9.1999999999999998E-3</v>
      </c>
      <c r="Q15">
        <v>0.05</v>
      </c>
      <c r="R15" t="s">
        <v>105</v>
      </c>
    </row>
    <row r="16" spans="1:18" x14ac:dyDescent="0.4">
      <c r="A16">
        <v>10</v>
      </c>
      <c r="B16" t="s">
        <v>1</v>
      </c>
      <c r="C16" t="s">
        <v>111</v>
      </c>
      <c r="D16">
        <v>25.4</v>
      </c>
      <c r="G16">
        <v>25.402100000000001</v>
      </c>
      <c r="J16">
        <v>2.0999999999999999E-3</v>
      </c>
      <c r="M16">
        <v>25.5</v>
      </c>
      <c r="N16">
        <v>25.3</v>
      </c>
      <c r="O16" t="s">
        <v>105</v>
      </c>
      <c r="P16">
        <v>6.1000000000000004E-3</v>
      </c>
      <c r="Q16">
        <v>0.05</v>
      </c>
      <c r="R16" t="s">
        <v>105</v>
      </c>
    </row>
    <row r="17" spans="1:18" x14ac:dyDescent="0.4">
      <c r="A17">
        <v>11</v>
      </c>
      <c r="B17" t="s">
        <v>2</v>
      </c>
      <c r="C17" t="s">
        <v>111</v>
      </c>
      <c r="D17">
        <v>25.4</v>
      </c>
      <c r="G17">
        <v>25.4026</v>
      </c>
      <c r="J17">
        <v>2.5999999999999999E-3</v>
      </c>
      <c r="M17">
        <v>25.5</v>
      </c>
      <c r="N17">
        <v>25.3</v>
      </c>
      <c r="O17" t="s">
        <v>105</v>
      </c>
      <c r="P17">
        <v>6.7000000000000002E-3</v>
      </c>
      <c r="Q17">
        <v>0.05</v>
      </c>
      <c r="R17" t="s">
        <v>105</v>
      </c>
    </row>
    <row r="18" spans="1:18" x14ac:dyDescent="0.4">
      <c r="A18">
        <v>12</v>
      </c>
      <c r="B18" t="s">
        <v>3</v>
      </c>
      <c r="C18" t="s">
        <v>111</v>
      </c>
      <c r="D18">
        <v>25.4</v>
      </c>
      <c r="G18">
        <v>25.404800000000002</v>
      </c>
      <c r="J18">
        <v>4.7999999999999996E-3</v>
      </c>
      <c r="M18">
        <v>25.5</v>
      </c>
      <c r="N18">
        <v>25.3</v>
      </c>
      <c r="O18" t="s">
        <v>105</v>
      </c>
      <c r="P18">
        <v>7.4999999999999997E-3</v>
      </c>
      <c r="Q18">
        <v>0.05</v>
      </c>
      <c r="R18" t="s">
        <v>105</v>
      </c>
    </row>
    <row r="19" spans="1:18" x14ac:dyDescent="0.4">
      <c r="A19">
        <v>13</v>
      </c>
      <c r="B19" t="s">
        <v>4</v>
      </c>
      <c r="C19" t="s">
        <v>111</v>
      </c>
      <c r="D19">
        <v>25.4</v>
      </c>
      <c r="G19">
        <v>25.402899999999999</v>
      </c>
      <c r="J19">
        <v>2.8999999999999998E-3</v>
      </c>
      <c r="M19">
        <v>25.5</v>
      </c>
      <c r="N19">
        <v>25.3</v>
      </c>
      <c r="O19" t="s">
        <v>105</v>
      </c>
      <c r="P19">
        <v>8.0000000000000002E-3</v>
      </c>
      <c r="Q19">
        <v>0.05</v>
      </c>
      <c r="R19" t="s">
        <v>105</v>
      </c>
    </row>
    <row r="20" spans="1:18" x14ac:dyDescent="0.4">
      <c r="A20">
        <v>14</v>
      </c>
      <c r="B20" t="s">
        <v>5</v>
      </c>
      <c r="C20" t="s">
        <v>112</v>
      </c>
      <c r="D20">
        <v>72.887</v>
      </c>
      <c r="G20">
        <v>72.879900000000006</v>
      </c>
      <c r="J20">
        <v>-7.1000000000000004E-3</v>
      </c>
      <c r="M20">
        <v>72.986999999999995</v>
      </c>
      <c r="N20">
        <v>72.787000000000006</v>
      </c>
      <c r="O20" t="s">
        <v>105</v>
      </c>
    </row>
    <row r="21" spans="1:18" x14ac:dyDescent="0.4">
      <c r="A21">
        <v>15</v>
      </c>
      <c r="B21" t="s">
        <v>6</v>
      </c>
      <c r="C21" t="s">
        <v>112</v>
      </c>
      <c r="D21">
        <v>73.745999999999995</v>
      </c>
      <c r="G21">
        <v>73.711799999999997</v>
      </c>
      <c r="J21">
        <v>-3.4200000000000001E-2</v>
      </c>
      <c r="M21">
        <v>73.846000000000004</v>
      </c>
      <c r="N21">
        <v>73.646000000000001</v>
      </c>
      <c r="O21" t="s">
        <v>105</v>
      </c>
    </row>
    <row r="22" spans="1:18" x14ac:dyDescent="0.4">
      <c r="A22">
        <v>16</v>
      </c>
      <c r="B22" t="s">
        <v>7</v>
      </c>
      <c r="C22" t="s">
        <v>112</v>
      </c>
      <c r="D22">
        <v>72.376999999999995</v>
      </c>
      <c r="G22">
        <v>72.339200000000005</v>
      </c>
      <c r="J22">
        <v>-3.78E-2</v>
      </c>
      <c r="M22">
        <v>72.477000000000004</v>
      </c>
      <c r="N22">
        <v>72.277000000000001</v>
      </c>
      <c r="O22" t="s">
        <v>105</v>
      </c>
    </row>
    <row r="23" spans="1:18" x14ac:dyDescent="0.4">
      <c r="A23">
        <v>17</v>
      </c>
      <c r="B23" t="s">
        <v>8</v>
      </c>
      <c r="C23" t="s">
        <v>112</v>
      </c>
      <c r="D23">
        <v>72.031000000000006</v>
      </c>
      <c r="G23">
        <v>71.964600000000004</v>
      </c>
      <c r="J23">
        <v>-6.6400000000000001E-2</v>
      </c>
      <c r="M23">
        <v>72.131</v>
      </c>
      <c r="N23">
        <v>71.930999999999997</v>
      </c>
      <c r="O23" t="s">
        <v>105</v>
      </c>
    </row>
    <row r="24" spans="1:18" x14ac:dyDescent="0.4">
      <c r="A24">
        <v>18</v>
      </c>
      <c r="B24" t="s">
        <v>9</v>
      </c>
      <c r="C24" t="s">
        <v>112</v>
      </c>
      <c r="D24">
        <v>75.007000000000005</v>
      </c>
      <c r="G24">
        <v>74.989000000000004</v>
      </c>
      <c r="J24">
        <v>-1.7999999999999999E-2</v>
      </c>
      <c r="M24">
        <v>75.106999999999999</v>
      </c>
      <c r="N24">
        <v>74.906999999999996</v>
      </c>
      <c r="O24" t="s">
        <v>105</v>
      </c>
    </row>
    <row r="25" spans="1:18" x14ac:dyDescent="0.4">
      <c r="A25">
        <v>19</v>
      </c>
      <c r="B25" t="s">
        <v>10</v>
      </c>
      <c r="C25" t="s">
        <v>112</v>
      </c>
      <c r="D25">
        <v>74.007000000000005</v>
      </c>
      <c r="G25">
        <v>73.984899999999996</v>
      </c>
      <c r="J25">
        <v>-2.2100000000000002E-2</v>
      </c>
      <c r="M25">
        <v>74.106999999999999</v>
      </c>
      <c r="N25">
        <v>73.906999999999996</v>
      </c>
      <c r="O25" t="s">
        <v>105</v>
      </c>
    </row>
    <row r="26" spans="1:18" x14ac:dyDescent="0.4">
      <c r="A26">
        <v>20</v>
      </c>
      <c r="B26" t="s">
        <v>11</v>
      </c>
      <c r="C26" t="s">
        <v>112</v>
      </c>
      <c r="D26">
        <v>126</v>
      </c>
      <c r="G26">
        <v>125.9325</v>
      </c>
      <c r="J26">
        <v>-6.7500000000000004E-2</v>
      </c>
      <c r="M26">
        <v>126.1</v>
      </c>
      <c r="N26">
        <v>125.9</v>
      </c>
      <c r="O26" t="s">
        <v>105</v>
      </c>
    </row>
    <row r="27" spans="1:18" x14ac:dyDescent="0.4">
      <c r="A27">
        <v>21</v>
      </c>
      <c r="B27" t="s">
        <v>12</v>
      </c>
      <c r="C27" t="s">
        <v>112</v>
      </c>
      <c r="D27">
        <v>124.004</v>
      </c>
      <c r="G27">
        <v>123.9246</v>
      </c>
      <c r="J27">
        <v>-7.9399999999999998E-2</v>
      </c>
      <c r="M27">
        <v>124.104</v>
      </c>
      <c r="N27">
        <v>123.904</v>
      </c>
      <c r="O27" t="s">
        <v>105</v>
      </c>
    </row>
    <row r="28" spans="1:18" x14ac:dyDescent="0.4">
      <c r="A28">
        <v>22</v>
      </c>
      <c r="B28" t="s">
        <v>13</v>
      </c>
      <c r="C28" t="s">
        <v>112</v>
      </c>
      <c r="D28">
        <v>145.262</v>
      </c>
      <c r="G28">
        <v>145.21619999999999</v>
      </c>
      <c r="J28">
        <v>-4.58E-2</v>
      </c>
      <c r="M28">
        <v>145.36199999999999</v>
      </c>
      <c r="N28">
        <v>145.16200000000001</v>
      </c>
      <c r="O28" t="s">
        <v>105</v>
      </c>
    </row>
    <row r="29" spans="1:18" x14ac:dyDescent="0.4">
      <c r="A29">
        <v>23</v>
      </c>
      <c r="B29" t="s">
        <v>14</v>
      </c>
      <c r="C29" t="s">
        <v>112</v>
      </c>
      <c r="D29">
        <v>145.774</v>
      </c>
      <c r="G29">
        <v>145.6729</v>
      </c>
      <c r="J29">
        <v>-0.1011</v>
      </c>
      <c r="M29">
        <v>145.874</v>
      </c>
      <c r="N29">
        <v>145.67400000000001</v>
      </c>
      <c r="O29" t="s">
        <v>107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25B89-DCD1-44A7-9B61-129AB5D93F51}">
  <dimension ref="A1:R29"/>
  <sheetViews>
    <sheetView workbookViewId="0"/>
  </sheetViews>
  <sheetFormatPr defaultRowHeight="14.6" x14ac:dyDescent="0.4"/>
  <cols>
    <col min="1" max="1" width="24.23046875" bestFit="1" customWidth="1"/>
    <col min="2" max="2" width="13.921875" bestFit="1" customWidth="1"/>
    <col min="3" max="3" width="17.53515625" bestFit="1" customWidth="1"/>
    <col min="4" max="4" width="7.84375" bestFit="1" customWidth="1"/>
    <col min="5" max="5" width="5.4609375" bestFit="1" customWidth="1"/>
    <col min="6" max="6" width="1.84375" bestFit="1" customWidth="1"/>
    <col min="7" max="7" width="8.84375" bestFit="1" customWidth="1"/>
    <col min="8" max="8" width="8.4609375" bestFit="1" customWidth="1"/>
    <col min="9" max="9" width="6.84375" bestFit="1" customWidth="1"/>
    <col min="10" max="10" width="7.4609375" bestFit="1" customWidth="1"/>
    <col min="11" max="12" width="6.84375" bestFit="1" customWidth="1"/>
    <col min="13" max="14" width="7.84375" bestFit="1" customWidth="1"/>
    <col min="15" max="15" width="4.84375" bestFit="1" customWidth="1"/>
    <col min="16" max="16" width="6.84375" bestFit="1" customWidth="1"/>
    <col min="17" max="18" width="4.84375" bestFit="1" customWidth="1"/>
  </cols>
  <sheetData>
    <row r="1" spans="1:18" x14ac:dyDescent="0.4">
      <c r="A1" t="s">
        <v>91</v>
      </c>
      <c r="B1" t="s">
        <v>131</v>
      </c>
    </row>
    <row r="2" spans="1:18" x14ac:dyDescent="0.4">
      <c r="A2" t="s">
        <v>93</v>
      </c>
      <c r="B2" t="s">
        <v>94</v>
      </c>
    </row>
    <row r="3" spans="1:18" x14ac:dyDescent="0.4">
      <c r="A3" t="s">
        <v>95</v>
      </c>
      <c r="B3" t="s">
        <v>142</v>
      </c>
    </row>
    <row r="4" spans="1:18" x14ac:dyDescent="0.4">
      <c r="A4" t="s">
        <v>97</v>
      </c>
      <c r="B4" t="s">
        <v>98</v>
      </c>
    </row>
    <row r="5" spans="1:18" x14ac:dyDescent="0.4">
      <c r="A5" t="s">
        <v>99</v>
      </c>
    </row>
    <row r="6" spans="1:18" x14ac:dyDescent="0.4">
      <c r="A6" t="s">
        <v>100</v>
      </c>
    </row>
    <row r="7" spans="1:18" x14ac:dyDescent="0.4">
      <c r="A7" t="s">
        <v>101</v>
      </c>
    </row>
    <row r="8" spans="1:18" x14ac:dyDescent="0.4">
      <c r="A8" t="s">
        <v>93</v>
      </c>
    </row>
    <row r="9" spans="1:18" x14ac:dyDescent="0.4">
      <c r="A9" t="s">
        <v>102</v>
      </c>
    </row>
    <row r="10" spans="1:18" x14ac:dyDescent="0.4">
      <c r="A10">
        <v>4</v>
      </c>
      <c r="B10" t="s">
        <v>103</v>
      </c>
      <c r="C10" t="s">
        <v>104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105</v>
      </c>
    </row>
    <row r="11" spans="1:18" x14ac:dyDescent="0.4">
      <c r="A11">
        <v>5</v>
      </c>
      <c r="B11" t="s">
        <v>106</v>
      </c>
      <c r="C11" t="s">
        <v>104</v>
      </c>
      <c r="D11">
        <v>62.5</v>
      </c>
      <c r="E11">
        <v>37.5</v>
      </c>
      <c r="F11">
        <v>0</v>
      </c>
      <c r="G11">
        <v>62.483199999999997</v>
      </c>
      <c r="H11">
        <v>37.516599999999997</v>
      </c>
      <c r="I11">
        <v>8.3099999999999993E-2</v>
      </c>
      <c r="J11">
        <v>-1.6799999999999999E-2</v>
      </c>
      <c r="K11">
        <v>1.66E-2</v>
      </c>
      <c r="L11">
        <v>8.3099999999999993E-2</v>
      </c>
      <c r="P11">
        <v>0.17280000000000001</v>
      </c>
      <c r="Q11">
        <v>0.05</v>
      </c>
      <c r="R11" t="s">
        <v>107</v>
      </c>
    </row>
    <row r="12" spans="1:18" x14ac:dyDescent="0.4">
      <c r="A12">
        <v>6</v>
      </c>
      <c r="B12" t="s">
        <v>108</v>
      </c>
      <c r="C12" t="s">
        <v>104</v>
      </c>
      <c r="D12">
        <v>-63.5</v>
      </c>
      <c r="E12">
        <v>37.5</v>
      </c>
      <c r="F12">
        <v>0</v>
      </c>
      <c r="G12">
        <v>-63.449800000000003</v>
      </c>
      <c r="H12">
        <v>37.516599999999997</v>
      </c>
      <c r="I12">
        <v>6.9099999999999995E-2</v>
      </c>
      <c r="J12">
        <v>5.0200000000000002E-2</v>
      </c>
      <c r="K12">
        <v>1.66E-2</v>
      </c>
      <c r="L12">
        <v>6.9099999999999995E-2</v>
      </c>
      <c r="P12">
        <v>0.17399999999999999</v>
      </c>
      <c r="Q12">
        <v>0.05</v>
      </c>
      <c r="R12" t="s">
        <v>107</v>
      </c>
    </row>
    <row r="13" spans="1:18" x14ac:dyDescent="0.4">
      <c r="A13">
        <v>7</v>
      </c>
      <c r="B13" t="s">
        <v>109</v>
      </c>
      <c r="C13" t="s">
        <v>104</v>
      </c>
      <c r="D13">
        <v>-62.5</v>
      </c>
      <c r="E13">
        <v>-36.5</v>
      </c>
      <c r="F13">
        <v>0</v>
      </c>
      <c r="G13">
        <v>-62.477899999999998</v>
      </c>
      <c r="H13">
        <v>-36.462000000000003</v>
      </c>
      <c r="I13">
        <v>8.3299999999999999E-2</v>
      </c>
      <c r="J13">
        <v>2.2100000000000002E-2</v>
      </c>
      <c r="K13">
        <v>3.7999999999999999E-2</v>
      </c>
      <c r="L13">
        <v>8.3299999999999999E-2</v>
      </c>
      <c r="P13">
        <v>0.18840000000000001</v>
      </c>
      <c r="Q13">
        <v>0.05</v>
      </c>
      <c r="R13" t="s">
        <v>107</v>
      </c>
    </row>
    <row r="14" spans="1:18" x14ac:dyDescent="0.4">
      <c r="A14">
        <v>8</v>
      </c>
      <c r="B14" t="s">
        <v>110</v>
      </c>
      <c r="C14" t="s">
        <v>104</v>
      </c>
      <c r="D14">
        <v>61.5</v>
      </c>
      <c r="E14">
        <v>-37.5</v>
      </c>
      <c r="F14">
        <v>0</v>
      </c>
      <c r="G14">
        <v>61.443899999999999</v>
      </c>
      <c r="H14">
        <v>-37.464599999999997</v>
      </c>
      <c r="I14">
        <v>6.9599999999999995E-2</v>
      </c>
      <c r="J14">
        <v>-5.6099999999999997E-2</v>
      </c>
      <c r="K14">
        <v>3.5400000000000001E-2</v>
      </c>
      <c r="L14">
        <v>6.9599999999999995E-2</v>
      </c>
      <c r="P14">
        <v>0.19220000000000001</v>
      </c>
      <c r="Q14">
        <v>0.05</v>
      </c>
      <c r="R14" t="s">
        <v>107</v>
      </c>
    </row>
    <row r="15" spans="1:18" x14ac:dyDescent="0.4">
      <c r="A15">
        <v>9</v>
      </c>
      <c r="B15" t="s">
        <v>0</v>
      </c>
      <c r="C15" t="s">
        <v>111</v>
      </c>
      <c r="D15">
        <v>25.4</v>
      </c>
      <c r="G15">
        <v>25.398599999999998</v>
      </c>
      <c r="J15">
        <v>-1.4E-3</v>
      </c>
      <c r="M15">
        <v>25.5</v>
      </c>
      <c r="N15">
        <v>25.3</v>
      </c>
      <c r="O15" t="s">
        <v>105</v>
      </c>
      <c r="P15">
        <v>6.0000000000000001E-3</v>
      </c>
      <c r="Q15">
        <v>0.05</v>
      </c>
      <c r="R15" t="s">
        <v>105</v>
      </c>
    </row>
    <row r="16" spans="1:18" x14ac:dyDescent="0.4">
      <c r="A16">
        <v>10</v>
      </c>
      <c r="B16" t="s">
        <v>1</v>
      </c>
      <c r="C16" t="s">
        <v>111</v>
      </c>
      <c r="D16">
        <v>25.4</v>
      </c>
      <c r="G16">
        <v>25.402799999999999</v>
      </c>
      <c r="J16">
        <v>2.8E-3</v>
      </c>
      <c r="M16">
        <v>25.5</v>
      </c>
      <c r="N16">
        <v>25.3</v>
      </c>
      <c r="O16" t="s">
        <v>105</v>
      </c>
      <c r="P16">
        <v>5.7000000000000002E-3</v>
      </c>
      <c r="Q16">
        <v>0.05</v>
      </c>
      <c r="R16" t="s">
        <v>105</v>
      </c>
    </row>
    <row r="17" spans="1:18" x14ac:dyDescent="0.4">
      <c r="A17">
        <v>11</v>
      </c>
      <c r="B17" t="s">
        <v>2</v>
      </c>
      <c r="C17" t="s">
        <v>111</v>
      </c>
      <c r="D17">
        <v>25.4</v>
      </c>
      <c r="G17">
        <v>25.4025</v>
      </c>
      <c r="J17">
        <v>2.5000000000000001E-3</v>
      </c>
      <c r="M17">
        <v>25.5</v>
      </c>
      <c r="N17">
        <v>25.3</v>
      </c>
      <c r="O17" t="s">
        <v>105</v>
      </c>
      <c r="P17">
        <v>5.4999999999999997E-3</v>
      </c>
      <c r="Q17">
        <v>0.05</v>
      </c>
      <c r="R17" t="s">
        <v>105</v>
      </c>
    </row>
    <row r="18" spans="1:18" x14ac:dyDescent="0.4">
      <c r="A18">
        <v>12</v>
      </c>
      <c r="B18" t="s">
        <v>3</v>
      </c>
      <c r="C18" t="s">
        <v>111</v>
      </c>
      <c r="D18">
        <v>25.4</v>
      </c>
      <c r="G18">
        <v>25.405100000000001</v>
      </c>
      <c r="J18">
        <v>5.1000000000000004E-3</v>
      </c>
      <c r="M18">
        <v>25.5</v>
      </c>
      <c r="N18">
        <v>25.3</v>
      </c>
      <c r="O18" t="s">
        <v>105</v>
      </c>
      <c r="P18">
        <v>5.5999999999999999E-3</v>
      </c>
      <c r="Q18">
        <v>0.05</v>
      </c>
      <c r="R18" t="s">
        <v>105</v>
      </c>
    </row>
    <row r="19" spans="1:18" x14ac:dyDescent="0.4">
      <c r="A19">
        <v>13</v>
      </c>
      <c r="B19" t="s">
        <v>4</v>
      </c>
      <c r="C19" t="s">
        <v>111</v>
      </c>
      <c r="D19">
        <v>25.4</v>
      </c>
      <c r="G19">
        <v>25.402699999999999</v>
      </c>
      <c r="J19">
        <v>2.7000000000000001E-3</v>
      </c>
      <c r="M19">
        <v>25.5</v>
      </c>
      <c r="N19">
        <v>25.3</v>
      </c>
      <c r="O19" t="s">
        <v>105</v>
      </c>
      <c r="P19">
        <v>7.6E-3</v>
      </c>
      <c r="Q19">
        <v>0.05</v>
      </c>
      <c r="R19" t="s">
        <v>105</v>
      </c>
    </row>
    <row r="20" spans="1:18" x14ac:dyDescent="0.4">
      <c r="A20">
        <v>14</v>
      </c>
      <c r="B20" t="s">
        <v>5</v>
      </c>
      <c r="C20" t="s">
        <v>112</v>
      </c>
      <c r="D20">
        <v>72.887</v>
      </c>
      <c r="G20">
        <v>72.881100000000004</v>
      </c>
      <c r="J20">
        <v>-5.8999999999999999E-3</v>
      </c>
      <c r="M20">
        <v>72.986999999999995</v>
      </c>
      <c r="N20">
        <v>72.787000000000006</v>
      </c>
      <c r="O20" t="s">
        <v>105</v>
      </c>
    </row>
    <row r="21" spans="1:18" x14ac:dyDescent="0.4">
      <c r="A21">
        <v>15</v>
      </c>
      <c r="B21" t="s">
        <v>6</v>
      </c>
      <c r="C21" t="s">
        <v>112</v>
      </c>
      <c r="D21">
        <v>73.745999999999995</v>
      </c>
      <c r="G21">
        <v>73.711500000000001</v>
      </c>
      <c r="J21">
        <v>-3.4500000000000003E-2</v>
      </c>
      <c r="M21">
        <v>73.846000000000004</v>
      </c>
      <c r="N21">
        <v>73.646000000000001</v>
      </c>
      <c r="O21" t="s">
        <v>105</v>
      </c>
    </row>
    <row r="22" spans="1:18" x14ac:dyDescent="0.4">
      <c r="A22">
        <v>16</v>
      </c>
      <c r="B22" t="s">
        <v>7</v>
      </c>
      <c r="C22" t="s">
        <v>112</v>
      </c>
      <c r="D22">
        <v>72.376999999999995</v>
      </c>
      <c r="G22">
        <v>72.339200000000005</v>
      </c>
      <c r="J22">
        <v>-3.78E-2</v>
      </c>
      <c r="M22">
        <v>72.477000000000004</v>
      </c>
      <c r="N22">
        <v>72.277000000000001</v>
      </c>
      <c r="O22" t="s">
        <v>105</v>
      </c>
    </row>
    <row r="23" spans="1:18" x14ac:dyDescent="0.4">
      <c r="A23">
        <v>17</v>
      </c>
      <c r="B23" t="s">
        <v>8</v>
      </c>
      <c r="C23" t="s">
        <v>112</v>
      </c>
      <c r="D23">
        <v>72.031000000000006</v>
      </c>
      <c r="G23">
        <v>71.965000000000003</v>
      </c>
      <c r="J23">
        <v>-6.6000000000000003E-2</v>
      </c>
      <c r="M23">
        <v>72.131</v>
      </c>
      <c r="N23">
        <v>71.930999999999997</v>
      </c>
      <c r="O23" t="s">
        <v>105</v>
      </c>
    </row>
    <row r="24" spans="1:18" x14ac:dyDescent="0.4">
      <c r="A24">
        <v>18</v>
      </c>
      <c r="B24" t="s">
        <v>9</v>
      </c>
      <c r="C24" t="s">
        <v>112</v>
      </c>
      <c r="D24">
        <v>75.007000000000005</v>
      </c>
      <c r="G24">
        <v>74.988299999999995</v>
      </c>
      <c r="J24">
        <v>-1.8700000000000001E-2</v>
      </c>
      <c r="M24">
        <v>75.106999999999999</v>
      </c>
      <c r="N24">
        <v>74.906999999999996</v>
      </c>
      <c r="O24" t="s">
        <v>105</v>
      </c>
    </row>
    <row r="25" spans="1:18" x14ac:dyDescent="0.4">
      <c r="A25">
        <v>19</v>
      </c>
      <c r="B25" t="s">
        <v>10</v>
      </c>
      <c r="C25" t="s">
        <v>112</v>
      </c>
      <c r="D25">
        <v>74.007000000000005</v>
      </c>
      <c r="G25">
        <v>73.984899999999996</v>
      </c>
      <c r="J25">
        <v>-2.2100000000000002E-2</v>
      </c>
      <c r="M25">
        <v>74.106999999999999</v>
      </c>
      <c r="N25">
        <v>73.906999999999996</v>
      </c>
      <c r="O25" t="s">
        <v>105</v>
      </c>
    </row>
    <row r="26" spans="1:18" x14ac:dyDescent="0.4">
      <c r="A26">
        <v>20</v>
      </c>
      <c r="B26" t="s">
        <v>11</v>
      </c>
      <c r="C26" t="s">
        <v>112</v>
      </c>
      <c r="D26">
        <v>126</v>
      </c>
      <c r="G26">
        <v>125.93300000000001</v>
      </c>
      <c r="J26">
        <v>-6.7000000000000004E-2</v>
      </c>
      <c r="M26">
        <v>126.1</v>
      </c>
      <c r="N26">
        <v>125.9</v>
      </c>
      <c r="O26" t="s">
        <v>105</v>
      </c>
    </row>
    <row r="27" spans="1:18" x14ac:dyDescent="0.4">
      <c r="A27">
        <v>21</v>
      </c>
      <c r="B27" t="s">
        <v>12</v>
      </c>
      <c r="C27" t="s">
        <v>112</v>
      </c>
      <c r="D27">
        <v>124.004</v>
      </c>
      <c r="G27">
        <v>123.9258</v>
      </c>
      <c r="J27">
        <v>-7.8200000000000006E-2</v>
      </c>
      <c r="M27">
        <v>124.104</v>
      </c>
      <c r="N27">
        <v>123.904</v>
      </c>
      <c r="O27" t="s">
        <v>105</v>
      </c>
    </row>
    <row r="28" spans="1:18" x14ac:dyDescent="0.4">
      <c r="A28">
        <v>22</v>
      </c>
      <c r="B28" t="s">
        <v>13</v>
      </c>
      <c r="C28" t="s">
        <v>112</v>
      </c>
      <c r="D28">
        <v>145.262</v>
      </c>
      <c r="G28">
        <v>145.2174</v>
      </c>
      <c r="J28">
        <v>-4.4600000000000001E-2</v>
      </c>
      <c r="M28">
        <v>145.36199999999999</v>
      </c>
      <c r="N28">
        <v>145.16200000000001</v>
      </c>
      <c r="O28" t="s">
        <v>105</v>
      </c>
    </row>
    <row r="29" spans="1:18" x14ac:dyDescent="0.4">
      <c r="A29">
        <v>23</v>
      </c>
      <c r="B29" t="s">
        <v>14</v>
      </c>
      <c r="C29" t="s">
        <v>112</v>
      </c>
      <c r="D29">
        <v>145.774</v>
      </c>
      <c r="G29">
        <v>145.673</v>
      </c>
      <c r="J29">
        <v>-0.10100000000000001</v>
      </c>
      <c r="M29">
        <v>145.874</v>
      </c>
      <c r="N29">
        <v>145.67400000000001</v>
      </c>
      <c r="O29" t="s">
        <v>107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8773C-FCC8-454C-8C3B-35BA683D4BE3}">
  <dimension ref="A1:R29"/>
  <sheetViews>
    <sheetView workbookViewId="0"/>
  </sheetViews>
  <sheetFormatPr defaultRowHeight="14.6" x14ac:dyDescent="0.4"/>
  <cols>
    <col min="1" max="1" width="24.23046875" bestFit="1" customWidth="1"/>
    <col min="2" max="2" width="13.921875" bestFit="1" customWidth="1"/>
    <col min="3" max="3" width="17.53515625" bestFit="1" customWidth="1"/>
    <col min="4" max="4" width="7.84375" bestFit="1" customWidth="1"/>
    <col min="5" max="5" width="5.4609375" bestFit="1" customWidth="1"/>
    <col min="6" max="6" width="1.84375" bestFit="1" customWidth="1"/>
    <col min="7" max="7" width="8.84375" bestFit="1" customWidth="1"/>
    <col min="8" max="8" width="8.4609375" bestFit="1" customWidth="1"/>
    <col min="9" max="9" width="6.84375" bestFit="1" customWidth="1"/>
    <col min="10" max="10" width="7.4609375" bestFit="1" customWidth="1"/>
    <col min="11" max="12" width="6.84375" bestFit="1" customWidth="1"/>
    <col min="13" max="14" width="7.84375" bestFit="1" customWidth="1"/>
    <col min="15" max="15" width="4.84375" bestFit="1" customWidth="1"/>
    <col min="16" max="16" width="6.84375" bestFit="1" customWidth="1"/>
    <col min="17" max="18" width="4.84375" bestFit="1" customWidth="1"/>
  </cols>
  <sheetData>
    <row r="1" spans="1:18" x14ac:dyDescent="0.4">
      <c r="A1" t="s">
        <v>91</v>
      </c>
      <c r="B1" t="s">
        <v>131</v>
      </c>
    </row>
    <row r="2" spans="1:18" x14ac:dyDescent="0.4">
      <c r="A2" t="s">
        <v>93</v>
      </c>
      <c r="B2" t="s">
        <v>94</v>
      </c>
    </row>
    <row r="3" spans="1:18" x14ac:dyDescent="0.4">
      <c r="A3" t="s">
        <v>95</v>
      </c>
      <c r="B3" t="s">
        <v>143</v>
      </c>
    </row>
    <row r="4" spans="1:18" x14ac:dyDescent="0.4">
      <c r="A4" t="s">
        <v>97</v>
      </c>
      <c r="B4" t="s">
        <v>114</v>
      </c>
    </row>
    <row r="5" spans="1:18" x14ac:dyDescent="0.4">
      <c r="A5" t="s">
        <v>99</v>
      </c>
    </row>
    <row r="6" spans="1:18" x14ac:dyDescent="0.4">
      <c r="A6" t="s">
        <v>100</v>
      </c>
    </row>
    <row r="7" spans="1:18" x14ac:dyDescent="0.4">
      <c r="A7" t="s">
        <v>101</v>
      </c>
    </row>
    <row r="8" spans="1:18" x14ac:dyDescent="0.4">
      <c r="A8" t="s">
        <v>93</v>
      </c>
    </row>
    <row r="9" spans="1:18" x14ac:dyDescent="0.4">
      <c r="A9" t="s">
        <v>102</v>
      </c>
    </row>
    <row r="10" spans="1:18" x14ac:dyDescent="0.4">
      <c r="A10">
        <v>4</v>
      </c>
      <c r="B10" t="s">
        <v>103</v>
      </c>
      <c r="C10" t="s">
        <v>104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105</v>
      </c>
    </row>
    <row r="11" spans="1:18" x14ac:dyDescent="0.4">
      <c r="A11">
        <v>5</v>
      </c>
      <c r="B11" t="s">
        <v>106</v>
      </c>
      <c r="C11" t="s">
        <v>104</v>
      </c>
      <c r="D11">
        <v>62.5</v>
      </c>
      <c r="E11">
        <v>37.5</v>
      </c>
      <c r="F11">
        <v>0</v>
      </c>
      <c r="G11">
        <v>62.4831</v>
      </c>
      <c r="H11">
        <v>37.516100000000002</v>
      </c>
      <c r="I11">
        <v>8.2500000000000004E-2</v>
      </c>
      <c r="J11">
        <v>-1.6899999999999998E-2</v>
      </c>
      <c r="K11">
        <v>1.61E-2</v>
      </c>
      <c r="L11">
        <v>8.2500000000000004E-2</v>
      </c>
      <c r="P11">
        <v>0.1714</v>
      </c>
      <c r="Q11">
        <v>0.05</v>
      </c>
      <c r="R11" t="s">
        <v>107</v>
      </c>
    </row>
    <row r="12" spans="1:18" x14ac:dyDescent="0.4">
      <c r="A12">
        <v>6</v>
      </c>
      <c r="B12" t="s">
        <v>108</v>
      </c>
      <c r="C12" t="s">
        <v>104</v>
      </c>
      <c r="D12">
        <v>-63.5</v>
      </c>
      <c r="E12">
        <v>37.5</v>
      </c>
      <c r="F12">
        <v>0</v>
      </c>
      <c r="G12">
        <v>-63.4499</v>
      </c>
      <c r="H12">
        <v>37.516100000000002</v>
      </c>
      <c r="I12">
        <v>6.8900000000000003E-2</v>
      </c>
      <c r="J12">
        <v>5.0099999999999999E-2</v>
      </c>
      <c r="K12">
        <v>1.61E-2</v>
      </c>
      <c r="L12">
        <v>6.8900000000000003E-2</v>
      </c>
      <c r="P12">
        <v>0.1734</v>
      </c>
      <c r="Q12">
        <v>0.05</v>
      </c>
      <c r="R12" t="s">
        <v>107</v>
      </c>
    </row>
    <row r="13" spans="1:18" x14ac:dyDescent="0.4">
      <c r="A13">
        <v>7</v>
      </c>
      <c r="B13" t="s">
        <v>109</v>
      </c>
      <c r="C13" t="s">
        <v>104</v>
      </c>
      <c r="D13">
        <v>-62.5</v>
      </c>
      <c r="E13">
        <v>-36.5</v>
      </c>
      <c r="F13">
        <v>0</v>
      </c>
      <c r="G13">
        <v>-62.476799999999997</v>
      </c>
      <c r="H13">
        <v>-36.462699999999998</v>
      </c>
      <c r="I13">
        <v>8.2699999999999996E-2</v>
      </c>
      <c r="J13">
        <v>2.3199999999999998E-2</v>
      </c>
      <c r="K13">
        <v>3.73E-2</v>
      </c>
      <c r="L13">
        <v>8.2699999999999996E-2</v>
      </c>
      <c r="P13">
        <v>0.18720000000000001</v>
      </c>
      <c r="Q13">
        <v>0.05</v>
      </c>
      <c r="R13" t="s">
        <v>107</v>
      </c>
    </row>
    <row r="14" spans="1:18" x14ac:dyDescent="0.4">
      <c r="A14">
        <v>8</v>
      </c>
      <c r="B14" t="s">
        <v>110</v>
      </c>
      <c r="C14" t="s">
        <v>104</v>
      </c>
      <c r="D14">
        <v>61.5</v>
      </c>
      <c r="E14">
        <v>-37.5</v>
      </c>
      <c r="F14">
        <v>0</v>
      </c>
      <c r="G14">
        <v>61.4435</v>
      </c>
      <c r="H14">
        <v>-37.464799999999997</v>
      </c>
      <c r="I14">
        <v>6.9400000000000003E-2</v>
      </c>
      <c r="J14">
        <v>-5.6500000000000002E-2</v>
      </c>
      <c r="K14">
        <v>3.5200000000000002E-2</v>
      </c>
      <c r="L14">
        <v>6.9400000000000003E-2</v>
      </c>
      <c r="P14">
        <v>0.1923</v>
      </c>
      <c r="Q14">
        <v>0.05</v>
      </c>
      <c r="R14" t="s">
        <v>107</v>
      </c>
    </row>
    <row r="15" spans="1:18" x14ac:dyDescent="0.4">
      <c r="A15">
        <v>9</v>
      </c>
      <c r="B15" t="s">
        <v>0</v>
      </c>
      <c r="C15" t="s">
        <v>111</v>
      </c>
      <c r="D15">
        <v>25.4</v>
      </c>
      <c r="G15">
        <v>25.398800000000001</v>
      </c>
      <c r="J15">
        <v>-1.1999999999999999E-3</v>
      </c>
      <c r="M15">
        <v>25.5</v>
      </c>
      <c r="N15">
        <v>25.3</v>
      </c>
      <c r="O15" t="s">
        <v>105</v>
      </c>
      <c r="P15">
        <v>6.4000000000000003E-3</v>
      </c>
      <c r="Q15">
        <v>0.05</v>
      </c>
      <c r="R15" t="s">
        <v>105</v>
      </c>
    </row>
    <row r="16" spans="1:18" x14ac:dyDescent="0.4">
      <c r="A16">
        <v>10</v>
      </c>
      <c r="B16" t="s">
        <v>1</v>
      </c>
      <c r="C16" t="s">
        <v>111</v>
      </c>
      <c r="D16">
        <v>25.4</v>
      </c>
      <c r="G16">
        <v>25.403199999999998</v>
      </c>
      <c r="J16">
        <v>3.2000000000000002E-3</v>
      </c>
      <c r="M16">
        <v>25.5</v>
      </c>
      <c r="N16">
        <v>25.3</v>
      </c>
      <c r="O16" t="s">
        <v>105</v>
      </c>
      <c r="P16">
        <v>7.7000000000000002E-3</v>
      </c>
      <c r="Q16">
        <v>0.05</v>
      </c>
      <c r="R16" t="s">
        <v>105</v>
      </c>
    </row>
    <row r="17" spans="1:18" x14ac:dyDescent="0.4">
      <c r="A17">
        <v>11</v>
      </c>
      <c r="B17" t="s">
        <v>2</v>
      </c>
      <c r="C17" t="s">
        <v>111</v>
      </c>
      <c r="D17">
        <v>25.4</v>
      </c>
      <c r="G17">
        <v>25.402899999999999</v>
      </c>
      <c r="J17">
        <v>2.8999999999999998E-3</v>
      </c>
      <c r="M17">
        <v>25.5</v>
      </c>
      <c r="N17">
        <v>25.3</v>
      </c>
      <c r="O17" t="s">
        <v>105</v>
      </c>
      <c r="P17">
        <v>5.1000000000000004E-3</v>
      </c>
      <c r="Q17">
        <v>0.05</v>
      </c>
      <c r="R17" t="s">
        <v>105</v>
      </c>
    </row>
    <row r="18" spans="1:18" x14ac:dyDescent="0.4">
      <c r="A18">
        <v>12</v>
      </c>
      <c r="B18" t="s">
        <v>3</v>
      </c>
      <c r="C18" t="s">
        <v>111</v>
      </c>
      <c r="D18">
        <v>25.4</v>
      </c>
      <c r="G18">
        <v>25.405100000000001</v>
      </c>
      <c r="J18">
        <v>5.1000000000000004E-3</v>
      </c>
      <c r="M18">
        <v>25.5</v>
      </c>
      <c r="N18">
        <v>25.3</v>
      </c>
      <c r="O18" t="s">
        <v>105</v>
      </c>
      <c r="P18">
        <v>7.7000000000000002E-3</v>
      </c>
      <c r="Q18">
        <v>0.05</v>
      </c>
      <c r="R18" t="s">
        <v>105</v>
      </c>
    </row>
    <row r="19" spans="1:18" x14ac:dyDescent="0.4">
      <c r="A19">
        <v>13</v>
      </c>
      <c r="B19" t="s">
        <v>4</v>
      </c>
      <c r="C19" t="s">
        <v>111</v>
      </c>
      <c r="D19">
        <v>25.4</v>
      </c>
      <c r="G19">
        <v>25.4025</v>
      </c>
      <c r="J19">
        <v>2.5000000000000001E-3</v>
      </c>
      <c r="M19">
        <v>25.5</v>
      </c>
      <c r="N19">
        <v>25.3</v>
      </c>
      <c r="O19" t="s">
        <v>105</v>
      </c>
      <c r="P19">
        <v>6.4999999999999997E-3</v>
      </c>
      <c r="Q19">
        <v>0.05</v>
      </c>
      <c r="R19" t="s">
        <v>105</v>
      </c>
    </row>
    <row r="20" spans="1:18" x14ac:dyDescent="0.4">
      <c r="A20">
        <v>14</v>
      </c>
      <c r="B20" t="s">
        <v>5</v>
      </c>
      <c r="C20" t="s">
        <v>112</v>
      </c>
      <c r="D20">
        <v>72.887</v>
      </c>
      <c r="G20">
        <v>72.880700000000004</v>
      </c>
      <c r="J20">
        <v>-6.3E-3</v>
      </c>
      <c r="M20">
        <v>72.986999999999995</v>
      </c>
      <c r="N20">
        <v>72.787000000000006</v>
      </c>
      <c r="O20" t="s">
        <v>105</v>
      </c>
    </row>
    <row r="21" spans="1:18" x14ac:dyDescent="0.4">
      <c r="A21">
        <v>15</v>
      </c>
      <c r="B21" t="s">
        <v>6</v>
      </c>
      <c r="C21" t="s">
        <v>112</v>
      </c>
      <c r="D21">
        <v>73.745999999999995</v>
      </c>
      <c r="G21">
        <v>73.711299999999994</v>
      </c>
      <c r="J21">
        <v>-3.4700000000000002E-2</v>
      </c>
      <c r="M21">
        <v>73.846000000000004</v>
      </c>
      <c r="N21">
        <v>73.646000000000001</v>
      </c>
      <c r="O21" t="s">
        <v>105</v>
      </c>
    </row>
    <row r="22" spans="1:18" x14ac:dyDescent="0.4">
      <c r="A22">
        <v>16</v>
      </c>
      <c r="B22" t="s">
        <v>7</v>
      </c>
      <c r="C22" t="s">
        <v>112</v>
      </c>
      <c r="D22">
        <v>72.376999999999995</v>
      </c>
      <c r="G22">
        <v>72.338700000000003</v>
      </c>
      <c r="J22">
        <v>-3.8300000000000001E-2</v>
      </c>
      <c r="M22">
        <v>72.477000000000004</v>
      </c>
      <c r="N22">
        <v>72.277000000000001</v>
      </c>
      <c r="O22" t="s">
        <v>105</v>
      </c>
    </row>
    <row r="23" spans="1:18" x14ac:dyDescent="0.4">
      <c r="A23">
        <v>17</v>
      </c>
      <c r="B23" t="s">
        <v>8</v>
      </c>
      <c r="C23" t="s">
        <v>112</v>
      </c>
      <c r="D23">
        <v>72.031000000000006</v>
      </c>
      <c r="G23">
        <v>71.964699999999993</v>
      </c>
      <c r="J23">
        <v>-6.6299999999999998E-2</v>
      </c>
      <c r="M23">
        <v>72.131</v>
      </c>
      <c r="N23">
        <v>71.930999999999997</v>
      </c>
      <c r="O23" t="s">
        <v>105</v>
      </c>
    </row>
    <row r="24" spans="1:18" x14ac:dyDescent="0.4">
      <c r="A24">
        <v>18</v>
      </c>
      <c r="B24" t="s">
        <v>9</v>
      </c>
      <c r="C24" t="s">
        <v>112</v>
      </c>
      <c r="D24">
        <v>75.007000000000005</v>
      </c>
      <c r="G24">
        <v>74.988100000000003</v>
      </c>
      <c r="J24">
        <v>-1.89E-2</v>
      </c>
      <c r="M24">
        <v>75.106999999999999</v>
      </c>
      <c r="N24">
        <v>74.906999999999996</v>
      </c>
      <c r="O24" t="s">
        <v>105</v>
      </c>
    </row>
    <row r="25" spans="1:18" x14ac:dyDescent="0.4">
      <c r="A25">
        <v>19</v>
      </c>
      <c r="B25" t="s">
        <v>10</v>
      </c>
      <c r="C25" t="s">
        <v>112</v>
      </c>
      <c r="D25">
        <v>74.007000000000005</v>
      </c>
      <c r="G25">
        <v>73.985200000000006</v>
      </c>
      <c r="J25">
        <v>-2.18E-2</v>
      </c>
      <c r="M25">
        <v>74.106999999999999</v>
      </c>
      <c r="N25">
        <v>73.906999999999996</v>
      </c>
      <c r="O25" t="s">
        <v>105</v>
      </c>
    </row>
    <row r="26" spans="1:18" x14ac:dyDescent="0.4">
      <c r="A26">
        <v>20</v>
      </c>
      <c r="B26" t="s">
        <v>11</v>
      </c>
      <c r="C26" t="s">
        <v>112</v>
      </c>
      <c r="D26">
        <v>126</v>
      </c>
      <c r="G26">
        <v>125.93300000000001</v>
      </c>
      <c r="J26">
        <v>-6.7000000000000004E-2</v>
      </c>
      <c r="M26">
        <v>126.1</v>
      </c>
      <c r="N26">
        <v>125.9</v>
      </c>
      <c r="O26" t="s">
        <v>105</v>
      </c>
    </row>
    <row r="27" spans="1:18" x14ac:dyDescent="0.4">
      <c r="A27">
        <v>21</v>
      </c>
      <c r="B27" t="s">
        <v>12</v>
      </c>
      <c r="C27" t="s">
        <v>112</v>
      </c>
      <c r="D27">
        <v>124.004</v>
      </c>
      <c r="G27">
        <v>123.92440000000001</v>
      </c>
      <c r="J27">
        <v>-7.9600000000000004E-2</v>
      </c>
      <c r="M27">
        <v>124.104</v>
      </c>
      <c r="N27">
        <v>123.904</v>
      </c>
      <c r="O27" t="s">
        <v>105</v>
      </c>
    </row>
    <row r="28" spans="1:18" x14ac:dyDescent="0.4">
      <c r="A28">
        <v>22</v>
      </c>
      <c r="B28" t="s">
        <v>13</v>
      </c>
      <c r="C28" t="s">
        <v>112</v>
      </c>
      <c r="D28">
        <v>145.262</v>
      </c>
      <c r="G28">
        <v>145.2165</v>
      </c>
      <c r="J28">
        <v>-4.5499999999999999E-2</v>
      </c>
      <c r="M28">
        <v>145.36199999999999</v>
      </c>
      <c r="N28">
        <v>145.16200000000001</v>
      </c>
      <c r="O28" t="s">
        <v>105</v>
      </c>
    </row>
    <row r="29" spans="1:18" x14ac:dyDescent="0.4">
      <c r="A29">
        <v>23</v>
      </c>
      <c r="B29" t="s">
        <v>14</v>
      </c>
      <c r="C29" t="s">
        <v>112</v>
      </c>
      <c r="D29">
        <v>145.774</v>
      </c>
      <c r="G29">
        <v>145.67259999999999</v>
      </c>
      <c r="J29">
        <v>-0.1014</v>
      </c>
      <c r="M29">
        <v>145.874</v>
      </c>
      <c r="N29">
        <v>145.67400000000001</v>
      </c>
      <c r="O29" t="s">
        <v>107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3B293-19B3-4BCC-B804-EC794479E6CC}">
  <dimension ref="A1:R29"/>
  <sheetViews>
    <sheetView workbookViewId="0"/>
  </sheetViews>
  <sheetFormatPr defaultRowHeight="14.6" x14ac:dyDescent="0.4"/>
  <cols>
    <col min="1" max="1" width="24.23046875" bestFit="1" customWidth="1"/>
    <col min="2" max="2" width="13.921875" bestFit="1" customWidth="1"/>
    <col min="3" max="3" width="17.53515625" bestFit="1" customWidth="1"/>
    <col min="4" max="4" width="7.84375" bestFit="1" customWidth="1"/>
    <col min="5" max="5" width="5.4609375" bestFit="1" customWidth="1"/>
    <col min="6" max="6" width="1.84375" bestFit="1" customWidth="1"/>
    <col min="7" max="7" width="8.84375" bestFit="1" customWidth="1"/>
    <col min="8" max="8" width="8.4609375" bestFit="1" customWidth="1"/>
    <col min="9" max="9" width="6.84375" bestFit="1" customWidth="1"/>
    <col min="10" max="10" width="7.4609375" bestFit="1" customWidth="1"/>
    <col min="11" max="12" width="6.84375" bestFit="1" customWidth="1"/>
    <col min="13" max="14" width="7.84375" bestFit="1" customWidth="1"/>
    <col min="15" max="15" width="4.84375" bestFit="1" customWidth="1"/>
    <col min="16" max="16" width="6.84375" bestFit="1" customWidth="1"/>
    <col min="17" max="18" width="4.84375" bestFit="1" customWidth="1"/>
  </cols>
  <sheetData>
    <row r="1" spans="1:18" x14ac:dyDescent="0.4">
      <c r="A1" t="s">
        <v>91</v>
      </c>
      <c r="B1" t="s">
        <v>131</v>
      </c>
    </row>
    <row r="2" spans="1:18" x14ac:dyDescent="0.4">
      <c r="A2" t="s">
        <v>93</v>
      </c>
      <c r="B2" t="s">
        <v>94</v>
      </c>
    </row>
    <row r="3" spans="1:18" x14ac:dyDescent="0.4">
      <c r="A3" t="s">
        <v>95</v>
      </c>
      <c r="B3" t="s">
        <v>144</v>
      </c>
    </row>
    <row r="4" spans="1:18" x14ac:dyDescent="0.4">
      <c r="A4" t="s">
        <v>97</v>
      </c>
      <c r="B4" t="s">
        <v>98</v>
      </c>
    </row>
    <row r="5" spans="1:18" x14ac:dyDescent="0.4">
      <c r="A5" t="s">
        <v>99</v>
      </c>
    </row>
    <row r="6" spans="1:18" x14ac:dyDescent="0.4">
      <c r="A6" t="s">
        <v>100</v>
      </c>
    </row>
    <row r="7" spans="1:18" x14ac:dyDescent="0.4">
      <c r="A7" t="s">
        <v>101</v>
      </c>
    </row>
    <row r="8" spans="1:18" x14ac:dyDescent="0.4">
      <c r="A8" t="s">
        <v>93</v>
      </c>
    </row>
    <row r="9" spans="1:18" x14ac:dyDescent="0.4">
      <c r="A9" t="s">
        <v>102</v>
      </c>
    </row>
    <row r="10" spans="1:18" x14ac:dyDescent="0.4">
      <c r="A10">
        <v>4</v>
      </c>
      <c r="B10" t="s">
        <v>103</v>
      </c>
      <c r="C10" t="s">
        <v>104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105</v>
      </c>
    </row>
    <row r="11" spans="1:18" x14ac:dyDescent="0.4">
      <c r="A11">
        <v>5</v>
      </c>
      <c r="B11" t="s">
        <v>106</v>
      </c>
      <c r="C11" t="s">
        <v>104</v>
      </c>
      <c r="D11">
        <v>62.5</v>
      </c>
      <c r="E11">
        <v>37.5</v>
      </c>
      <c r="F11">
        <v>0</v>
      </c>
      <c r="G11">
        <v>62.481699999999996</v>
      </c>
      <c r="H11">
        <v>37.516300000000001</v>
      </c>
      <c r="I11">
        <v>8.3099999999999993E-2</v>
      </c>
      <c r="J11">
        <v>-1.83E-2</v>
      </c>
      <c r="K11">
        <v>1.6299999999999999E-2</v>
      </c>
      <c r="L11">
        <v>8.3099999999999993E-2</v>
      </c>
      <c r="P11">
        <v>0.17319999999999999</v>
      </c>
      <c r="Q11">
        <v>0.05</v>
      </c>
      <c r="R11" t="s">
        <v>107</v>
      </c>
    </row>
    <row r="12" spans="1:18" x14ac:dyDescent="0.4">
      <c r="A12">
        <v>6</v>
      </c>
      <c r="B12" t="s">
        <v>108</v>
      </c>
      <c r="C12" t="s">
        <v>104</v>
      </c>
      <c r="D12">
        <v>-63.5</v>
      </c>
      <c r="E12">
        <v>37.5</v>
      </c>
      <c r="F12">
        <v>0</v>
      </c>
      <c r="G12">
        <v>-63.451099999999997</v>
      </c>
      <c r="H12">
        <v>37.516300000000001</v>
      </c>
      <c r="I12">
        <v>6.8699999999999997E-2</v>
      </c>
      <c r="J12">
        <v>4.8899999999999999E-2</v>
      </c>
      <c r="K12">
        <v>1.6299999999999999E-2</v>
      </c>
      <c r="L12">
        <v>6.8699999999999997E-2</v>
      </c>
      <c r="P12">
        <v>0.17180000000000001</v>
      </c>
      <c r="Q12">
        <v>0.05</v>
      </c>
      <c r="R12" t="s">
        <v>107</v>
      </c>
    </row>
    <row r="13" spans="1:18" x14ac:dyDescent="0.4">
      <c r="A13">
        <v>7</v>
      </c>
      <c r="B13" t="s">
        <v>109</v>
      </c>
      <c r="C13" t="s">
        <v>104</v>
      </c>
      <c r="D13">
        <v>-62.5</v>
      </c>
      <c r="E13">
        <v>-36.5</v>
      </c>
      <c r="F13">
        <v>0</v>
      </c>
      <c r="G13">
        <v>-62.478099999999998</v>
      </c>
      <c r="H13">
        <v>-36.462899999999998</v>
      </c>
      <c r="I13">
        <v>8.3299999999999999E-2</v>
      </c>
      <c r="J13">
        <v>2.1899999999999999E-2</v>
      </c>
      <c r="K13">
        <v>3.7100000000000001E-2</v>
      </c>
      <c r="L13">
        <v>8.3299999999999999E-2</v>
      </c>
      <c r="P13">
        <v>0.18740000000000001</v>
      </c>
      <c r="Q13">
        <v>0.05</v>
      </c>
      <c r="R13" t="s">
        <v>107</v>
      </c>
    </row>
    <row r="14" spans="1:18" x14ac:dyDescent="0.4">
      <c r="A14">
        <v>8</v>
      </c>
      <c r="B14" t="s">
        <v>110</v>
      </c>
      <c r="C14" t="s">
        <v>104</v>
      </c>
      <c r="D14">
        <v>61.5</v>
      </c>
      <c r="E14">
        <v>-37.5</v>
      </c>
      <c r="F14">
        <v>0</v>
      </c>
      <c r="G14">
        <v>61.443100000000001</v>
      </c>
      <c r="H14">
        <v>-37.464799999999997</v>
      </c>
      <c r="I14">
        <v>6.9099999999999995E-2</v>
      </c>
      <c r="J14">
        <v>-5.6899999999999999E-2</v>
      </c>
      <c r="K14">
        <v>3.5200000000000002E-2</v>
      </c>
      <c r="L14">
        <v>6.9099999999999995E-2</v>
      </c>
      <c r="P14">
        <v>0.19239999999999999</v>
      </c>
      <c r="Q14">
        <v>0.05</v>
      </c>
      <c r="R14" t="s">
        <v>107</v>
      </c>
    </row>
    <row r="15" spans="1:18" x14ac:dyDescent="0.4">
      <c r="A15">
        <v>9</v>
      </c>
      <c r="B15" t="s">
        <v>0</v>
      </c>
      <c r="C15" t="s">
        <v>111</v>
      </c>
      <c r="D15">
        <v>25.4</v>
      </c>
      <c r="G15">
        <v>25.398800000000001</v>
      </c>
      <c r="J15">
        <v>-1.1999999999999999E-3</v>
      </c>
      <c r="M15">
        <v>25.5</v>
      </c>
      <c r="N15">
        <v>25.3</v>
      </c>
      <c r="O15" t="s">
        <v>105</v>
      </c>
      <c r="P15">
        <v>7.4999999999999997E-3</v>
      </c>
      <c r="Q15">
        <v>0.05</v>
      </c>
      <c r="R15" t="s">
        <v>105</v>
      </c>
    </row>
    <row r="16" spans="1:18" x14ac:dyDescent="0.4">
      <c r="A16">
        <v>10</v>
      </c>
      <c r="B16" t="s">
        <v>1</v>
      </c>
      <c r="C16" t="s">
        <v>111</v>
      </c>
      <c r="D16">
        <v>25.4</v>
      </c>
      <c r="G16">
        <v>25.401900000000001</v>
      </c>
      <c r="J16">
        <v>1.9E-3</v>
      </c>
      <c r="M16">
        <v>25.5</v>
      </c>
      <c r="N16">
        <v>25.3</v>
      </c>
      <c r="O16" t="s">
        <v>105</v>
      </c>
      <c r="P16">
        <v>7.1000000000000004E-3</v>
      </c>
      <c r="Q16">
        <v>0.05</v>
      </c>
      <c r="R16" t="s">
        <v>105</v>
      </c>
    </row>
    <row r="17" spans="1:18" x14ac:dyDescent="0.4">
      <c r="A17">
        <v>11</v>
      </c>
      <c r="B17" t="s">
        <v>2</v>
      </c>
      <c r="C17" t="s">
        <v>111</v>
      </c>
      <c r="D17">
        <v>25.4</v>
      </c>
      <c r="G17">
        <v>25.4024</v>
      </c>
      <c r="J17">
        <v>2.3999999999999998E-3</v>
      </c>
      <c r="M17">
        <v>25.5</v>
      </c>
      <c r="N17">
        <v>25.3</v>
      </c>
      <c r="O17" t="s">
        <v>105</v>
      </c>
      <c r="P17">
        <v>5.0000000000000001E-3</v>
      </c>
      <c r="Q17">
        <v>0.05</v>
      </c>
      <c r="R17" t="s">
        <v>105</v>
      </c>
    </row>
    <row r="18" spans="1:18" x14ac:dyDescent="0.4">
      <c r="A18">
        <v>12</v>
      </c>
      <c r="B18" t="s">
        <v>3</v>
      </c>
      <c r="C18" t="s">
        <v>111</v>
      </c>
      <c r="D18">
        <v>25.4</v>
      </c>
      <c r="G18">
        <v>25.404599999999999</v>
      </c>
      <c r="J18">
        <v>4.5999999999999999E-3</v>
      </c>
      <c r="M18">
        <v>25.5</v>
      </c>
      <c r="N18">
        <v>25.3</v>
      </c>
      <c r="O18" t="s">
        <v>105</v>
      </c>
      <c r="P18">
        <v>5.4000000000000003E-3</v>
      </c>
      <c r="Q18">
        <v>0.05</v>
      </c>
      <c r="R18" t="s">
        <v>105</v>
      </c>
    </row>
    <row r="19" spans="1:18" x14ac:dyDescent="0.4">
      <c r="A19">
        <v>13</v>
      </c>
      <c r="B19" t="s">
        <v>4</v>
      </c>
      <c r="C19" t="s">
        <v>111</v>
      </c>
      <c r="D19">
        <v>25.4</v>
      </c>
      <c r="G19">
        <v>25.402899999999999</v>
      </c>
      <c r="J19">
        <v>2.8999999999999998E-3</v>
      </c>
      <c r="M19">
        <v>25.5</v>
      </c>
      <c r="N19">
        <v>25.3</v>
      </c>
      <c r="O19" t="s">
        <v>105</v>
      </c>
      <c r="P19">
        <v>8.6999999999999994E-3</v>
      </c>
      <c r="Q19">
        <v>0.05</v>
      </c>
      <c r="R19" t="s">
        <v>105</v>
      </c>
    </row>
    <row r="20" spans="1:18" x14ac:dyDescent="0.4">
      <c r="A20">
        <v>14</v>
      </c>
      <c r="B20" t="s">
        <v>5</v>
      </c>
      <c r="C20" t="s">
        <v>112</v>
      </c>
      <c r="D20">
        <v>72.887</v>
      </c>
      <c r="G20">
        <v>72.879599999999996</v>
      </c>
      <c r="J20">
        <v>-7.4000000000000003E-3</v>
      </c>
      <c r="M20">
        <v>72.986999999999995</v>
      </c>
      <c r="N20">
        <v>72.787000000000006</v>
      </c>
      <c r="O20" t="s">
        <v>105</v>
      </c>
    </row>
    <row r="21" spans="1:18" x14ac:dyDescent="0.4">
      <c r="A21">
        <v>15</v>
      </c>
      <c r="B21" t="s">
        <v>6</v>
      </c>
      <c r="C21" t="s">
        <v>112</v>
      </c>
      <c r="D21">
        <v>73.745999999999995</v>
      </c>
      <c r="G21">
        <v>73.712400000000002</v>
      </c>
      <c r="J21">
        <v>-3.3599999999999998E-2</v>
      </c>
      <c r="M21">
        <v>73.846000000000004</v>
      </c>
      <c r="N21">
        <v>73.646000000000001</v>
      </c>
      <c r="O21" t="s">
        <v>105</v>
      </c>
    </row>
    <row r="22" spans="1:18" x14ac:dyDescent="0.4">
      <c r="A22">
        <v>16</v>
      </c>
      <c r="B22" t="s">
        <v>7</v>
      </c>
      <c r="C22" t="s">
        <v>112</v>
      </c>
      <c r="D22">
        <v>72.376999999999995</v>
      </c>
      <c r="G22">
        <v>72.3399</v>
      </c>
      <c r="J22">
        <v>-3.7100000000000001E-2</v>
      </c>
      <c r="M22">
        <v>72.477000000000004</v>
      </c>
      <c r="N22">
        <v>72.277000000000001</v>
      </c>
      <c r="O22" t="s">
        <v>105</v>
      </c>
    </row>
    <row r="23" spans="1:18" x14ac:dyDescent="0.4">
      <c r="A23">
        <v>17</v>
      </c>
      <c r="B23" t="s">
        <v>8</v>
      </c>
      <c r="C23" t="s">
        <v>112</v>
      </c>
      <c r="D23">
        <v>72.031000000000006</v>
      </c>
      <c r="G23">
        <v>71.964399999999998</v>
      </c>
      <c r="J23">
        <v>-6.6600000000000006E-2</v>
      </c>
      <c r="M23">
        <v>72.131</v>
      </c>
      <c r="N23">
        <v>71.930999999999997</v>
      </c>
      <c r="O23" t="s">
        <v>105</v>
      </c>
    </row>
    <row r="24" spans="1:18" x14ac:dyDescent="0.4">
      <c r="A24">
        <v>18</v>
      </c>
      <c r="B24" t="s">
        <v>9</v>
      </c>
      <c r="C24" t="s">
        <v>112</v>
      </c>
      <c r="D24">
        <v>75.007000000000005</v>
      </c>
      <c r="G24">
        <v>74.988299999999995</v>
      </c>
      <c r="J24">
        <v>-1.8700000000000001E-2</v>
      </c>
      <c r="M24">
        <v>75.106999999999999</v>
      </c>
      <c r="N24">
        <v>74.906999999999996</v>
      </c>
      <c r="O24" t="s">
        <v>105</v>
      </c>
    </row>
    <row r="25" spans="1:18" x14ac:dyDescent="0.4">
      <c r="A25">
        <v>19</v>
      </c>
      <c r="B25" t="s">
        <v>10</v>
      </c>
      <c r="C25" t="s">
        <v>112</v>
      </c>
      <c r="D25">
        <v>74.007000000000005</v>
      </c>
      <c r="G25">
        <v>73.985600000000005</v>
      </c>
      <c r="J25">
        <v>-2.1399999999999999E-2</v>
      </c>
      <c r="M25">
        <v>74.106999999999999</v>
      </c>
      <c r="N25">
        <v>73.906999999999996</v>
      </c>
      <c r="O25" t="s">
        <v>105</v>
      </c>
    </row>
    <row r="26" spans="1:18" x14ac:dyDescent="0.4">
      <c r="A26">
        <v>20</v>
      </c>
      <c r="B26" t="s">
        <v>11</v>
      </c>
      <c r="C26" t="s">
        <v>112</v>
      </c>
      <c r="D26">
        <v>126</v>
      </c>
      <c r="G26">
        <v>125.9327</v>
      </c>
      <c r="J26">
        <v>-6.7299999999999999E-2</v>
      </c>
      <c r="M26">
        <v>126.1</v>
      </c>
      <c r="N26">
        <v>125.9</v>
      </c>
      <c r="O26" t="s">
        <v>105</v>
      </c>
    </row>
    <row r="27" spans="1:18" x14ac:dyDescent="0.4">
      <c r="A27">
        <v>21</v>
      </c>
      <c r="B27" t="s">
        <v>12</v>
      </c>
      <c r="C27" t="s">
        <v>112</v>
      </c>
      <c r="D27">
        <v>124.004</v>
      </c>
      <c r="G27">
        <v>123.92529999999999</v>
      </c>
      <c r="J27">
        <v>-7.8700000000000006E-2</v>
      </c>
      <c r="M27">
        <v>124.104</v>
      </c>
      <c r="N27">
        <v>123.904</v>
      </c>
      <c r="O27" t="s">
        <v>105</v>
      </c>
    </row>
    <row r="28" spans="1:18" x14ac:dyDescent="0.4">
      <c r="A28">
        <v>22</v>
      </c>
      <c r="B28" t="s">
        <v>13</v>
      </c>
      <c r="C28" t="s">
        <v>112</v>
      </c>
      <c r="D28">
        <v>145.262</v>
      </c>
      <c r="G28">
        <v>145.2167</v>
      </c>
      <c r="J28">
        <v>-4.53E-2</v>
      </c>
      <c r="M28">
        <v>145.36199999999999</v>
      </c>
      <c r="N28">
        <v>145.16200000000001</v>
      </c>
      <c r="O28" t="s">
        <v>105</v>
      </c>
    </row>
    <row r="29" spans="1:18" x14ac:dyDescent="0.4">
      <c r="A29">
        <v>23</v>
      </c>
      <c r="B29" t="s">
        <v>14</v>
      </c>
      <c r="C29" t="s">
        <v>112</v>
      </c>
      <c r="D29">
        <v>145.774</v>
      </c>
      <c r="G29">
        <v>145.67330000000001</v>
      </c>
      <c r="J29">
        <v>-0.1007</v>
      </c>
      <c r="M29">
        <v>145.874</v>
      </c>
      <c r="N29">
        <v>145.67400000000001</v>
      </c>
      <c r="O29" t="s">
        <v>107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55CCF-E83E-4C12-BC36-37D4D008C362}">
  <dimension ref="A1:R29"/>
  <sheetViews>
    <sheetView workbookViewId="0"/>
  </sheetViews>
  <sheetFormatPr defaultRowHeight="14.6" x14ac:dyDescent="0.4"/>
  <cols>
    <col min="1" max="1" width="24.23046875" bestFit="1" customWidth="1"/>
    <col min="2" max="2" width="13.921875" bestFit="1" customWidth="1"/>
    <col min="3" max="3" width="17.53515625" bestFit="1" customWidth="1"/>
    <col min="4" max="4" width="7.84375" bestFit="1" customWidth="1"/>
    <col min="5" max="5" width="5.4609375" bestFit="1" customWidth="1"/>
    <col min="6" max="6" width="1.84375" bestFit="1" customWidth="1"/>
    <col min="7" max="7" width="8.84375" bestFit="1" customWidth="1"/>
    <col min="8" max="8" width="8.4609375" bestFit="1" customWidth="1"/>
    <col min="9" max="9" width="6.84375" bestFit="1" customWidth="1"/>
    <col min="10" max="10" width="7.4609375" bestFit="1" customWidth="1"/>
    <col min="11" max="12" width="6.84375" bestFit="1" customWidth="1"/>
    <col min="13" max="14" width="7.84375" bestFit="1" customWidth="1"/>
    <col min="15" max="15" width="4.84375" bestFit="1" customWidth="1"/>
    <col min="16" max="16" width="6.84375" bestFit="1" customWidth="1"/>
    <col min="17" max="18" width="4.84375" bestFit="1" customWidth="1"/>
  </cols>
  <sheetData>
    <row r="1" spans="1:18" x14ac:dyDescent="0.4">
      <c r="A1" t="s">
        <v>91</v>
      </c>
      <c r="B1" t="s">
        <v>131</v>
      </c>
    </row>
    <row r="2" spans="1:18" x14ac:dyDescent="0.4">
      <c r="A2" t="s">
        <v>93</v>
      </c>
      <c r="B2" t="s">
        <v>94</v>
      </c>
    </row>
    <row r="3" spans="1:18" x14ac:dyDescent="0.4">
      <c r="A3" t="s">
        <v>95</v>
      </c>
      <c r="B3" t="s">
        <v>145</v>
      </c>
    </row>
    <row r="4" spans="1:18" x14ac:dyDescent="0.4">
      <c r="A4" t="s">
        <v>97</v>
      </c>
      <c r="B4" t="s">
        <v>98</v>
      </c>
    </row>
    <row r="5" spans="1:18" x14ac:dyDescent="0.4">
      <c r="A5" t="s">
        <v>99</v>
      </c>
    </row>
    <row r="6" spans="1:18" x14ac:dyDescent="0.4">
      <c r="A6" t="s">
        <v>100</v>
      </c>
    </row>
    <row r="7" spans="1:18" x14ac:dyDescent="0.4">
      <c r="A7" t="s">
        <v>101</v>
      </c>
    </row>
    <row r="8" spans="1:18" x14ac:dyDescent="0.4">
      <c r="A8" t="s">
        <v>93</v>
      </c>
    </row>
    <row r="9" spans="1:18" x14ac:dyDescent="0.4">
      <c r="A9" t="s">
        <v>102</v>
      </c>
    </row>
    <row r="10" spans="1:18" x14ac:dyDescent="0.4">
      <c r="A10">
        <v>4</v>
      </c>
      <c r="B10" t="s">
        <v>103</v>
      </c>
      <c r="C10" t="s">
        <v>104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105</v>
      </c>
    </row>
    <row r="11" spans="1:18" x14ac:dyDescent="0.4">
      <c r="A11">
        <v>5</v>
      </c>
      <c r="B11" t="s">
        <v>106</v>
      </c>
      <c r="C11" t="s">
        <v>104</v>
      </c>
      <c r="D11">
        <v>62.5</v>
      </c>
      <c r="E11">
        <v>37.5</v>
      </c>
      <c r="F11">
        <v>0</v>
      </c>
      <c r="G11">
        <v>62.482799999999997</v>
      </c>
      <c r="H11">
        <v>37.516300000000001</v>
      </c>
      <c r="I11">
        <v>8.3799999999999999E-2</v>
      </c>
      <c r="J11">
        <v>-1.72E-2</v>
      </c>
      <c r="K11">
        <v>1.6299999999999999E-2</v>
      </c>
      <c r="L11">
        <v>8.3799999999999999E-2</v>
      </c>
      <c r="P11">
        <v>0.17419999999999999</v>
      </c>
      <c r="Q11">
        <v>0.05</v>
      </c>
      <c r="R11" t="s">
        <v>107</v>
      </c>
    </row>
    <row r="12" spans="1:18" x14ac:dyDescent="0.4">
      <c r="A12">
        <v>6</v>
      </c>
      <c r="B12" t="s">
        <v>108</v>
      </c>
      <c r="C12" t="s">
        <v>104</v>
      </c>
      <c r="D12">
        <v>-63.5</v>
      </c>
      <c r="E12">
        <v>37.5</v>
      </c>
      <c r="F12">
        <v>0</v>
      </c>
      <c r="G12">
        <v>-63.450600000000001</v>
      </c>
      <c r="H12">
        <v>37.516300000000001</v>
      </c>
      <c r="I12">
        <v>6.9000000000000006E-2</v>
      </c>
      <c r="J12">
        <v>4.9399999999999999E-2</v>
      </c>
      <c r="K12">
        <v>1.6299999999999999E-2</v>
      </c>
      <c r="L12">
        <v>6.9000000000000006E-2</v>
      </c>
      <c r="P12">
        <v>0.1729</v>
      </c>
      <c r="Q12">
        <v>0.05</v>
      </c>
      <c r="R12" t="s">
        <v>107</v>
      </c>
    </row>
    <row r="13" spans="1:18" x14ac:dyDescent="0.4">
      <c r="A13">
        <v>7</v>
      </c>
      <c r="B13" t="s">
        <v>109</v>
      </c>
      <c r="C13" t="s">
        <v>104</v>
      </c>
      <c r="D13">
        <v>-62.5</v>
      </c>
      <c r="E13">
        <v>-36.5</v>
      </c>
      <c r="F13">
        <v>0</v>
      </c>
      <c r="G13">
        <v>-62.478299999999997</v>
      </c>
      <c r="H13">
        <v>-36.462400000000002</v>
      </c>
      <c r="I13">
        <v>8.4000000000000005E-2</v>
      </c>
      <c r="J13">
        <v>2.1700000000000001E-2</v>
      </c>
      <c r="K13">
        <v>3.7600000000000001E-2</v>
      </c>
      <c r="L13">
        <v>8.4000000000000005E-2</v>
      </c>
      <c r="P13">
        <v>0.18909999999999999</v>
      </c>
      <c r="Q13">
        <v>0.05</v>
      </c>
      <c r="R13" t="s">
        <v>107</v>
      </c>
    </row>
    <row r="14" spans="1:18" x14ac:dyDescent="0.4">
      <c r="A14">
        <v>8</v>
      </c>
      <c r="B14" t="s">
        <v>110</v>
      </c>
      <c r="C14" t="s">
        <v>104</v>
      </c>
      <c r="D14">
        <v>61.5</v>
      </c>
      <c r="E14">
        <v>-37.5</v>
      </c>
      <c r="F14">
        <v>0</v>
      </c>
      <c r="G14">
        <v>61.444099999999999</v>
      </c>
      <c r="H14">
        <v>-37.464599999999997</v>
      </c>
      <c r="I14">
        <v>6.9500000000000006E-2</v>
      </c>
      <c r="J14">
        <v>-5.5899999999999998E-2</v>
      </c>
      <c r="K14">
        <v>3.5400000000000001E-2</v>
      </c>
      <c r="L14">
        <v>6.9500000000000006E-2</v>
      </c>
      <c r="P14">
        <v>0.19189999999999999</v>
      </c>
      <c r="Q14">
        <v>0.05</v>
      </c>
      <c r="R14" t="s">
        <v>107</v>
      </c>
    </row>
    <row r="15" spans="1:18" x14ac:dyDescent="0.4">
      <c r="A15">
        <v>9</v>
      </c>
      <c r="B15" t="s">
        <v>0</v>
      </c>
      <c r="C15" t="s">
        <v>111</v>
      </c>
      <c r="D15">
        <v>25.4</v>
      </c>
      <c r="G15">
        <v>25.3993</v>
      </c>
      <c r="J15">
        <v>-6.9999999999999999E-4</v>
      </c>
      <c r="M15">
        <v>25.5</v>
      </c>
      <c r="N15">
        <v>25.3</v>
      </c>
      <c r="O15" t="s">
        <v>105</v>
      </c>
      <c r="P15">
        <v>5.5999999999999999E-3</v>
      </c>
      <c r="Q15">
        <v>0.05</v>
      </c>
      <c r="R15" t="s">
        <v>105</v>
      </c>
    </row>
    <row r="16" spans="1:18" x14ac:dyDescent="0.4">
      <c r="A16">
        <v>10</v>
      </c>
      <c r="B16" t="s">
        <v>1</v>
      </c>
      <c r="C16" t="s">
        <v>111</v>
      </c>
      <c r="D16">
        <v>25.4</v>
      </c>
      <c r="G16">
        <v>25.401900000000001</v>
      </c>
      <c r="J16">
        <v>1.9E-3</v>
      </c>
      <c r="M16">
        <v>25.5</v>
      </c>
      <c r="N16">
        <v>25.3</v>
      </c>
      <c r="O16" t="s">
        <v>105</v>
      </c>
      <c r="P16">
        <v>8.0999999999999996E-3</v>
      </c>
      <c r="Q16">
        <v>0.05</v>
      </c>
      <c r="R16" t="s">
        <v>105</v>
      </c>
    </row>
    <row r="17" spans="1:18" x14ac:dyDescent="0.4">
      <c r="A17">
        <v>11</v>
      </c>
      <c r="B17" t="s">
        <v>2</v>
      </c>
      <c r="C17" t="s">
        <v>111</v>
      </c>
      <c r="D17">
        <v>25.4</v>
      </c>
      <c r="G17">
        <v>25.402699999999999</v>
      </c>
      <c r="J17">
        <v>2.7000000000000001E-3</v>
      </c>
      <c r="M17">
        <v>25.5</v>
      </c>
      <c r="N17">
        <v>25.3</v>
      </c>
      <c r="O17" t="s">
        <v>105</v>
      </c>
      <c r="P17">
        <v>5.4000000000000003E-3</v>
      </c>
      <c r="Q17">
        <v>0.05</v>
      </c>
      <c r="R17" t="s">
        <v>105</v>
      </c>
    </row>
    <row r="18" spans="1:18" x14ac:dyDescent="0.4">
      <c r="A18">
        <v>12</v>
      </c>
      <c r="B18" t="s">
        <v>3</v>
      </c>
      <c r="C18" t="s">
        <v>111</v>
      </c>
      <c r="D18">
        <v>25.4</v>
      </c>
      <c r="G18">
        <v>25.404</v>
      </c>
      <c r="J18">
        <v>4.0000000000000001E-3</v>
      </c>
      <c r="M18">
        <v>25.5</v>
      </c>
      <c r="N18">
        <v>25.3</v>
      </c>
      <c r="O18" t="s">
        <v>105</v>
      </c>
      <c r="P18">
        <v>7.9000000000000008E-3</v>
      </c>
      <c r="Q18">
        <v>0.05</v>
      </c>
      <c r="R18" t="s">
        <v>105</v>
      </c>
    </row>
    <row r="19" spans="1:18" x14ac:dyDescent="0.4">
      <c r="A19">
        <v>13</v>
      </c>
      <c r="B19" t="s">
        <v>4</v>
      </c>
      <c r="C19" t="s">
        <v>111</v>
      </c>
      <c r="D19">
        <v>25.4</v>
      </c>
      <c r="G19">
        <v>25.4026</v>
      </c>
      <c r="J19">
        <v>2.5999999999999999E-3</v>
      </c>
      <c r="M19">
        <v>25.5</v>
      </c>
      <c r="N19">
        <v>25.3</v>
      </c>
      <c r="O19" t="s">
        <v>105</v>
      </c>
      <c r="P19">
        <v>7.1000000000000004E-3</v>
      </c>
      <c r="Q19">
        <v>0.05</v>
      </c>
      <c r="R19" t="s">
        <v>105</v>
      </c>
    </row>
    <row r="20" spans="1:18" x14ac:dyDescent="0.4">
      <c r="A20">
        <v>14</v>
      </c>
      <c r="B20" t="s">
        <v>5</v>
      </c>
      <c r="C20" t="s">
        <v>112</v>
      </c>
      <c r="D20">
        <v>72.887</v>
      </c>
      <c r="G20">
        <v>72.880600000000001</v>
      </c>
      <c r="J20">
        <v>-6.4000000000000003E-3</v>
      </c>
      <c r="M20">
        <v>72.986999999999995</v>
      </c>
      <c r="N20">
        <v>72.787000000000006</v>
      </c>
      <c r="O20" t="s">
        <v>105</v>
      </c>
    </row>
    <row r="21" spans="1:18" x14ac:dyDescent="0.4">
      <c r="A21">
        <v>15</v>
      </c>
      <c r="B21" t="s">
        <v>6</v>
      </c>
      <c r="C21" t="s">
        <v>112</v>
      </c>
      <c r="D21">
        <v>73.745999999999995</v>
      </c>
      <c r="G21">
        <v>73.712000000000003</v>
      </c>
      <c r="J21">
        <v>-3.4000000000000002E-2</v>
      </c>
      <c r="M21">
        <v>73.846000000000004</v>
      </c>
      <c r="N21">
        <v>73.646000000000001</v>
      </c>
      <c r="O21" t="s">
        <v>105</v>
      </c>
    </row>
    <row r="22" spans="1:18" x14ac:dyDescent="0.4">
      <c r="A22">
        <v>16</v>
      </c>
      <c r="B22" t="s">
        <v>7</v>
      </c>
      <c r="C22" t="s">
        <v>112</v>
      </c>
      <c r="D22">
        <v>72.376999999999995</v>
      </c>
      <c r="G22">
        <v>72.339799999999997</v>
      </c>
      <c r="J22">
        <v>-3.7199999999999997E-2</v>
      </c>
      <c r="M22">
        <v>72.477000000000004</v>
      </c>
      <c r="N22">
        <v>72.277000000000001</v>
      </c>
      <c r="O22" t="s">
        <v>105</v>
      </c>
    </row>
    <row r="23" spans="1:18" x14ac:dyDescent="0.4">
      <c r="A23">
        <v>17</v>
      </c>
      <c r="B23" t="s">
        <v>8</v>
      </c>
      <c r="C23" t="s">
        <v>112</v>
      </c>
      <c r="D23">
        <v>72.031000000000006</v>
      </c>
      <c r="G23">
        <v>71.965100000000007</v>
      </c>
      <c r="J23">
        <v>-6.59E-2</v>
      </c>
      <c r="M23">
        <v>72.131</v>
      </c>
      <c r="N23">
        <v>71.930999999999997</v>
      </c>
      <c r="O23" t="s">
        <v>105</v>
      </c>
    </row>
    <row r="24" spans="1:18" x14ac:dyDescent="0.4">
      <c r="A24">
        <v>18</v>
      </c>
      <c r="B24" t="s">
        <v>9</v>
      </c>
      <c r="C24" t="s">
        <v>112</v>
      </c>
      <c r="D24">
        <v>75.007000000000005</v>
      </c>
      <c r="G24">
        <v>74.988100000000003</v>
      </c>
      <c r="J24">
        <v>-1.89E-2</v>
      </c>
      <c r="M24">
        <v>75.106999999999999</v>
      </c>
      <c r="N24">
        <v>74.906999999999996</v>
      </c>
      <c r="O24" t="s">
        <v>105</v>
      </c>
    </row>
    <row r="25" spans="1:18" x14ac:dyDescent="0.4">
      <c r="A25">
        <v>19</v>
      </c>
      <c r="B25" t="s">
        <v>10</v>
      </c>
      <c r="C25" t="s">
        <v>112</v>
      </c>
      <c r="D25">
        <v>74.007000000000005</v>
      </c>
      <c r="G25">
        <v>73.985100000000003</v>
      </c>
      <c r="J25">
        <v>-2.1899999999999999E-2</v>
      </c>
      <c r="M25">
        <v>74.106999999999999</v>
      </c>
      <c r="N25">
        <v>73.906999999999996</v>
      </c>
      <c r="O25" t="s">
        <v>105</v>
      </c>
    </row>
    <row r="26" spans="1:18" x14ac:dyDescent="0.4">
      <c r="A26">
        <v>20</v>
      </c>
      <c r="B26" t="s">
        <v>11</v>
      </c>
      <c r="C26" t="s">
        <v>112</v>
      </c>
      <c r="D26">
        <v>126</v>
      </c>
      <c r="G26">
        <v>125.93340000000001</v>
      </c>
      <c r="J26">
        <v>-6.6600000000000006E-2</v>
      </c>
      <c r="M26">
        <v>126.1</v>
      </c>
      <c r="N26">
        <v>125.9</v>
      </c>
      <c r="O26" t="s">
        <v>105</v>
      </c>
    </row>
    <row r="27" spans="1:18" x14ac:dyDescent="0.4">
      <c r="A27">
        <v>21</v>
      </c>
      <c r="B27" t="s">
        <v>12</v>
      </c>
      <c r="C27" t="s">
        <v>112</v>
      </c>
      <c r="D27">
        <v>124.004</v>
      </c>
      <c r="G27">
        <v>123.9264</v>
      </c>
      <c r="J27">
        <v>-7.7600000000000002E-2</v>
      </c>
      <c r="M27">
        <v>124.104</v>
      </c>
      <c r="N27">
        <v>123.904</v>
      </c>
      <c r="O27" t="s">
        <v>105</v>
      </c>
    </row>
    <row r="28" spans="1:18" x14ac:dyDescent="0.4">
      <c r="A28">
        <v>22</v>
      </c>
      <c r="B28" t="s">
        <v>13</v>
      </c>
      <c r="C28" t="s">
        <v>112</v>
      </c>
      <c r="D28">
        <v>145.262</v>
      </c>
      <c r="G28">
        <v>145.2175</v>
      </c>
      <c r="J28">
        <v>-4.4499999999999998E-2</v>
      </c>
      <c r="M28">
        <v>145.36199999999999</v>
      </c>
      <c r="N28">
        <v>145.16200000000001</v>
      </c>
      <c r="O28" t="s">
        <v>105</v>
      </c>
    </row>
    <row r="29" spans="1:18" x14ac:dyDescent="0.4">
      <c r="A29">
        <v>23</v>
      </c>
      <c r="B29" t="s">
        <v>14</v>
      </c>
      <c r="C29" t="s">
        <v>112</v>
      </c>
      <c r="D29">
        <v>145.774</v>
      </c>
      <c r="G29">
        <v>145.6737</v>
      </c>
      <c r="J29">
        <v>-0.1003</v>
      </c>
      <c r="M29">
        <v>145.874</v>
      </c>
      <c r="N29">
        <v>145.67400000000001</v>
      </c>
      <c r="O29" t="s">
        <v>107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37848-FDA6-4917-B55F-348E9E70BE96}">
  <dimension ref="A1:R29"/>
  <sheetViews>
    <sheetView workbookViewId="0"/>
  </sheetViews>
  <sheetFormatPr defaultRowHeight="14.6" x14ac:dyDescent="0.4"/>
  <cols>
    <col min="1" max="1" width="24.23046875" bestFit="1" customWidth="1"/>
    <col min="2" max="2" width="13.921875" bestFit="1" customWidth="1"/>
    <col min="3" max="3" width="17.53515625" bestFit="1" customWidth="1"/>
    <col min="4" max="4" width="7.84375" bestFit="1" customWidth="1"/>
    <col min="5" max="5" width="5.4609375" bestFit="1" customWidth="1"/>
    <col min="6" max="6" width="1.84375" bestFit="1" customWidth="1"/>
    <col min="7" max="7" width="8.84375" bestFit="1" customWidth="1"/>
    <col min="8" max="8" width="8.4609375" bestFit="1" customWidth="1"/>
    <col min="9" max="9" width="6.84375" bestFit="1" customWidth="1"/>
    <col min="10" max="10" width="7.4609375" bestFit="1" customWidth="1"/>
    <col min="11" max="12" width="6.84375" bestFit="1" customWidth="1"/>
    <col min="13" max="14" width="7.84375" bestFit="1" customWidth="1"/>
    <col min="15" max="15" width="4.84375" bestFit="1" customWidth="1"/>
    <col min="16" max="16" width="6.84375" bestFit="1" customWidth="1"/>
    <col min="17" max="18" width="4.84375" bestFit="1" customWidth="1"/>
  </cols>
  <sheetData>
    <row r="1" spans="1:18" x14ac:dyDescent="0.4">
      <c r="A1" t="s">
        <v>91</v>
      </c>
      <c r="B1" t="s">
        <v>131</v>
      </c>
    </row>
    <row r="2" spans="1:18" x14ac:dyDescent="0.4">
      <c r="A2" t="s">
        <v>93</v>
      </c>
      <c r="B2" t="s">
        <v>94</v>
      </c>
    </row>
    <row r="3" spans="1:18" x14ac:dyDescent="0.4">
      <c r="A3" t="s">
        <v>95</v>
      </c>
      <c r="B3" t="s">
        <v>146</v>
      </c>
    </row>
    <row r="4" spans="1:18" x14ac:dyDescent="0.4">
      <c r="A4" t="s">
        <v>97</v>
      </c>
      <c r="B4" t="s">
        <v>114</v>
      </c>
    </row>
    <row r="5" spans="1:18" x14ac:dyDescent="0.4">
      <c r="A5" t="s">
        <v>99</v>
      </c>
    </row>
    <row r="6" spans="1:18" x14ac:dyDescent="0.4">
      <c r="A6" t="s">
        <v>100</v>
      </c>
    </row>
    <row r="7" spans="1:18" x14ac:dyDescent="0.4">
      <c r="A7" t="s">
        <v>101</v>
      </c>
    </row>
    <row r="8" spans="1:18" x14ac:dyDescent="0.4">
      <c r="A8" t="s">
        <v>93</v>
      </c>
    </row>
    <row r="9" spans="1:18" x14ac:dyDescent="0.4">
      <c r="A9" t="s">
        <v>102</v>
      </c>
    </row>
    <row r="10" spans="1:18" x14ac:dyDescent="0.4">
      <c r="A10">
        <v>4</v>
      </c>
      <c r="B10" t="s">
        <v>103</v>
      </c>
      <c r="C10" t="s">
        <v>104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105</v>
      </c>
    </row>
    <row r="11" spans="1:18" x14ac:dyDescent="0.4">
      <c r="A11">
        <v>5</v>
      </c>
      <c r="B11" t="s">
        <v>106</v>
      </c>
      <c r="C11" t="s">
        <v>104</v>
      </c>
      <c r="D11">
        <v>62.5</v>
      </c>
      <c r="E11">
        <v>37.5</v>
      </c>
      <c r="F11">
        <v>0</v>
      </c>
      <c r="G11">
        <v>62.481999999999999</v>
      </c>
      <c r="H11">
        <v>37.516199999999998</v>
      </c>
      <c r="I11">
        <v>8.3000000000000004E-2</v>
      </c>
      <c r="J11">
        <v>-1.7999999999999999E-2</v>
      </c>
      <c r="K11">
        <v>1.6199999999999999E-2</v>
      </c>
      <c r="L11">
        <v>8.3000000000000004E-2</v>
      </c>
      <c r="P11">
        <v>0.17299999999999999</v>
      </c>
      <c r="Q11">
        <v>0.05</v>
      </c>
      <c r="R11" t="s">
        <v>107</v>
      </c>
    </row>
    <row r="12" spans="1:18" x14ac:dyDescent="0.4">
      <c r="A12">
        <v>6</v>
      </c>
      <c r="B12" t="s">
        <v>108</v>
      </c>
      <c r="C12" t="s">
        <v>104</v>
      </c>
      <c r="D12">
        <v>-63.5</v>
      </c>
      <c r="E12">
        <v>37.5</v>
      </c>
      <c r="F12">
        <v>0</v>
      </c>
      <c r="G12">
        <v>-63.450899999999997</v>
      </c>
      <c r="H12">
        <v>37.516199999999998</v>
      </c>
      <c r="I12">
        <v>6.8599999999999994E-2</v>
      </c>
      <c r="J12">
        <v>4.9099999999999998E-2</v>
      </c>
      <c r="K12">
        <v>1.6199999999999999E-2</v>
      </c>
      <c r="L12">
        <v>6.8599999999999994E-2</v>
      </c>
      <c r="P12">
        <v>0.17180000000000001</v>
      </c>
      <c r="Q12">
        <v>0.05</v>
      </c>
      <c r="R12" t="s">
        <v>107</v>
      </c>
    </row>
    <row r="13" spans="1:18" x14ac:dyDescent="0.4">
      <c r="A13">
        <v>7</v>
      </c>
      <c r="B13" t="s">
        <v>109</v>
      </c>
      <c r="C13" t="s">
        <v>104</v>
      </c>
      <c r="D13">
        <v>-62.5</v>
      </c>
      <c r="E13">
        <v>-36.5</v>
      </c>
      <c r="F13">
        <v>0</v>
      </c>
      <c r="G13">
        <v>-62.478099999999998</v>
      </c>
      <c r="H13">
        <v>-36.463200000000001</v>
      </c>
      <c r="I13">
        <v>8.3199999999999996E-2</v>
      </c>
      <c r="J13">
        <v>2.1899999999999999E-2</v>
      </c>
      <c r="K13">
        <v>3.6799999999999999E-2</v>
      </c>
      <c r="L13">
        <v>8.3199999999999996E-2</v>
      </c>
      <c r="P13">
        <v>0.18709999999999999</v>
      </c>
      <c r="Q13">
        <v>0.05</v>
      </c>
      <c r="R13" t="s">
        <v>107</v>
      </c>
    </row>
    <row r="14" spans="1:18" x14ac:dyDescent="0.4">
      <c r="A14">
        <v>8</v>
      </c>
      <c r="B14" t="s">
        <v>110</v>
      </c>
      <c r="C14" t="s">
        <v>104</v>
      </c>
      <c r="D14">
        <v>61.5</v>
      </c>
      <c r="E14">
        <v>-37.5</v>
      </c>
      <c r="F14">
        <v>0</v>
      </c>
      <c r="G14">
        <v>61.443399999999997</v>
      </c>
      <c r="H14">
        <v>-37.465299999999999</v>
      </c>
      <c r="I14">
        <v>6.9099999999999995E-2</v>
      </c>
      <c r="J14">
        <v>-5.6599999999999998E-2</v>
      </c>
      <c r="K14">
        <v>3.4700000000000002E-2</v>
      </c>
      <c r="L14">
        <v>6.9099999999999995E-2</v>
      </c>
      <c r="P14">
        <v>0.19159999999999999</v>
      </c>
      <c r="Q14">
        <v>0.05</v>
      </c>
      <c r="R14" t="s">
        <v>107</v>
      </c>
    </row>
    <row r="15" spans="1:18" x14ac:dyDescent="0.4">
      <c r="A15">
        <v>9</v>
      </c>
      <c r="B15" t="s">
        <v>0</v>
      </c>
      <c r="C15" t="s">
        <v>111</v>
      </c>
      <c r="D15">
        <v>25.4</v>
      </c>
      <c r="G15">
        <v>25.399100000000001</v>
      </c>
      <c r="J15">
        <v>-8.9999999999999998E-4</v>
      </c>
      <c r="M15">
        <v>25.5</v>
      </c>
      <c r="N15">
        <v>25.3</v>
      </c>
      <c r="O15" t="s">
        <v>105</v>
      </c>
      <c r="P15">
        <v>4.7000000000000002E-3</v>
      </c>
      <c r="Q15">
        <v>0.05</v>
      </c>
      <c r="R15" t="s">
        <v>105</v>
      </c>
    </row>
    <row r="16" spans="1:18" x14ac:dyDescent="0.4">
      <c r="A16">
        <v>10</v>
      </c>
      <c r="B16" t="s">
        <v>1</v>
      </c>
      <c r="C16" t="s">
        <v>111</v>
      </c>
      <c r="D16">
        <v>25.4</v>
      </c>
      <c r="G16">
        <v>25.402200000000001</v>
      </c>
      <c r="J16">
        <v>2.2000000000000001E-3</v>
      </c>
      <c r="M16">
        <v>25.5</v>
      </c>
      <c r="N16">
        <v>25.3</v>
      </c>
      <c r="O16" t="s">
        <v>105</v>
      </c>
      <c r="P16">
        <v>8.3999999999999995E-3</v>
      </c>
      <c r="Q16">
        <v>0.05</v>
      </c>
      <c r="R16" t="s">
        <v>105</v>
      </c>
    </row>
    <row r="17" spans="1:18" x14ac:dyDescent="0.4">
      <c r="A17">
        <v>11</v>
      </c>
      <c r="B17" t="s">
        <v>2</v>
      </c>
      <c r="C17" t="s">
        <v>111</v>
      </c>
      <c r="D17">
        <v>25.4</v>
      </c>
      <c r="G17">
        <v>25.403300000000002</v>
      </c>
      <c r="J17">
        <v>3.3E-3</v>
      </c>
      <c r="M17">
        <v>25.5</v>
      </c>
      <c r="N17">
        <v>25.3</v>
      </c>
      <c r="O17" t="s">
        <v>105</v>
      </c>
      <c r="P17">
        <v>4.7000000000000002E-3</v>
      </c>
      <c r="Q17">
        <v>0.05</v>
      </c>
      <c r="R17" t="s">
        <v>105</v>
      </c>
    </row>
    <row r="18" spans="1:18" x14ac:dyDescent="0.4">
      <c r="A18">
        <v>12</v>
      </c>
      <c r="B18" t="s">
        <v>3</v>
      </c>
      <c r="C18" t="s">
        <v>111</v>
      </c>
      <c r="D18">
        <v>25.4</v>
      </c>
      <c r="G18">
        <v>25.404499999999999</v>
      </c>
      <c r="J18">
        <v>4.4999999999999997E-3</v>
      </c>
      <c r="M18">
        <v>25.5</v>
      </c>
      <c r="N18">
        <v>25.3</v>
      </c>
      <c r="O18" t="s">
        <v>105</v>
      </c>
      <c r="P18">
        <v>8.3000000000000001E-3</v>
      </c>
      <c r="Q18">
        <v>0.05</v>
      </c>
      <c r="R18" t="s">
        <v>105</v>
      </c>
    </row>
    <row r="19" spans="1:18" x14ac:dyDescent="0.4">
      <c r="A19">
        <v>13</v>
      </c>
      <c r="B19" t="s">
        <v>4</v>
      </c>
      <c r="C19" t="s">
        <v>111</v>
      </c>
      <c r="D19">
        <v>25.4</v>
      </c>
      <c r="G19">
        <v>25.402699999999999</v>
      </c>
      <c r="J19">
        <v>2.7000000000000001E-3</v>
      </c>
      <c r="M19">
        <v>25.5</v>
      </c>
      <c r="N19">
        <v>25.3</v>
      </c>
      <c r="O19" t="s">
        <v>105</v>
      </c>
      <c r="P19">
        <v>4.4999999999999997E-3</v>
      </c>
      <c r="Q19">
        <v>0.05</v>
      </c>
      <c r="R19" t="s">
        <v>105</v>
      </c>
    </row>
    <row r="20" spans="1:18" x14ac:dyDescent="0.4">
      <c r="A20">
        <v>14</v>
      </c>
      <c r="B20" t="s">
        <v>5</v>
      </c>
      <c r="C20" t="s">
        <v>112</v>
      </c>
      <c r="D20">
        <v>72.887</v>
      </c>
      <c r="G20">
        <v>72.879800000000003</v>
      </c>
      <c r="J20">
        <v>-7.1999999999999998E-3</v>
      </c>
      <c r="M20">
        <v>72.986999999999995</v>
      </c>
      <c r="N20">
        <v>72.787000000000006</v>
      </c>
      <c r="O20" t="s">
        <v>105</v>
      </c>
    </row>
    <row r="21" spans="1:18" x14ac:dyDescent="0.4">
      <c r="A21">
        <v>15</v>
      </c>
      <c r="B21" t="s">
        <v>6</v>
      </c>
      <c r="C21" t="s">
        <v>112</v>
      </c>
      <c r="D21">
        <v>73.745999999999995</v>
      </c>
      <c r="G21">
        <v>73.712199999999996</v>
      </c>
      <c r="J21">
        <v>-3.3799999999999997E-2</v>
      </c>
      <c r="M21">
        <v>73.846000000000004</v>
      </c>
      <c r="N21">
        <v>73.646000000000001</v>
      </c>
      <c r="O21" t="s">
        <v>105</v>
      </c>
    </row>
    <row r="22" spans="1:18" x14ac:dyDescent="0.4">
      <c r="A22">
        <v>16</v>
      </c>
      <c r="B22" t="s">
        <v>7</v>
      </c>
      <c r="C22" t="s">
        <v>112</v>
      </c>
      <c r="D22">
        <v>72.376999999999995</v>
      </c>
      <c r="G22">
        <v>72.340100000000007</v>
      </c>
      <c r="J22">
        <v>-3.6900000000000002E-2</v>
      </c>
      <c r="M22">
        <v>72.477000000000004</v>
      </c>
      <c r="N22">
        <v>72.277000000000001</v>
      </c>
      <c r="O22" t="s">
        <v>105</v>
      </c>
    </row>
    <row r="23" spans="1:18" x14ac:dyDescent="0.4">
      <c r="A23">
        <v>17</v>
      </c>
      <c r="B23" t="s">
        <v>8</v>
      </c>
      <c r="C23" t="s">
        <v>112</v>
      </c>
      <c r="D23">
        <v>72.031000000000006</v>
      </c>
      <c r="G23">
        <v>71.9649</v>
      </c>
      <c r="J23">
        <v>-6.6100000000000006E-2</v>
      </c>
      <c r="M23">
        <v>72.131</v>
      </c>
      <c r="N23">
        <v>71.930999999999997</v>
      </c>
      <c r="O23" t="s">
        <v>105</v>
      </c>
    </row>
    <row r="24" spans="1:18" x14ac:dyDescent="0.4">
      <c r="A24">
        <v>18</v>
      </c>
      <c r="B24" t="s">
        <v>9</v>
      </c>
      <c r="C24" t="s">
        <v>112</v>
      </c>
      <c r="D24">
        <v>75.007000000000005</v>
      </c>
      <c r="G24">
        <v>74.988699999999994</v>
      </c>
      <c r="J24">
        <v>-1.83E-2</v>
      </c>
      <c r="M24">
        <v>75.106999999999999</v>
      </c>
      <c r="N24">
        <v>74.906999999999996</v>
      </c>
      <c r="O24" t="s">
        <v>105</v>
      </c>
    </row>
    <row r="25" spans="1:18" x14ac:dyDescent="0.4">
      <c r="A25">
        <v>19</v>
      </c>
      <c r="B25" t="s">
        <v>10</v>
      </c>
      <c r="C25" t="s">
        <v>112</v>
      </c>
      <c r="D25">
        <v>74.007000000000005</v>
      </c>
      <c r="G25">
        <v>73.985799999999998</v>
      </c>
      <c r="J25">
        <v>-2.12E-2</v>
      </c>
      <c r="M25">
        <v>74.106999999999999</v>
      </c>
      <c r="N25">
        <v>73.906999999999996</v>
      </c>
      <c r="O25" t="s">
        <v>105</v>
      </c>
    </row>
    <row r="26" spans="1:18" x14ac:dyDescent="0.4">
      <c r="A26">
        <v>20</v>
      </c>
      <c r="B26" t="s">
        <v>11</v>
      </c>
      <c r="C26" t="s">
        <v>112</v>
      </c>
      <c r="D26">
        <v>126</v>
      </c>
      <c r="G26">
        <v>125.9329</v>
      </c>
      <c r="J26">
        <v>-6.7100000000000007E-2</v>
      </c>
      <c r="M26">
        <v>126.1</v>
      </c>
      <c r="N26">
        <v>125.9</v>
      </c>
      <c r="O26" t="s">
        <v>105</v>
      </c>
    </row>
    <row r="27" spans="1:18" x14ac:dyDescent="0.4">
      <c r="A27">
        <v>21</v>
      </c>
      <c r="B27" t="s">
        <v>12</v>
      </c>
      <c r="C27" t="s">
        <v>112</v>
      </c>
      <c r="D27">
        <v>124.004</v>
      </c>
      <c r="G27">
        <v>123.9256</v>
      </c>
      <c r="J27">
        <v>-7.8399999999999997E-2</v>
      </c>
      <c r="M27">
        <v>124.104</v>
      </c>
      <c r="N27">
        <v>123.904</v>
      </c>
      <c r="O27" t="s">
        <v>105</v>
      </c>
    </row>
    <row r="28" spans="1:18" x14ac:dyDescent="0.4">
      <c r="A28">
        <v>22</v>
      </c>
      <c r="B28" t="s">
        <v>13</v>
      </c>
      <c r="C28" t="s">
        <v>112</v>
      </c>
      <c r="D28">
        <v>145.262</v>
      </c>
      <c r="G28">
        <v>145.21700000000001</v>
      </c>
      <c r="J28">
        <v>-4.4999999999999998E-2</v>
      </c>
      <c r="M28">
        <v>145.36199999999999</v>
      </c>
      <c r="N28">
        <v>145.16200000000001</v>
      </c>
      <c r="O28" t="s">
        <v>105</v>
      </c>
    </row>
    <row r="29" spans="1:18" x14ac:dyDescent="0.4">
      <c r="A29">
        <v>23</v>
      </c>
      <c r="B29" t="s">
        <v>14</v>
      </c>
      <c r="C29" t="s">
        <v>112</v>
      </c>
      <c r="D29">
        <v>145.774</v>
      </c>
      <c r="G29">
        <v>145.6737</v>
      </c>
      <c r="J29">
        <v>-0.1003</v>
      </c>
      <c r="M29">
        <v>145.874</v>
      </c>
      <c r="N29">
        <v>145.67400000000001</v>
      </c>
      <c r="O29" t="s">
        <v>107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A76AF-0532-41DB-B70B-45ABCAD652C7}">
  <dimension ref="A1:R29"/>
  <sheetViews>
    <sheetView workbookViewId="0"/>
  </sheetViews>
  <sheetFormatPr defaultRowHeight="14.6" x14ac:dyDescent="0.4"/>
  <cols>
    <col min="1" max="1" width="24.23046875" bestFit="1" customWidth="1"/>
    <col min="2" max="2" width="13.921875" bestFit="1" customWidth="1"/>
    <col min="3" max="3" width="17.53515625" bestFit="1" customWidth="1"/>
    <col min="4" max="4" width="7.84375" bestFit="1" customWidth="1"/>
    <col min="5" max="5" width="5.4609375" bestFit="1" customWidth="1"/>
    <col min="6" max="6" width="1.84375" bestFit="1" customWidth="1"/>
    <col min="7" max="7" width="8.84375" bestFit="1" customWidth="1"/>
    <col min="8" max="8" width="8.4609375" bestFit="1" customWidth="1"/>
    <col min="9" max="9" width="6.84375" bestFit="1" customWidth="1"/>
    <col min="10" max="10" width="7.4609375" bestFit="1" customWidth="1"/>
    <col min="11" max="12" width="6.84375" bestFit="1" customWidth="1"/>
    <col min="13" max="14" width="7.84375" bestFit="1" customWidth="1"/>
    <col min="15" max="15" width="4.84375" bestFit="1" customWidth="1"/>
    <col min="16" max="16" width="6.84375" bestFit="1" customWidth="1"/>
    <col min="17" max="18" width="4.84375" bestFit="1" customWidth="1"/>
  </cols>
  <sheetData>
    <row r="1" spans="1:18" x14ac:dyDescent="0.4">
      <c r="A1" t="s">
        <v>91</v>
      </c>
      <c r="B1" t="s">
        <v>131</v>
      </c>
    </row>
    <row r="2" spans="1:18" x14ac:dyDescent="0.4">
      <c r="A2" t="s">
        <v>93</v>
      </c>
      <c r="B2" t="s">
        <v>94</v>
      </c>
    </row>
    <row r="3" spans="1:18" x14ac:dyDescent="0.4">
      <c r="A3" t="s">
        <v>95</v>
      </c>
      <c r="B3" t="s">
        <v>147</v>
      </c>
    </row>
    <row r="4" spans="1:18" x14ac:dyDescent="0.4">
      <c r="A4" t="s">
        <v>97</v>
      </c>
      <c r="B4" t="s">
        <v>98</v>
      </c>
    </row>
    <row r="5" spans="1:18" x14ac:dyDescent="0.4">
      <c r="A5" t="s">
        <v>99</v>
      </c>
    </row>
    <row r="6" spans="1:18" x14ac:dyDescent="0.4">
      <c r="A6" t="s">
        <v>100</v>
      </c>
    </row>
    <row r="7" spans="1:18" x14ac:dyDescent="0.4">
      <c r="A7" t="s">
        <v>101</v>
      </c>
    </row>
    <row r="8" spans="1:18" x14ac:dyDescent="0.4">
      <c r="A8" t="s">
        <v>93</v>
      </c>
    </row>
    <row r="9" spans="1:18" x14ac:dyDescent="0.4">
      <c r="A9" t="s">
        <v>102</v>
      </c>
    </row>
    <row r="10" spans="1:18" x14ac:dyDescent="0.4">
      <c r="A10">
        <v>4</v>
      </c>
      <c r="B10" t="s">
        <v>103</v>
      </c>
      <c r="C10" t="s">
        <v>104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105</v>
      </c>
    </row>
    <row r="11" spans="1:18" x14ac:dyDescent="0.4">
      <c r="A11">
        <v>5</v>
      </c>
      <c r="B11" t="s">
        <v>106</v>
      </c>
      <c r="C11" t="s">
        <v>104</v>
      </c>
      <c r="D11">
        <v>62.5</v>
      </c>
      <c r="E11">
        <v>37.5</v>
      </c>
      <c r="F11">
        <v>0</v>
      </c>
      <c r="G11">
        <v>62.482300000000002</v>
      </c>
      <c r="H11">
        <v>37.516599999999997</v>
      </c>
      <c r="I11">
        <v>8.3199999999999996E-2</v>
      </c>
      <c r="J11">
        <v>-1.77E-2</v>
      </c>
      <c r="K11">
        <v>1.66E-2</v>
      </c>
      <c r="L11">
        <v>8.3199999999999996E-2</v>
      </c>
      <c r="P11">
        <v>0.17330000000000001</v>
      </c>
      <c r="Q11">
        <v>0.05</v>
      </c>
      <c r="R11" t="s">
        <v>107</v>
      </c>
    </row>
    <row r="12" spans="1:18" x14ac:dyDescent="0.4">
      <c r="A12">
        <v>6</v>
      </c>
      <c r="B12" t="s">
        <v>108</v>
      </c>
      <c r="C12" t="s">
        <v>104</v>
      </c>
      <c r="D12">
        <v>-63.5</v>
      </c>
      <c r="E12">
        <v>37.5</v>
      </c>
      <c r="F12">
        <v>0</v>
      </c>
      <c r="G12">
        <v>-63.451000000000001</v>
      </c>
      <c r="H12">
        <v>37.516599999999997</v>
      </c>
      <c r="I12">
        <v>6.8500000000000005E-2</v>
      </c>
      <c r="J12">
        <v>4.9000000000000002E-2</v>
      </c>
      <c r="K12">
        <v>1.66E-2</v>
      </c>
      <c r="L12">
        <v>6.8500000000000005E-2</v>
      </c>
      <c r="P12">
        <v>0.17169999999999999</v>
      </c>
      <c r="Q12">
        <v>0.05</v>
      </c>
      <c r="R12" t="s">
        <v>107</v>
      </c>
    </row>
    <row r="13" spans="1:18" x14ac:dyDescent="0.4">
      <c r="A13">
        <v>7</v>
      </c>
      <c r="B13" t="s">
        <v>109</v>
      </c>
      <c r="C13" t="s">
        <v>104</v>
      </c>
      <c r="D13">
        <v>-62.5</v>
      </c>
      <c r="E13">
        <v>-36.5</v>
      </c>
      <c r="F13">
        <v>0</v>
      </c>
      <c r="G13">
        <v>-62.4771</v>
      </c>
      <c r="H13">
        <v>-36.462800000000001</v>
      </c>
      <c r="I13">
        <v>8.3400000000000002E-2</v>
      </c>
      <c r="J13">
        <v>2.29E-2</v>
      </c>
      <c r="K13">
        <v>3.7199999999999997E-2</v>
      </c>
      <c r="L13">
        <v>8.3400000000000002E-2</v>
      </c>
      <c r="P13">
        <v>0.18820000000000001</v>
      </c>
      <c r="Q13">
        <v>0.05</v>
      </c>
      <c r="R13" t="s">
        <v>107</v>
      </c>
    </row>
    <row r="14" spans="1:18" x14ac:dyDescent="0.4">
      <c r="A14">
        <v>8</v>
      </c>
      <c r="B14" t="s">
        <v>110</v>
      </c>
      <c r="C14" t="s">
        <v>104</v>
      </c>
      <c r="D14">
        <v>61.5</v>
      </c>
      <c r="E14">
        <v>-37.5</v>
      </c>
      <c r="F14">
        <v>0</v>
      </c>
      <c r="G14">
        <v>61.443399999999997</v>
      </c>
      <c r="H14">
        <v>-37.465000000000003</v>
      </c>
      <c r="I14">
        <v>6.8900000000000003E-2</v>
      </c>
      <c r="J14">
        <v>-5.6599999999999998E-2</v>
      </c>
      <c r="K14">
        <v>3.5000000000000003E-2</v>
      </c>
      <c r="L14">
        <v>6.8900000000000003E-2</v>
      </c>
      <c r="P14">
        <v>0.19170000000000001</v>
      </c>
      <c r="Q14">
        <v>0.05</v>
      </c>
      <c r="R14" t="s">
        <v>107</v>
      </c>
    </row>
    <row r="15" spans="1:18" x14ac:dyDescent="0.4">
      <c r="A15">
        <v>9</v>
      </c>
      <c r="B15" t="s">
        <v>0</v>
      </c>
      <c r="C15" t="s">
        <v>111</v>
      </c>
      <c r="D15">
        <v>25.4</v>
      </c>
      <c r="G15">
        <v>25.398</v>
      </c>
      <c r="J15">
        <v>-2E-3</v>
      </c>
      <c r="M15">
        <v>25.5</v>
      </c>
      <c r="N15">
        <v>25.3</v>
      </c>
      <c r="O15" t="s">
        <v>105</v>
      </c>
      <c r="P15">
        <v>8.6999999999999994E-3</v>
      </c>
      <c r="Q15">
        <v>0.05</v>
      </c>
      <c r="R15" t="s">
        <v>105</v>
      </c>
    </row>
    <row r="16" spans="1:18" x14ac:dyDescent="0.4">
      <c r="A16">
        <v>10</v>
      </c>
      <c r="B16" t="s">
        <v>1</v>
      </c>
      <c r="C16" t="s">
        <v>111</v>
      </c>
      <c r="D16">
        <v>25.4</v>
      </c>
      <c r="G16">
        <v>25.401900000000001</v>
      </c>
      <c r="J16">
        <v>1.9E-3</v>
      </c>
      <c r="M16">
        <v>25.5</v>
      </c>
      <c r="N16">
        <v>25.3</v>
      </c>
      <c r="O16" t="s">
        <v>105</v>
      </c>
      <c r="P16">
        <v>9.7999999999999997E-3</v>
      </c>
      <c r="Q16">
        <v>0.05</v>
      </c>
      <c r="R16" t="s">
        <v>105</v>
      </c>
    </row>
    <row r="17" spans="1:18" x14ac:dyDescent="0.4">
      <c r="A17">
        <v>11</v>
      </c>
      <c r="B17" t="s">
        <v>2</v>
      </c>
      <c r="C17" t="s">
        <v>111</v>
      </c>
      <c r="D17">
        <v>25.4</v>
      </c>
      <c r="G17">
        <v>25.403300000000002</v>
      </c>
      <c r="J17">
        <v>3.3E-3</v>
      </c>
      <c r="M17">
        <v>25.5</v>
      </c>
      <c r="N17">
        <v>25.3</v>
      </c>
      <c r="O17" t="s">
        <v>105</v>
      </c>
      <c r="P17">
        <v>8.0000000000000002E-3</v>
      </c>
      <c r="Q17">
        <v>0.05</v>
      </c>
      <c r="R17" t="s">
        <v>105</v>
      </c>
    </row>
    <row r="18" spans="1:18" x14ac:dyDescent="0.4">
      <c r="A18">
        <v>12</v>
      </c>
      <c r="B18" t="s">
        <v>3</v>
      </c>
      <c r="C18" t="s">
        <v>111</v>
      </c>
      <c r="D18">
        <v>25.4</v>
      </c>
      <c r="G18">
        <v>25.404800000000002</v>
      </c>
      <c r="J18">
        <v>4.7999999999999996E-3</v>
      </c>
      <c r="M18">
        <v>25.5</v>
      </c>
      <c r="N18">
        <v>25.3</v>
      </c>
      <c r="O18" t="s">
        <v>105</v>
      </c>
      <c r="P18">
        <v>9.5999999999999992E-3</v>
      </c>
      <c r="Q18">
        <v>0.05</v>
      </c>
      <c r="R18" t="s">
        <v>105</v>
      </c>
    </row>
    <row r="19" spans="1:18" x14ac:dyDescent="0.4">
      <c r="A19">
        <v>13</v>
      </c>
      <c r="B19" t="s">
        <v>4</v>
      </c>
      <c r="C19" t="s">
        <v>111</v>
      </c>
      <c r="D19">
        <v>25.4</v>
      </c>
      <c r="G19">
        <v>25.402999999999999</v>
      </c>
      <c r="J19">
        <v>3.0000000000000001E-3</v>
      </c>
      <c r="M19">
        <v>25.5</v>
      </c>
      <c r="N19">
        <v>25.3</v>
      </c>
      <c r="O19" t="s">
        <v>105</v>
      </c>
      <c r="P19">
        <v>6.4000000000000003E-3</v>
      </c>
      <c r="Q19">
        <v>0.05</v>
      </c>
      <c r="R19" t="s">
        <v>105</v>
      </c>
    </row>
    <row r="20" spans="1:18" x14ac:dyDescent="0.4">
      <c r="A20">
        <v>14</v>
      </c>
      <c r="B20" t="s">
        <v>5</v>
      </c>
      <c r="C20" t="s">
        <v>112</v>
      </c>
      <c r="D20">
        <v>72.887</v>
      </c>
      <c r="G20">
        <v>72.880399999999995</v>
      </c>
      <c r="J20">
        <v>-6.6E-3</v>
      </c>
      <c r="M20">
        <v>72.986999999999995</v>
      </c>
      <c r="N20">
        <v>72.787000000000006</v>
      </c>
      <c r="O20" t="s">
        <v>105</v>
      </c>
    </row>
    <row r="21" spans="1:18" x14ac:dyDescent="0.4">
      <c r="A21">
        <v>15</v>
      </c>
      <c r="B21" t="s">
        <v>6</v>
      </c>
      <c r="C21" t="s">
        <v>112</v>
      </c>
      <c r="D21">
        <v>73.745999999999995</v>
      </c>
      <c r="G21">
        <v>73.712500000000006</v>
      </c>
      <c r="J21">
        <v>-3.3500000000000002E-2</v>
      </c>
      <c r="M21">
        <v>73.846000000000004</v>
      </c>
      <c r="N21">
        <v>73.646000000000001</v>
      </c>
      <c r="O21" t="s">
        <v>105</v>
      </c>
    </row>
    <row r="22" spans="1:18" x14ac:dyDescent="0.4">
      <c r="A22">
        <v>16</v>
      </c>
      <c r="B22" t="s">
        <v>7</v>
      </c>
      <c r="C22" t="s">
        <v>112</v>
      </c>
      <c r="D22">
        <v>72.376999999999995</v>
      </c>
      <c r="G22">
        <v>72.338999999999999</v>
      </c>
      <c r="J22">
        <v>-3.7999999999999999E-2</v>
      </c>
      <c r="M22">
        <v>72.477000000000004</v>
      </c>
      <c r="N22">
        <v>72.277000000000001</v>
      </c>
      <c r="O22" t="s">
        <v>105</v>
      </c>
    </row>
    <row r="23" spans="1:18" x14ac:dyDescent="0.4">
      <c r="A23">
        <v>17</v>
      </c>
      <c r="B23" t="s">
        <v>8</v>
      </c>
      <c r="C23" t="s">
        <v>112</v>
      </c>
      <c r="D23">
        <v>72.031000000000006</v>
      </c>
      <c r="G23">
        <v>71.964699999999993</v>
      </c>
      <c r="J23">
        <v>-6.6299999999999998E-2</v>
      </c>
      <c r="M23">
        <v>72.131</v>
      </c>
      <c r="N23">
        <v>71.930999999999997</v>
      </c>
      <c r="O23" t="s">
        <v>105</v>
      </c>
    </row>
    <row r="24" spans="1:18" x14ac:dyDescent="0.4">
      <c r="A24">
        <v>18</v>
      </c>
      <c r="B24" t="s">
        <v>9</v>
      </c>
      <c r="C24" t="s">
        <v>112</v>
      </c>
      <c r="D24">
        <v>75.007000000000005</v>
      </c>
      <c r="G24">
        <v>74.988799999999998</v>
      </c>
      <c r="J24">
        <v>-1.8200000000000001E-2</v>
      </c>
      <c r="M24">
        <v>75.106999999999999</v>
      </c>
      <c r="N24">
        <v>74.906999999999996</v>
      </c>
      <c r="O24" t="s">
        <v>105</v>
      </c>
    </row>
    <row r="25" spans="1:18" x14ac:dyDescent="0.4">
      <c r="A25">
        <v>19</v>
      </c>
      <c r="B25" t="s">
        <v>10</v>
      </c>
      <c r="C25" t="s">
        <v>112</v>
      </c>
      <c r="D25">
        <v>74.007000000000005</v>
      </c>
      <c r="G25">
        <v>73.985900000000001</v>
      </c>
      <c r="J25">
        <v>-2.1100000000000001E-2</v>
      </c>
      <c r="M25">
        <v>74.106999999999999</v>
      </c>
      <c r="N25">
        <v>73.906999999999996</v>
      </c>
      <c r="O25" t="s">
        <v>105</v>
      </c>
    </row>
    <row r="26" spans="1:18" x14ac:dyDescent="0.4">
      <c r="A26">
        <v>20</v>
      </c>
      <c r="B26" t="s">
        <v>11</v>
      </c>
      <c r="C26" t="s">
        <v>112</v>
      </c>
      <c r="D26">
        <v>126</v>
      </c>
      <c r="G26">
        <v>125.9333</v>
      </c>
      <c r="J26">
        <v>-6.6699999999999995E-2</v>
      </c>
      <c r="M26">
        <v>126.1</v>
      </c>
      <c r="N26">
        <v>125.9</v>
      </c>
      <c r="O26" t="s">
        <v>105</v>
      </c>
    </row>
    <row r="27" spans="1:18" x14ac:dyDescent="0.4">
      <c r="A27">
        <v>21</v>
      </c>
      <c r="B27" t="s">
        <v>12</v>
      </c>
      <c r="C27" t="s">
        <v>112</v>
      </c>
      <c r="D27">
        <v>124.004</v>
      </c>
      <c r="G27">
        <v>123.9246</v>
      </c>
      <c r="J27">
        <v>-7.9399999999999998E-2</v>
      </c>
      <c r="M27">
        <v>124.104</v>
      </c>
      <c r="N27">
        <v>123.904</v>
      </c>
      <c r="O27" t="s">
        <v>105</v>
      </c>
    </row>
    <row r="28" spans="1:18" x14ac:dyDescent="0.4">
      <c r="A28">
        <v>22</v>
      </c>
      <c r="B28" t="s">
        <v>13</v>
      </c>
      <c r="C28" t="s">
        <v>112</v>
      </c>
      <c r="D28">
        <v>145.262</v>
      </c>
      <c r="G28">
        <v>145.2165</v>
      </c>
      <c r="J28">
        <v>-4.5499999999999999E-2</v>
      </c>
      <c r="M28">
        <v>145.36199999999999</v>
      </c>
      <c r="N28">
        <v>145.16200000000001</v>
      </c>
      <c r="O28" t="s">
        <v>105</v>
      </c>
    </row>
    <row r="29" spans="1:18" x14ac:dyDescent="0.4">
      <c r="A29">
        <v>23</v>
      </c>
      <c r="B29" t="s">
        <v>14</v>
      </c>
      <c r="C29" t="s">
        <v>112</v>
      </c>
      <c r="D29">
        <v>145.774</v>
      </c>
      <c r="G29">
        <v>145.6737</v>
      </c>
      <c r="J29">
        <v>-0.1003</v>
      </c>
      <c r="M29">
        <v>145.874</v>
      </c>
      <c r="N29">
        <v>145.67400000000001</v>
      </c>
      <c r="O29" t="s">
        <v>107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6CD93-401D-451B-8ADF-C03DBAE805A0}">
  <dimension ref="A1:R29"/>
  <sheetViews>
    <sheetView workbookViewId="0"/>
  </sheetViews>
  <sheetFormatPr defaultRowHeight="14.6" x14ac:dyDescent="0.4"/>
  <cols>
    <col min="1" max="1" width="24.23046875" bestFit="1" customWidth="1"/>
    <col min="2" max="2" width="13.921875" bestFit="1" customWidth="1"/>
    <col min="3" max="3" width="17.53515625" bestFit="1" customWidth="1"/>
    <col min="4" max="4" width="7.84375" bestFit="1" customWidth="1"/>
    <col min="5" max="5" width="5.4609375" bestFit="1" customWidth="1"/>
    <col min="6" max="6" width="1.84375" bestFit="1" customWidth="1"/>
    <col min="7" max="7" width="8.84375" bestFit="1" customWidth="1"/>
    <col min="8" max="8" width="8.4609375" bestFit="1" customWidth="1"/>
    <col min="9" max="9" width="6.84375" bestFit="1" customWidth="1"/>
    <col min="10" max="10" width="7.4609375" bestFit="1" customWidth="1"/>
    <col min="11" max="12" width="6.84375" bestFit="1" customWidth="1"/>
    <col min="13" max="14" width="7.84375" bestFit="1" customWidth="1"/>
    <col min="15" max="15" width="4.84375" bestFit="1" customWidth="1"/>
    <col min="16" max="16" width="6.84375" bestFit="1" customWidth="1"/>
    <col min="17" max="18" width="4.84375" bestFit="1" customWidth="1"/>
  </cols>
  <sheetData>
    <row r="1" spans="1:18" x14ac:dyDescent="0.4">
      <c r="A1" t="s">
        <v>91</v>
      </c>
      <c r="B1" t="s">
        <v>131</v>
      </c>
    </row>
    <row r="2" spans="1:18" x14ac:dyDescent="0.4">
      <c r="A2" t="s">
        <v>93</v>
      </c>
      <c r="B2" t="s">
        <v>94</v>
      </c>
    </row>
    <row r="3" spans="1:18" x14ac:dyDescent="0.4">
      <c r="A3" t="s">
        <v>95</v>
      </c>
      <c r="B3" t="s">
        <v>148</v>
      </c>
    </row>
    <row r="4" spans="1:18" x14ac:dyDescent="0.4">
      <c r="A4" t="s">
        <v>97</v>
      </c>
      <c r="B4" t="s">
        <v>98</v>
      </c>
    </row>
    <row r="5" spans="1:18" x14ac:dyDescent="0.4">
      <c r="A5" t="s">
        <v>99</v>
      </c>
    </row>
    <row r="6" spans="1:18" x14ac:dyDescent="0.4">
      <c r="A6" t="s">
        <v>100</v>
      </c>
    </row>
    <row r="7" spans="1:18" x14ac:dyDescent="0.4">
      <c r="A7" t="s">
        <v>101</v>
      </c>
    </row>
    <row r="8" spans="1:18" x14ac:dyDescent="0.4">
      <c r="A8" t="s">
        <v>93</v>
      </c>
    </row>
    <row r="9" spans="1:18" x14ac:dyDescent="0.4">
      <c r="A9" t="s">
        <v>102</v>
      </c>
    </row>
    <row r="10" spans="1:18" x14ac:dyDescent="0.4">
      <c r="A10">
        <v>4</v>
      </c>
      <c r="B10" t="s">
        <v>103</v>
      </c>
      <c r="C10" t="s">
        <v>104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105</v>
      </c>
    </row>
    <row r="11" spans="1:18" x14ac:dyDescent="0.4">
      <c r="A11">
        <v>5</v>
      </c>
      <c r="B11" t="s">
        <v>106</v>
      </c>
      <c r="C11" t="s">
        <v>104</v>
      </c>
      <c r="D11">
        <v>62.5</v>
      </c>
      <c r="E11">
        <v>37.5</v>
      </c>
      <c r="F11">
        <v>0</v>
      </c>
      <c r="G11">
        <v>62.481999999999999</v>
      </c>
      <c r="H11">
        <v>37.516399999999997</v>
      </c>
      <c r="I11">
        <v>8.3599999999999994E-2</v>
      </c>
      <c r="J11">
        <v>-1.7999999999999999E-2</v>
      </c>
      <c r="K11">
        <v>1.6400000000000001E-2</v>
      </c>
      <c r="L11">
        <v>8.3599999999999994E-2</v>
      </c>
      <c r="P11">
        <v>0.17419999999999999</v>
      </c>
      <c r="Q11">
        <v>0.05</v>
      </c>
      <c r="R11" t="s">
        <v>107</v>
      </c>
    </row>
    <row r="12" spans="1:18" x14ac:dyDescent="0.4">
      <c r="A12">
        <v>6</v>
      </c>
      <c r="B12" t="s">
        <v>108</v>
      </c>
      <c r="C12" t="s">
        <v>104</v>
      </c>
      <c r="D12">
        <v>-63.5</v>
      </c>
      <c r="E12">
        <v>37.5</v>
      </c>
      <c r="F12">
        <v>0</v>
      </c>
      <c r="G12">
        <v>-63.451300000000003</v>
      </c>
      <c r="H12">
        <v>37.516399999999997</v>
      </c>
      <c r="I12">
        <v>6.88E-2</v>
      </c>
      <c r="J12">
        <v>4.87E-2</v>
      </c>
      <c r="K12">
        <v>1.6400000000000001E-2</v>
      </c>
      <c r="L12">
        <v>6.88E-2</v>
      </c>
      <c r="P12">
        <v>0.17180000000000001</v>
      </c>
      <c r="Q12">
        <v>0.05</v>
      </c>
      <c r="R12" t="s">
        <v>107</v>
      </c>
    </row>
    <row r="13" spans="1:18" x14ac:dyDescent="0.4">
      <c r="A13">
        <v>7</v>
      </c>
      <c r="B13" t="s">
        <v>109</v>
      </c>
      <c r="C13" t="s">
        <v>104</v>
      </c>
      <c r="D13">
        <v>-62.5</v>
      </c>
      <c r="E13">
        <v>-36.5</v>
      </c>
      <c r="F13">
        <v>0</v>
      </c>
      <c r="G13">
        <v>-62.478200000000001</v>
      </c>
      <c r="H13">
        <v>-36.462600000000002</v>
      </c>
      <c r="I13">
        <v>8.3799999999999999E-2</v>
      </c>
      <c r="J13">
        <v>2.18E-2</v>
      </c>
      <c r="K13">
        <v>3.7400000000000003E-2</v>
      </c>
      <c r="L13">
        <v>8.3799999999999999E-2</v>
      </c>
      <c r="P13">
        <v>0.18870000000000001</v>
      </c>
      <c r="Q13">
        <v>0.05</v>
      </c>
      <c r="R13" t="s">
        <v>107</v>
      </c>
    </row>
    <row r="14" spans="1:18" x14ac:dyDescent="0.4">
      <c r="A14">
        <v>8</v>
      </c>
      <c r="B14" t="s">
        <v>110</v>
      </c>
      <c r="C14" t="s">
        <v>104</v>
      </c>
      <c r="D14">
        <v>61.5</v>
      </c>
      <c r="E14">
        <v>-37.5</v>
      </c>
      <c r="F14">
        <v>0</v>
      </c>
      <c r="G14">
        <v>61.443100000000001</v>
      </c>
      <c r="H14">
        <v>-37.465000000000003</v>
      </c>
      <c r="I14">
        <v>6.93E-2</v>
      </c>
      <c r="J14">
        <v>-5.6899999999999999E-2</v>
      </c>
      <c r="K14">
        <v>3.5000000000000003E-2</v>
      </c>
      <c r="L14">
        <v>6.93E-2</v>
      </c>
      <c r="P14">
        <v>0.1925</v>
      </c>
      <c r="Q14">
        <v>0.05</v>
      </c>
      <c r="R14" t="s">
        <v>107</v>
      </c>
    </row>
    <row r="15" spans="1:18" x14ac:dyDescent="0.4">
      <c r="A15">
        <v>9</v>
      </c>
      <c r="B15" t="s">
        <v>0</v>
      </c>
      <c r="C15" t="s">
        <v>111</v>
      </c>
      <c r="D15">
        <v>25.4</v>
      </c>
      <c r="G15">
        <v>25.3993</v>
      </c>
      <c r="J15">
        <v>-6.9999999999999999E-4</v>
      </c>
      <c r="M15">
        <v>25.5</v>
      </c>
      <c r="N15">
        <v>25.3</v>
      </c>
      <c r="O15" t="s">
        <v>105</v>
      </c>
      <c r="P15">
        <v>4.7000000000000002E-3</v>
      </c>
      <c r="Q15">
        <v>0.05</v>
      </c>
      <c r="R15" t="s">
        <v>105</v>
      </c>
    </row>
    <row r="16" spans="1:18" x14ac:dyDescent="0.4">
      <c r="A16">
        <v>10</v>
      </c>
      <c r="B16" t="s">
        <v>1</v>
      </c>
      <c r="C16" t="s">
        <v>111</v>
      </c>
      <c r="D16">
        <v>25.4</v>
      </c>
      <c r="G16">
        <v>25.4024</v>
      </c>
      <c r="J16">
        <v>2.3999999999999998E-3</v>
      </c>
      <c r="M16">
        <v>25.5</v>
      </c>
      <c r="N16">
        <v>25.3</v>
      </c>
      <c r="O16" t="s">
        <v>105</v>
      </c>
      <c r="P16">
        <v>8.0000000000000002E-3</v>
      </c>
      <c r="Q16">
        <v>0.05</v>
      </c>
      <c r="R16" t="s">
        <v>105</v>
      </c>
    </row>
    <row r="17" spans="1:18" x14ac:dyDescent="0.4">
      <c r="A17">
        <v>11</v>
      </c>
      <c r="B17" t="s">
        <v>2</v>
      </c>
      <c r="C17" t="s">
        <v>111</v>
      </c>
      <c r="D17">
        <v>25.4</v>
      </c>
      <c r="G17">
        <v>25.403099999999998</v>
      </c>
      <c r="J17">
        <v>3.0999999999999999E-3</v>
      </c>
      <c r="M17">
        <v>25.5</v>
      </c>
      <c r="N17">
        <v>25.3</v>
      </c>
      <c r="O17" t="s">
        <v>105</v>
      </c>
      <c r="P17">
        <v>5.7000000000000002E-3</v>
      </c>
      <c r="Q17">
        <v>0.05</v>
      </c>
      <c r="R17" t="s">
        <v>105</v>
      </c>
    </row>
    <row r="18" spans="1:18" x14ac:dyDescent="0.4">
      <c r="A18">
        <v>12</v>
      </c>
      <c r="B18" t="s">
        <v>3</v>
      </c>
      <c r="C18" t="s">
        <v>111</v>
      </c>
      <c r="D18">
        <v>25.4</v>
      </c>
      <c r="G18">
        <v>25.404199999999999</v>
      </c>
      <c r="J18">
        <v>4.1999999999999997E-3</v>
      </c>
      <c r="M18">
        <v>25.5</v>
      </c>
      <c r="N18">
        <v>25.3</v>
      </c>
      <c r="O18" t="s">
        <v>105</v>
      </c>
      <c r="P18">
        <v>6.8999999999999999E-3</v>
      </c>
      <c r="Q18">
        <v>0.05</v>
      </c>
      <c r="R18" t="s">
        <v>105</v>
      </c>
    </row>
    <row r="19" spans="1:18" x14ac:dyDescent="0.4">
      <c r="A19">
        <v>13</v>
      </c>
      <c r="B19" t="s">
        <v>4</v>
      </c>
      <c r="C19" t="s">
        <v>111</v>
      </c>
      <c r="D19">
        <v>25.4</v>
      </c>
      <c r="G19">
        <v>25.4025</v>
      </c>
      <c r="J19">
        <v>2.5000000000000001E-3</v>
      </c>
      <c r="M19">
        <v>25.5</v>
      </c>
      <c r="N19">
        <v>25.3</v>
      </c>
      <c r="O19" t="s">
        <v>105</v>
      </c>
      <c r="P19">
        <v>8.9999999999999993E-3</v>
      </c>
      <c r="Q19">
        <v>0.05</v>
      </c>
      <c r="R19" t="s">
        <v>105</v>
      </c>
    </row>
    <row r="20" spans="1:18" x14ac:dyDescent="0.4">
      <c r="A20">
        <v>14</v>
      </c>
      <c r="B20" t="s">
        <v>5</v>
      </c>
      <c r="C20" t="s">
        <v>112</v>
      </c>
      <c r="D20">
        <v>72.887</v>
      </c>
      <c r="G20">
        <v>72.879900000000006</v>
      </c>
      <c r="J20">
        <v>-7.1000000000000004E-3</v>
      </c>
      <c r="M20">
        <v>72.986999999999995</v>
      </c>
      <c r="N20">
        <v>72.787000000000006</v>
      </c>
      <c r="O20" t="s">
        <v>105</v>
      </c>
    </row>
    <row r="21" spans="1:18" x14ac:dyDescent="0.4">
      <c r="A21">
        <v>15</v>
      </c>
      <c r="B21" t="s">
        <v>6</v>
      </c>
      <c r="C21" t="s">
        <v>112</v>
      </c>
      <c r="D21">
        <v>73.745999999999995</v>
      </c>
      <c r="G21">
        <v>73.712699999999998</v>
      </c>
      <c r="J21">
        <v>-3.3300000000000003E-2</v>
      </c>
      <c r="M21">
        <v>73.846000000000004</v>
      </c>
      <c r="N21">
        <v>73.646000000000001</v>
      </c>
      <c r="O21" t="s">
        <v>105</v>
      </c>
    </row>
    <row r="22" spans="1:18" x14ac:dyDescent="0.4">
      <c r="A22">
        <v>16</v>
      </c>
      <c r="B22" t="s">
        <v>7</v>
      </c>
      <c r="C22" t="s">
        <v>112</v>
      </c>
      <c r="D22">
        <v>72.376999999999995</v>
      </c>
      <c r="G22">
        <v>72.339799999999997</v>
      </c>
      <c r="J22">
        <v>-3.7199999999999997E-2</v>
      </c>
      <c r="M22">
        <v>72.477000000000004</v>
      </c>
      <c r="N22">
        <v>72.277000000000001</v>
      </c>
      <c r="O22" t="s">
        <v>105</v>
      </c>
    </row>
    <row r="23" spans="1:18" x14ac:dyDescent="0.4">
      <c r="A23">
        <v>17</v>
      </c>
      <c r="B23" t="s">
        <v>8</v>
      </c>
      <c r="C23" t="s">
        <v>112</v>
      </c>
      <c r="D23">
        <v>72.031000000000006</v>
      </c>
      <c r="G23">
        <v>71.964500000000001</v>
      </c>
      <c r="J23">
        <v>-6.6500000000000004E-2</v>
      </c>
      <c r="M23">
        <v>72.131</v>
      </c>
      <c r="N23">
        <v>71.930999999999997</v>
      </c>
      <c r="O23" t="s">
        <v>105</v>
      </c>
    </row>
    <row r="24" spans="1:18" x14ac:dyDescent="0.4">
      <c r="A24">
        <v>18</v>
      </c>
      <c r="B24" t="s">
        <v>9</v>
      </c>
      <c r="C24" t="s">
        <v>112</v>
      </c>
      <c r="D24">
        <v>75.007000000000005</v>
      </c>
      <c r="G24">
        <v>74.988600000000005</v>
      </c>
      <c r="J24">
        <v>-1.84E-2</v>
      </c>
      <c r="M24">
        <v>75.106999999999999</v>
      </c>
      <c r="N24">
        <v>74.906999999999996</v>
      </c>
      <c r="O24" t="s">
        <v>105</v>
      </c>
    </row>
    <row r="25" spans="1:18" x14ac:dyDescent="0.4">
      <c r="A25">
        <v>19</v>
      </c>
      <c r="B25" t="s">
        <v>10</v>
      </c>
      <c r="C25" t="s">
        <v>112</v>
      </c>
      <c r="D25">
        <v>74.007000000000005</v>
      </c>
      <c r="G25">
        <v>73.985399999999998</v>
      </c>
      <c r="J25">
        <v>-2.1600000000000001E-2</v>
      </c>
      <c r="M25">
        <v>74.106999999999999</v>
      </c>
      <c r="N25">
        <v>73.906999999999996</v>
      </c>
      <c r="O25" t="s">
        <v>105</v>
      </c>
    </row>
    <row r="26" spans="1:18" x14ac:dyDescent="0.4">
      <c r="A26">
        <v>20</v>
      </c>
      <c r="B26" t="s">
        <v>11</v>
      </c>
      <c r="C26" t="s">
        <v>112</v>
      </c>
      <c r="D26">
        <v>126</v>
      </c>
      <c r="G26">
        <v>125.9333</v>
      </c>
      <c r="J26">
        <v>-6.6699999999999995E-2</v>
      </c>
      <c r="M26">
        <v>126.1</v>
      </c>
      <c r="N26">
        <v>125.9</v>
      </c>
      <c r="O26" t="s">
        <v>105</v>
      </c>
    </row>
    <row r="27" spans="1:18" x14ac:dyDescent="0.4">
      <c r="A27">
        <v>21</v>
      </c>
      <c r="B27" t="s">
        <v>12</v>
      </c>
      <c r="C27" t="s">
        <v>112</v>
      </c>
      <c r="D27">
        <v>124.004</v>
      </c>
      <c r="G27">
        <v>123.92529999999999</v>
      </c>
      <c r="J27">
        <v>-7.8700000000000006E-2</v>
      </c>
      <c r="M27">
        <v>124.104</v>
      </c>
      <c r="N27">
        <v>123.904</v>
      </c>
      <c r="O27" t="s">
        <v>105</v>
      </c>
    </row>
    <row r="28" spans="1:18" x14ac:dyDescent="0.4">
      <c r="A28">
        <v>22</v>
      </c>
      <c r="B28" t="s">
        <v>13</v>
      </c>
      <c r="C28" t="s">
        <v>112</v>
      </c>
      <c r="D28">
        <v>145.262</v>
      </c>
      <c r="G28">
        <v>145.21680000000001</v>
      </c>
      <c r="J28">
        <v>-4.5199999999999997E-2</v>
      </c>
      <c r="M28">
        <v>145.36199999999999</v>
      </c>
      <c r="N28">
        <v>145.16200000000001</v>
      </c>
      <c r="O28" t="s">
        <v>105</v>
      </c>
    </row>
    <row r="29" spans="1:18" x14ac:dyDescent="0.4">
      <c r="A29">
        <v>23</v>
      </c>
      <c r="B29" t="s">
        <v>14</v>
      </c>
      <c r="C29" t="s">
        <v>112</v>
      </c>
      <c r="D29">
        <v>145.774</v>
      </c>
      <c r="G29">
        <v>145.6737</v>
      </c>
      <c r="J29">
        <v>-0.1003</v>
      </c>
      <c r="M29">
        <v>145.874</v>
      </c>
      <c r="N29">
        <v>145.67400000000001</v>
      </c>
      <c r="O29" t="s">
        <v>107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98F0D-5206-4383-A9F0-47B42ED95F13}">
  <dimension ref="A1:R29"/>
  <sheetViews>
    <sheetView workbookViewId="0"/>
  </sheetViews>
  <sheetFormatPr defaultRowHeight="14.6" x14ac:dyDescent="0.4"/>
  <cols>
    <col min="1" max="1" width="24.23046875" bestFit="1" customWidth="1"/>
    <col min="2" max="2" width="13.921875" bestFit="1" customWidth="1"/>
    <col min="3" max="3" width="17.53515625" bestFit="1" customWidth="1"/>
    <col min="4" max="4" width="7.84375" bestFit="1" customWidth="1"/>
    <col min="5" max="5" width="5.4609375" bestFit="1" customWidth="1"/>
    <col min="6" max="6" width="1.84375" bestFit="1" customWidth="1"/>
    <col min="7" max="7" width="8.84375" bestFit="1" customWidth="1"/>
    <col min="8" max="8" width="8.4609375" bestFit="1" customWidth="1"/>
    <col min="9" max="9" width="6.84375" bestFit="1" customWidth="1"/>
    <col min="10" max="10" width="7.4609375" bestFit="1" customWidth="1"/>
    <col min="11" max="12" width="6.84375" bestFit="1" customWidth="1"/>
    <col min="13" max="14" width="7.84375" bestFit="1" customWidth="1"/>
    <col min="15" max="15" width="4.84375" bestFit="1" customWidth="1"/>
    <col min="16" max="16" width="6.84375" bestFit="1" customWidth="1"/>
    <col min="17" max="18" width="4.84375" bestFit="1" customWidth="1"/>
  </cols>
  <sheetData>
    <row r="1" spans="1:18" x14ac:dyDescent="0.4">
      <c r="A1" t="s">
        <v>91</v>
      </c>
      <c r="B1" t="s">
        <v>131</v>
      </c>
    </row>
    <row r="2" spans="1:18" x14ac:dyDescent="0.4">
      <c r="A2" t="s">
        <v>93</v>
      </c>
      <c r="B2" t="s">
        <v>94</v>
      </c>
    </row>
    <row r="3" spans="1:18" x14ac:dyDescent="0.4">
      <c r="A3" t="s">
        <v>95</v>
      </c>
      <c r="B3" t="s">
        <v>149</v>
      </c>
    </row>
    <row r="4" spans="1:18" x14ac:dyDescent="0.4">
      <c r="A4" t="s">
        <v>97</v>
      </c>
      <c r="B4" t="s">
        <v>114</v>
      </c>
    </row>
    <row r="5" spans="1:18" x14ac:dyDescent="0.4">
      <c r="A5" t="s">
        <v>99</v>
      </c>
    </row>
    <row r="6" spans="1:18" x14ac:dyDescent="0.4">
      <c r="A6" t="s">
        <v>100</v>
      </c>
    </row>
    <row r="7" spans="1:18" x14ac:dyDescent="0.4">
      <c r="A7" t="s">
        <v>101</v>
      </c>
    </row>
    <row r="8" spans="1:18" x14ac:dyDescent="0.4">
      <c r="A8" t="s">
        <v>93</v>
      </c>
    </row>
    <row r="9" spans="1:18" x14ac:dyDescent="0.4">
      <c r="A9" t="s">
        <v>102</v>
      </c>
    </row>
    <row r="10" spans="1:18" x14ac:dyDescent="0.4">
      <c r="A10">
        <v>4</v>
      </c>
      <c r="B10" t="s">
        <v>103</v>
      </c>
      <c r="C10" t="s">
        <v>104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105</v>
      </c>
    </row>
    <row r="11" spans="1:18" x14ac:dyDescent="0.4">
      <c r="A11">
        <v>5</v>
      </c>
      <c r="B11" t="s">
        <v>106</v>
      </c>
      <c r="C11" t="s">
        <v>104</v>
      </c>
      <c r="D11">
        <v>62.5</v>
      </c>
      <c r="E11">
        <v>37.5</v>
      </c>
      <c r="F11">
        <v>0</v>
      </c>
      <c r="G11">
        <v>62.482300000000002</v>
      </c>
      <c r="H11">
        <v>37.515999999999998</v>
      </c>
      <c r="I11">
        <v>8.2699999999999996E-2</v>
      </c>
      <c r="J11">
        <v>-1.77E-2</v>
      </c>
      <c r="K11">
        <v>1.6E-2</v>
      </c>
      <c r="L11">
        <v>8.2699999999999996E-2</v>
      </c>
      <c r="P11">
        <v>0.1721</v>
      </c>
      <c r="Q11">
        <v>0.05</v>
      </c>
      <c r="R11" t="s">
        <v>107</v>
      </c>
    </row>
    <row r="12" spans="1:18" x14ac:dyDescent="0.4">
      <c r="A12">
        <v>6</v>
      </c>
      <c r="B12" t="s">
        <v>108</v>
      </c>
      <c r="C12" t="s">
        <v>104</v>
      </c>
      <c r="D12">
        <v>-63.5</v>
      </c>
      <c r="E12">
        <v>37.5</v>
      </c>
      <c r="F12">
        <v>0</v>
      </c>
      <c r="G12">
        <v>-63.450699999999998</v>
      </c>
      <c r="H12">
        <v>37.515999999999998</v>
      </c>
      <c r="I12">
        <v>6.8199999999999997E-2</v>
      </c>
      <c r="J12">
        <v>4.9299999999999997E-2</v>
      </c>
      <c r="K12">
        <v>1.6E-2</v>
      </c>
      <c r="L12">
        <v>6.8199999999999997E-2</v>
      </c>
      <c r="P12">
        <v>0.17130000000000001</v>
      </c>
      <c r="Q12">
        <v>0.05</v>
      </c>
      <c r="R12" t="s">
        <v>107</v>
      </c>
    </row>
    <row r="13" spans="1:18" x14ac:dyDescent="0.4">
      <c r="A13">
        <v>7</v>
      </c>
      <c r="B13" t="s">
        <v>109</v>
      </c>
      <c r="C13" t="s">
        <v>104</v>
      </c>
      <c r="D13">
        <v>-62.5</v>
      </c>
      <c r="E13">
        <v>-36.5</v>
      </c>
      <c r="F13">
        <v>0</v>
      </c>
      <c r="G13">
        <v>-62.477499999999999</v>
      </c>
      <c r="H13">
        <v>-36.4636</v>
      </c>
      <c r="I13">
        <v>8.2900000000000001E-2</v>
      </c>
      <c r="J13">
        <v>2.2499999999999999E-2</v>
      </c>
      <c r="K13">
        <v>3.6400000000000002E-2</v>
      </c>
      <c r="L13">
        <v>8.2900000000000001E-2</v>
      </c>
      <c r="P13">
        <v>0.1865</v>
      </c>
      <c r="Q13">
        <v>0.05</v>
      </c>
      <c r="R13" t="s">
        <v>107</v>
      </c>
    </row>
    <row r="14" spans="1:18" x14ac:dyDescent="0.4">
      <c r="A14">
        <v>8</v>
      </c>
      <c r="B14" t="s">
        <v>110</v>
      </c>
      <c r="C14" t="s">
        <v>104</v>
      </c>
      <c r="D14">
        <v>61.5</v>
      </c>
      <c r="E14">
        <v>-37.5</v>
      </c>
      <c r="F14">
        <v>0</v>
      </c>
      <c r="G14">
        <v>61.443199999999997</v>
      </c>
      <c r="H14">
        <v>-37.465200000000003</v>
      </c>
      <c r="I14">
        <v>6.8599999999999994E-2</v>
      </c>
      <c r="J14">
        <v>-5.6800000000000003E-2</v>
      </c>
      <c r="K14">
        <v>3.4799999999999998E-2</v>
      </c>
      <c r="L14">
        <v>6.8599999999999994E-2</v>
      </c>
      <c r="P14">
        <v>0.19120000000000001</v>
      </c>
      <c r="Q14">
        <v>0.05</v>
      </c>
      <c r="R14" t="s">
        <v>107</v>
      </c>
    </row>
    <row r="15" spans="1:18" x14ac:dyDescent="0.4">
      <c r="A15">
        <v>9</v>
      </c>
      <c r="B15" t="s">
        <v>0</v>
      </c>
      <c r="C15" t="s">
        <v>111</v>
      </c>
      <c r="D15">
        <v>25.4</v>
      </c>
      <c r="G15">
        <v>25.3992</v>
      </c>
      <c r="J15">
        <v>-8.0000000000000004E-4</v>
      </c>
      <c r="M15">
        <v>25.5</v>
      </c>
      <c r="N15">
        <v>25.3</v>
      </c>
      <c r="O15" t="s">
        <v>105</v>
      </c>
      <c r="P15">
        <v>5.0000000000000001E-3</v>
      </c>
      <c r="Q15">
        <v>0.05</v>
      </c>
      <c r="R15" t="s">
        <v>105</v>
      </c>
    </row>
    <row r="16" spans="1:18" x14ac:dyDescent="0.4">
      <c r="A16">
        <v>10</v>
      </c>
      <c r="B16" t="s">
        <v>1</v>
      </c>
      <c r="C16" t="s">
        <v>111</v>
      </c>
      <c r="D16">
        <v>25.4</v>
      </c>
      <c r="G16">
        <v>25.403099999999998</v>
      </c>
      <c r="J16">
        <v>3.0999999999999999E-3</v>
      </c>
      <c r="M16">
        <v>25.5</v>
      </c>
      <c r="N16">
        <v>25.3</v>
      </c>
      <c r="O16" t="s">
        <v>105</v>
      </c>
      <c r="P16">
        <v>6.8999999999999999E-3</v>
      </c>
      <c r="Q16">
        <v>0.05</v>
      </c>
      <c r="R16" t="s">
        <v>105</v>
      </c>
    </row>
    <row r="17" spans="1:18" x14ac:dyDescent="0.4">
      <c r="A17">
        <v>11</v>
      </c>
      <c r="B17" t="s">
        <v>2</v>
      </c>
      <c r="C17" t="s">
        <v>111</v>
      </c>
      <c r="D17">
        <v>25.4</v>
      </c>
      <c r="G17">
        <v>25.403600000000001</v>
      </c>
      <c r="J17">
        <v>3.5999999999999999E-3</v>
      </c>
      <c r="M17">
        <v>25.5</v>
      </c>
      <c r="N17">
        <v>25.3</v>
      </c>
      <c r="O17" t="s">
        <v>105</v>
      </c>
      <c r="P17">
        <v>5.4999999999999997E-3</v>
      </c>
      <c r="Q17">
        <v>0.05</v>
      </c>
      <c r="R17" t="s">
        <v>105</v>
      </c>
    </row>
    <row r="18" spans="1:18" x14ac:dyDescent="0.4">
      <c r="A18">
        <v>12</v>
      </c>
      <c r="B18" t="s">
        <v>3</v>
      </c>
      <c r="C18" t="s">
        <v>111</v>
      </c>
      <c r="D18">
        <v>25.4</v>
      </c>
      <c r="G18">
        <v>25.4053</v>
      </c>
      <c r="J18">
        <v>5.3E-3</v>
      </c>
      <c r="M18">
        <v>25.5</v>
      </c>
      <c r="N18">
        <v>25.3</v>
      </c>
      <c r="O18" t="s">
        <v>105</v>
      </c>
      <c r="P18">
        <v>7.1999999999999998E-3</v>
      </c>
      <c r="Q18">
        <v>0.05</v>
      </c>
      <c r="R18" t="s">
        <v>105</v>
      </c>
    </row>
    <row r="19" spans="1:18" x14ac:dyDescent="0.4">
      <c r="A19">
        <v>13</v>
      </c>
      <c r="B19" t="s">
        <v>4</v>
      </c>
      <c r="C19" t="s">
        <v>111</v>
      </c>
      <c r="D19">
        <v>25.4</v>
      </c>
      <c r="G19">
        <v>25.4024</v>
      </c>
      <c r="J19">
        <v>2.3999999999999998E-3</v>
      </c>
      <c r="M19">
        <v>25.5</v>
      </c>
      <c r="N19">
        <v>25.3</v>
      </c>
      <c r="O19" t="s">
        <v>105</v>
      </c>
      <c r="P19">
        <v>5.7000000000000002E-3</v>
      </c>
      <c r="Q19">
        <v>0.05</v>
      </c>
      <c r="R19" t="s">
        <v>105</v>
      </c>
    </row>
    <row r="20" spans="1:18" x14ac:dyDescent="0.4">
      <c r="A20">
        <v>14</v>
      </c>
      <c r="B20" t="s">
        <v>5</v>
      </c>
      <c r="C20" t="s">
        <v>112</v>
      </c>
      <c r="D20">
        <v>72.887</v>
      </c>
      <c r="G20">
        <v>72.88</v>
      </c>
      <c r="J20">
        <v>-7.0000000000000001E-3</v>
      </c>
      <c r="M20">
        <v>72.986999999999995</v>
      </c>
      <c r="N20">
        <v>72.787000000000006</v>
      </c>
      <c r="O20" t="s">
        <v>105</v>
      </c>
    </row>
    <row r="21" spans="1:18" x14ac:dyDescent="0.4">
      <c r="A21">
        <v>15</v>
      </c>
      <c r="B21" t="s">
        <v>6</v>
      </c>
      <c r="C21" t="s">
        <v>112</v>
      </c>
      <c r="D21">
        <v>73.745999999999995</v>
      </c>
      <c r="G21">
        <v>73.712000000000003</v>
      </c>
      <c r="J21">
        <v>-3.4000000000000002E-2</v>
      </c>
      <c r="M21">
        <v>73.846000000000004</v>
      </c>
      <c r="N21">
        <v>73.646000000000001</v>
      </c>
      <c r="O21" t="s">
        <v>105</v>
      </c>
    </row>
    <row r="22" spans="1:18" x14ac:dyDescent="0.4">
      <c r="A22">
        <v>16</v>
      </c>
      <c r="B22" t="s">
        <v>7</v>
      </c>
      <c r="C22" t="s">
        <v>112</v>
      </c>
      <c r="D22">
        <v>72.376999999999995</v>
      </c>
      <c r="G22">
        <v>72.339799999999997</v>
      </c>
      <c r="J22">
        <v>-3.7199999999999997E-2</v>
      </c>
      <c r="M22">
        <v>72.477000000000004</v>
      </c>
      <c r="N22">
        <v>72.277000000000001</v>
      </c>
      <c r="O22" t="s">
        <v>105</v>
      </c>
    </row>
    <row r="23" spans="1:18" x14ac:dyDescent="0.4">
      <c r="A23">
        <v>17</v>
      </c>
      <c r="B23" t="s">
        <v>8</v>
      </c>
      <c r="C23" t="s">
        <v>112</v>
      </c>
      <c r="D23">
        <v>72.031000000000006</v>
      </c>
      <c r="G23">
        <v>71.964699999999993</v>
      </c>
      <c r="J23">
        <v>-6.6299999999999998E-2</v>
      </c>
      <c r="M23">
        <v>72.131</v>
      </c>
      <c r="N23">
        <v>71.930999999999997</v>
      </c>
      <c r="O23" t="s">
        <v>105</v>
      </c>
    </row>
    <row r="24" spans="1:18" x14ac:dyDescent="0.4">
      <c r="A24">
        <v>18</v>
      </c>
      <c r="B24" t="s">
        <v>9</v>
      </c>
      <c r="C24" t="s">
        <v>112</v>
      </c>
      <c r="D24">
        <v>75.007000000000005</v>
      </c>
      <c r="G24">
        <v>74.988500000000002</v>
      </c>
      <c r="J24">
        <v>-1.8499999999999999E-2</v>
      </c>
      <c r="M24">
        <v>75.106999999999999</v>
      </c>
      <c r="N24">
        <v>74.906999999999996</v>
      </c>
      <c r="O24" t="s">
        <v>105</v>
      </c>
    </row>
    <row r="25" spans="1:18" x14ac:dyDescent="0.4">
      <c r="A25">
        <v>19</v>
      </c>
      <c r="B25" t="s">
        <v>10</v>
      </c>
      <c r="C25" t="s">
        <v>112</v>
      </c>
      <c r="D25">
        <v>74.007000000000005</v>
      </c>
      <c r="G25">
        <v>73.986099999999993</v>
      </c>
      <c r="J25">
        <v>-2.0899999999999998E-2</v>
      </c>
      <c r="M25">
        <v>74.106999999999999</v>
      </c>
      <c r="N25">
        <v>73.906999999999996</v>
      </c>
      <c r="O25" t="s">
        <v>105</v>
      </c>
    </row>
    <row r="26" spans="1:18" x14ac:dyDescent="0.4">
      <c r="A26">
        <v>20</v>
      </c>
      <c r="B26" t="s">
        <v>11</v>
      </c>
      <c r="C26" t="s">
        <v>112</v>
      </c>
      <c r="D26">
        <v>126</v>
      </c>
      <c r="G26">
        <v>125.93300000000001</v>
      </c>
      <c r="J26">
        <v>-6.7000000000000004E-2</v>
      </c>
      <c r="M26">
        <v>126.1</v>
      </c>
      <c r="N26">
        <v>125.9</v>
      </c>
      <c r="O26" t="s">
        <v>105</v>
      </c>
    </row>
    <row r="27" spans="1:18" x14ac:dyDescent="0.4">
      <c r="A27">
        <v>21</v>
      </c>
      <c r="B27" t="s">
        <v>12</v>
      </c>
      <c r="C27" t="s">
        <v>112</v>
      </c>
      <c r="D27">
        <v>124.004</v>
      </c>
      <c r="G27">
        <v>123.9248</v>
      </c>
      <c r="J27">
        <v>-7.9200000000000007E-2</v>
      </c>
      <c r="M27">
        <v>124.104</v>
      </c>
      <c r="N27">
        <v>123.904</v>
      </c>
      <c r="O27" t="s">
        <v>105</v>
      </c>
    </row>
    <row r="28" spans="1:18" x14ac:dyDescent="0.4">
      <c r="A28">
        <v>22</v>
      </c>
      <c r="B28" t="s">
        <v>13</v>
      </c>
      <c r="C28" t="s">
        <v>112</v>
      </c>
      <c r="D28">
        <v>145.262</v>
      </c>
      <c r="G28">
        <v>145.21690000000001</v>
      </c>
      <c r="J28">
        <v>-4.5100000000000001E-2</v>
      </c>
      <c r="M28">
        <v>145.36199999999999</v>
      </c>
      <c r="N28">
        <v>145.16200000000001</v>
      </c>
      <c r="O28" t="s">
        <v>105</v>
      </c>
    </row>
    <row r="29" spans="1:18" x14ac:dyDescent="0.4">
      <c r="A29">
        <v>23</v>
      </c>
      <c r="B29" t="s">
        <v>14</v>
      </c>
      <c r="C29" t="s">
        <v>112</v>
      </c>
      <c r="D29">
        <v>145.774</v>
      </c>
      <c r="G29">
        <v>145.67320000000001</v>
      </c>
      <c r="J29">
        <v>-0.1008</v>
      </c>
      <c r="M29">
        <v>145.874</v>
      </c>
      <c r="N29">
        <v>145.67400000000001</v>
      </c>
      <c r="O29" t="s">
        <v>107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0F863-7EFB-46F2-91C8-88F4D30E311B}">
  <sheetPr codeName="Sheet1"/>
  <dimension ref="A1"/>
  <sheetViews>
    <sheetView workbookViewId="0"/>
  </sheetViews>
  <sheetFormatPr defaultRowHeight="14.6" x14ac:dyDescent="0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38</vt:i4>
      </vt:variant>
      <vt:variant>
        <vt:lpstr>Named Ranges</vt:lpstr>
      </vt:variant>
      <vt:variant>
        <vt:i4>36</vt:i4>
      </vt:variant>
    </vt:vector>
  </HeadingPairs>
  <TitlesOfParts>
    <vt:vector size="74" baseType="lpstr">
      <vt:lpstr>Summary</vt:lpstr>
      <vt:lpstr>Image 1</vt:lpstr>
      <vt:lpstr>Image 2</vt:lpstr>
      <vt:lpstr>Image 3</vt:lpstr>
      <vt:lpstr>Image 4</vt:lpstr>
      <vt:lpstr>Image 5</vt:lpstr>
      <vt:lpstr>Image 6</vt:lpstr>
      <vt:lpstr>Image 7</vt:lpstr>
      <vt:lpstr>Image 8</vt:lpstr>
      <vt:lpstr>Image 9</vt:lpstr>
      <vt:lpstr>Image 10</vt:lpstr>
      <vt:lpstr>Image 11</vt:lpstr>
      <vt:lpstr>Image 12</vt:lpstr>
      <vt:lpstr>Image 13</vt:lpstr>
      <vt:lpstr>Image 14</vt:lpstr>
      <vt:lpstr>Image 15</vt:lpstr>
      <vt:lpstr>Image 16</vt:lpstr>
      <vt:lpstr>Image 17</vt:lpstr>
      <vt:lpstr>Image 18</vt:lpstr>
      <vt:lpstr>Image 19</vt:lpstr>
      <vt:lpstr>Image 20</vt:lpstr>
      <vt:lpstr>Image 21</vt:lpstr>
      <vt:lpstr>Image 22</vt:lpstr>
      <vt:lpstr>Image 23</vt:lpstr>
      <vt:lpstr>Image 24</vt:lpstr>
      <vt:lpstr>Image 25</vt:lpstr>
      <vt:lpstr>Image 26</vt:lpstr>
      <vt:lpstr>Image 27</vt:lpstr>
      <vt:lpstr>Image 28</vt:lpstr>
      <vt:lpstr>Image 29</vt:lpstr>
      <vt:lpstr>Image 30</vt:lpstr>
      <vt:lpstr>Image 31</vt:lpstr>
      <vt:lpstr>Image 32</vt:lpstr>
      <vt:lpstr>Image 33</vt:lpstr>
      <vt:lpstr>Image 34</vt:lpstr>
      <vt:lpstr>Image 35</vt:lpstr>
      <vt:lpstr>Image 36</vt:lpstr>
      <vt:lpstr>Sheet1</vt:lpstr>
      <vt:lpstr>'Image 1'!BallPlateGen5_Fixture_P509_east_DC_1_1_20211207T040041.csv</vt:lpstr>
      <vt:lpstr>'Image 2'!BallPlateGen5_Fixture_P509_east_DC_1_1_20211207T044500.csv</vt:lpstr>
      <vt:lpstr>'Image 3'!BallPlateGen5_Fixture_P509_east_DC_1_1_20211207T052902.csv</vt:lpstr>
      <vt:lpstr>'Image 4'!BallPlateGen5_Fixture_P509_east_DC_1_2_20211207T040408.csv</vt:lpstr>
      <vt:lpstr>'Image 5'!BallPlateGen5_Fixture_P509_east_DC_1_2_20211207T044826.csv</vt:lpstr>
      <vt:lpstr>'Image 6'!BallPlateGen5_Fixture_P509_east_DC_1_2_20211207T053228.csv</vt:lpstr>
      <vt:lpstr>'Image 7'!BallPlateGen5_Fixture_P509_east_DC_1_3_20211207T040734.csv</vt:lpstr>
      <vt:lpstr>'Image 8'!BallPlateGen5_Fixture_P509_east_DC_1_3_20211207T045153.csv</vt:lpstr>
      <vt:lpstr>'Image 9'!BallPlateGen5_Fixture_P509_east_DC_1_3_20211207T053554.csv</vt:lpstr>
      <vt:lpstr>'Image 10'!BallPlateGen5_Fixture_P509_east_DC_1_4_20211207T041100.csv</vt:lpstr>
      <vt:lpstr>'Image 11'!BallPlateGen5_Fixture_P509_east_DC_1_4_20211207T045518.csv</vt:lpstr>
      <vt:lpstr>'Image 12'!BallPlateGen5_Fixture_P509_east_DC_1_4_20211207T053919.csv</vt:lpstr>
      <vt:lpstr>'Image 13'!BallPlateGen5_Fixture_P509_east_DC_1_5_20211207T041427.csv</vt:lpstr>
      <vt:lpstr>'Image 14'!BallPlateGen5_Fixture_P509_east_DC_1_5_20211207T045844.csv</vt:lpstr>
      <vt:lpstr>'Image 15'!BallPlateGen5_Fixture_P509_east_DC_1_5_20211207T054245.csv</vt:lpstr>
      <vt:lpstr>'Image 16'!BallPlateGen5_Fixture_P509_east_DC_1_6_20211207T041753.csv</vt:lpstr>
      <vt:lpstr>'Image 17'!BallPlateGen5_Fixture_P509_east_DC_1_6_20211207T050210.csv</vt:lpstr>
      <vt:lpstr>'Image 18'!BallPlateGen5_Fixture_P509_east_DC_1_6_20211207T054610.csv</vt:lpstr>
      <vt:lpstr>'Image 19'!BallPlateGen5_Fixture_P509_south_DC_1_1_20211207T033804.csv</vt:lpstr>
      <vt:lpstr>'Image 20'!BallPlateGen5_Fixture_P509_south_DC_1_1_20211207T042306.csv</vt:lpstr>
      <vt:lpstr>'Image 21'!BallPlateGen5_Fixture_P509_south_DC_1_1_20211207T050704.csv</vt:lpstr>
      <vt:lpstr>'Image 22'!BallPlateGen5_Fixture_P509_south_DC_1_2_20211207T034130.csv</vt:lpstr>
      <vt:lpstr>'Image 23'!BallPlateGen5_Fixture_P509_south_DC_1_2_20211207T042632.csv</vt:lpstr>
      <vt:lpstr>'Image 24'!BallPlateGen5_Fixture_P509_south_DC_1_2_20211207T051030.csv</vt:lpstr>
      <vt:lpstr>'Image 25'!BallPlateGen5_Fixture_P509_south_DC_1_3_20211207T034457.csv</vt:lpstr>
      <vt:lpstr>'Image 26'!BallPlateGen5_Fixture_P509_south_DC_1_3_20211207T042957.csv</vt:lpstr>
      <vt:lpstr>'Image 27'!BallPlateGen5_Fixture_P509_south_DC_1_3_20211207T051355.csv</vt:lpstr>
      <vt:lpstr>'Image 28'!BallPlateGen5_Fixture_P509_south_DC_1_4_20211207T034823.csv</vt:lpstr>
      <vt:lpstr>'Image 29'!BallPlateGen5_Fixture_P509_south_DC_1_4_20211207T043323.csv</vt:lpstr>
      <vt:lpstr>'Image 30'!BallPlateGen5_Fixture_P509_south_DC_1_4_20211207T051721.csv</vt:lpstr>
      <vt:lpstr>'Image 31'!BallPlateGen5_Fixture_P509_south_DC_1_5_20211207T035150.csv</vt:lpstr>
      <vt:lpstr>'Image 32'!BallPlateGen5_Fixture_P509_south_DC_1_5_20211207T043649.csv</vt:lpstr>
      <vt:lpstr>'Image 33'!BallPlateGen5_Fixture_P509_south_DC_1_5_20211207T052047.csv</vt:lpstr>
      <vt:lpstr>'Image 34'!BallPlateGen5_Fixture_P509_south_DC_1_6_20211207T035516.csv</vt:lpstr>
      <vt:lpstr>'Image 35'!BallPlateGen5_Fixture_P509_south_DC_1_6_20211207T044014.csv</vt:lpstr>
      <vt:lpstr>'Image 36'!BallPlateGen5_Fixture_P509_south_DC_1_6_20211207T052412.csv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Larry Gutkowski</dc:creator>
  <cp:lastModifiedBy>Gutkowski, Larry</cp:lastModifiedBy>
  <dcterms:created xsi:type="dcterms:W3CDTF">2021-01-15T03:02:01Z</dcterms:created>
  <dcterms:modified xsi:type="dcterms:W3CDTF">2021-12-08T21:40:19Z</dcterms:modified>
</cp:coreProperties>
</file>